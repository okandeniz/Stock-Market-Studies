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kand\OneDrive\Desktop\Borsa\"/>
    </mc:Choice>
  </mc:AlternateContent>
  <xr:revisionPtr revIDLastSave="0" documentId="13_ncr:1_{75285D0C-2335-4267-87AE-EC4F5A85E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" i="1" l="1"/>
  <c r="M19" i="1"/>
  <c r="N19" i="1"/>
  <c r="K19" i="1"/>
  <c r="L18" i="1"/>
  <c r="K18" i="1"/>
  <c r="C18" i="1"/>
  <c r="D18" i="1"/>
  <c r="E18" i="1"/>
  <c r="F18" i="1"/>
  <c r="G18" i="1"/>
  <c r="H18" i="1"/>
  <c r="I18" i="1"/>
  <c r="J18" i="1"/>
  <c r="B18" i="1"/>
  <c r="O13" i="1"/>
  <c r="O14" i="1"/>
  <c r="O15" i="1"/>
  <c r="N13" i="1"/>
  <c r="N14" i="1"/>
  <c r="N15" i="1"/>
  <c r="M13" i="1"/>
  <c r="M14" i="1"/>
  <c r="M15" i="1"/>
  <c r="L13" i="1"/>
  <c r="L14" i="1"/>
  <c r="L15" i="1"/>
  <c r="K13" i="1"/>
  <c r="K14" i="1"/>
  <c r="K15" i="1"/>
  <c r="K3" i="1"/>
  <c r="K4" i="1"/>
  <c r="K5" i="1"/>
  <c r="K6" i="1"/>
  <c r="K7" i="1"/>
  <c r="K8" i="1"/>
  <c r="K9" i="1"/>
  <c r="K10" i="1"/>
  <c r="K11" i="1"/>
  <c r="K12" i="1"/>
  <c r="N5" i="1"/>
  <c r="N6" i="1"/>
  <c r="N7" i="1"/>
  <c r="N8" i="1"/>
  <c r="N9" i="1"/>
  <c r="N10" i="1"/>
  <c r="N11" i="1"/>
  <c r="N12" i="1"/>
  <c r="M5" i="1"/>
  <c r="M6" i="1"/>
  <c r="M7" i="1"/>
  <c r="M8" i="1"/>
  <c r="M9" i="1"/>
  <c r="M10" i="1"/>
  <c r="M11" i="1"/>
  <c r="M12" i="1"/>
  <c r="L5" i="1"/>
  <c r="L6" i="1"/>
  <c r="L7" i="1"/>
  <c r="L8" i="1"/>
  <c r="L9" i="1"/>
  <c r="L10" i="1"/>
  <c r="L11" i="1"/>
  <c r="L12" i="1"/>
  <c r="L3" i="1"/>
  <c r="L4" i="1"/>
  <c r="M3" i="1"/>
  <c r="N3" i="1"/>
  <c r="M4" i="1"/>
  <c r="N4" i="1"/>
  <c r="N2" i="1"/>
  <c r="M2" i="1"/>
  <c r="L2" i="1"/>
  <c r="K2" i="1"/>
  <c r="O2" i="1" l="1"/>
  <c r="M18" i="1"/>
  <c r="N18" i="1"/>
  <c r="Q13" i="1" l="1"/>
  <c r="Q14" i="1"/>
  <c r="Q15" i="1"/>
  <c r="P13" i="1"/>
  <c r="P14" i="1"/>
  <c r="P15" i="1"/>
  <c r="R15" i="1"/>
  <c r="S15" i="1" s="1"/>
  <c r="T15" i="1" s="1"/>
  <c r="U15" i="1" s="1"/>
  <c r="R14" i="1"/>
  <c r="S14" i="1" s="1"/>
  <c r="T14" i="1" s="1"/>
  <c r="U14" i="1" s="1"/>
  <c r="R13" i="1"/>
  <c r="S13" i="1" s="1"/>
  <c r="T13" i="1" s="1"/>
  <c r="U13" i="1" s="1"/>
  <c r="O4" i="1"/>
  <c r="R2" i="1"/>
  <c r="R7" i="1"/>
  <c r="R8" i="1"/>
  <c r="R10" i="1"/>
  <c r="R5" i="1"/>
  <c r="R6" i="1"/>
  <c r="R9" i="1"/>
  <c r="R11" i="1"/>
  <c r="R12" i="1"/>
  <c r="Q2" i="1"/>
  <c r="Q5" i="1"/>
  <c r="Q6" i="1"/>
  <c r="Q7" i="1"/>
  <c r="Q8" i="1"/>
  <c r="Q12" i="1"/>
  <c r="Q9" i="1"/>
  <c r="Q10" i="1"/>
  <c r="Q11" i="1"/>
  <c r="P3" i="1"/>
  <c r="P7" i="1"/>
  <c r="P8" i="1"/>
  <c r="P9" i="1"/>
  <c r="P10" i="1"/>
  <c r="P11" i="1"/>
  <c r="P12" i="1"/>
  <c r="P5" i="1"/>
  <c r="P6" i="1"/>
  <c r="O11" i="1"/>
  <c r="O12" i="1"/>
  <c r="O6" i="1"/>
  <c r="O7" i="1"/>
  <c r="O9" i="1"/>
  <c r="O3" i="1"/>
  <c r="O5" i="1"/>
  <c r="O8" i="1"/>
  <c r="O10" i="1"/>
  <c r="Q3" i="1"/>
  <c r="Q4" i="1"/>
  <c r="P4" i="1"/>
  <c r="P2" i="1"/>
  <c r="R4" i="1"/>
  <c r="R3" i="1"/>
  <c r="S9" i="1" l="1"/>
  <c r="T9" i="1" s="1"/>
  <c r="U9" i="1" s="1"/>
  <c r="S7" i="1"/>
  <c r="T7" i="1" s="1"/>
  <c r="U7" i="1" s="1"/>
  <c r="S6" i="1"/>
  <c r="T6" i="1" s="1"/>
  <c r="U6" i="1" s="1"/>
  <c r="S8" i="1"/>
  <c r="T8" i="1" s="1"/>
  <c r="U8" i="1" s="1"/>
  <c r="S12" i="1"/>
  <c r="T12" i="1" s="1"/>
  <c r="U12" i="1" s="1"/>
  <c r="S10" i="1"/>
  <c r="T10" i="1" s="1"/>
  <c r="U10" i="1" s="1"/>
  <c r="S4" i="1"/>
  <c r="T4" i="1" s="1"/>
  <c r="U4" i="1" s="1"/>
  <c r="S11" i="1"/>
  <c r="T11" i="1" s="1"/>
  <c r="U11" i="1" s="1"/>
  <c r="S5" i="1"/>
  <c r="T5" i="1" s="1"/>
  <c r="U5" i="1" s="1"/>
  <c r="S3" i="1"/>
  <c r="T3" i="1" s="1"/>
  <c r="U3" i="1" s="1"/>
  <c r="S2" i="1"/>
  <c r="T2" i="1" s="1"/>
  <c r="U2" i="1" s="1"/>
</calcChain>
</file>

<file path=xl/sharedStrings.xml><?xml version="1.0" encoding="utf-8"?>
<sst xmlns="http://schemas.openxmlformats.org/spreadsheetml/2006/main" count="35" uniqueCount="35">
  <si>
    <t>Özkaynaklar</t>
  </si>
  <si>
    <t>Ödenmiş Sermaye</t>
  </si>
  <si>
    <t>Net Borç</t>
  </si>
  <si>
    <t>Fiyat</t>
  </si>
  <si>
    <t>PD</t>
  </si>
  <si>
    <t>FD</t>
  </si>
  <si>
    <t>Satış Gelirleri</t>
  </si>
  <si>
    <t>FAVÖK</t>
  </si>
  <si>
    <t>Net Kar</t>
  </si>
  <si>
    <t>F/K</t>
  </si>
  <si>
    <t>FD/FAVÖK</t>
  </si>
  <si>
    <t>FD/Satışlar</t>
  </si>
  <si>
    <t>PD/DD</t>
  </si>
  <si>
    <t>FK (PD)</t>
  </si>
  <si>
    <t>FD/FAVÖK (PD)</t>
  </si>
  <si>
    <t>FD/Satışlar (PD)</t>
  </si>
  <si>
    <t>PD/DD (PD)</t>
  </si>
  <si>
    <t>Ortalama</t>
  </si>
  <si>
    <t>Hedef Fiyat</t>
  </si>
  <si>
    <t>Getiri Potansiyeli</t>
  </si>
  <si>
    <t>Toplam</t>
  </si>
  <si>
    <t>ASTOR</t>
  </si>
  <si>
    <t>CWENE</t>
  </si>
  <si>
    <t>EMKEL</t>
  </si>
  <si>
    <t>EUPWR</t>
  </si>
  <si>
    <t>GESAN</t>
  </si>
  <si>
    <t>KLYPV</t>
  </si>
  <si>
    <t>KONTR</t>
  </si>
  <si>
    <t>MOGAN</t>
  </si>
  <si>
    <t>ORGE</t>
  </si>
  <si>
    <t>SAYAS</t>
  </si>
  <si>
    <t>SMRTG</t>
  </si>
  <si>
    <t>ALFAS</t>
  </si>
  <si>
    <t>MAGEN</t>
  </si>
  <si>
    <t>NATEN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</si>
</sst>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0" fontId="2" fillId="0" borderId="0" xfId="0" applyFont="1"/>
    <xf numFmtId="164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0" fontId="3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85" zoomScaleNormal="85" workbookViewId="0">
      <selection activeCell="P33" sqref="P33"/>
    </sheetView>
  </sheetViews>
  <sheetFormatPr defaultRowHeight="15" x14ac:dyDescent="0.25"/>
  <cols>
    <col min="2" max="2" width="18" bestFit="1" customWidth="1"/>
    <col min="3" max="3" width="16.85546875" bestFit="1" customWidth="1"/>
    <col min="4" max="4" width="18" bestFit="1" customWidth="1"/>
    <col min="5" max="5" width="9.28515625" bestFit="1" customWidth="1"/>
    <col min="6" max="8" width="18" bestFit="1" customWidth="1"/>
    <col min="9" max="10" width="16.85546875" bestFit="1" customWidth="1"/>
    <col min="11" max="11" width="9.5703125" bestFit="1" customWidth="1"/>
    <col min="12" max="12" width="10.28515625" bestFit="1" customWidth="1"/>
    <col min="15" max="19" width="19" bestFit="1" customWidth="1"/>
    <col min="20" max="20" width="11.140625" bestFit="1" customWidth="1"/>
  </cols>
  <sheetData>
    <row r="1" spans="1:21" x14ac:dyDescent="0.2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6" t="s">
        <v>32</v>
      </c>
      <c r="B2">
        <v>5319195074</v>
      </c>
      <c r="C2">
        <v>368000000</v>
      </c>
      <c r="D2">
        <v>1725748050</v>
      </c>
      <c r="E2">
        <v>41.799999237060547</v>
      </c>
      <c r="F2">
        <v>15382399719.238279</v>
      </c>
      <c r="G2">
        <v>17108147769.238279</v>
      </c>
      <c r="H2">
        <v>8441453974</v>
      </c>
      <c r="I2">
        <v>238468851</v>
      </c>
      <c r="J2">
        <v>-93815380</v>
      </c>
      <c r="K2" s="1" t="str">
        <f>IF(F2/J2&lt;0,"",F2/J2)</f>
        <v/>
      </c>
      <c r="L2" s="1">
        <f>IF(G2/I2&lt;0,"",G2/I2)</f>
        <v>71.741645491629768</v>
      </c>
      <c r="M2" s="1">
        <f>G2/H2</f>
        <v>2.0266825859540343</v>
      </c>
      <c r="N2" s="1">
        <f>F2/B2</f>
        <v>2.8918660634250464</v>
      </c>
      <c r="O2" s="1">
        <f>$J2*$K$19</f>
        <v>-1671831037.9212053</v>
      </c>
      <c r="P2" s="1">
        <f>$L$18*$I2-$D2</f>
        <v>1213268111.3144727</v>
      </c>
      <c r="Q2" s="1">
        <f>$M$18*$H2-$D2</f>
        <v>21862791159.330009</v>
      </c>
      <c r="R2" s="1">
        <f t="shared" ref="R2:R15" si="0">$N$18*$B2</f>
        <v>7718499519.0599451</v>
      </c>
      <c r="S2" s="4">
        <f>AVERAGE(O2:R2)</f>
        <v>7280681937.9458055</v>
      </c>
      <c r="T2" s="1">
        <f>S2/C2</f>
        <v>19.784461787896209</v>
      </c>
      <c r="U2" s="5">
        <f>(T2/E2-1)</f>
        <v>-0.52668750839700995</v>
      </c>
    </row>
    <row r="3" spans="1:21" x14ac:dyDescent="0.25">
      <c r="A3" s="6" t="s">
        <v>21</v>
      </c>
      <c r="B3">
        <v>29305773835</v>
      </c>
      <c r="C3">
        <v>998000000</v>
      </c>
      <c r="D3">
        <v>-5549807146</v>
      </c>
      <c r="E3">
        <v>91.75</v>
      </c>
      <c r="F3">
        <v>91566500000</v>
      </c>
      <c r="G3">
        <v>86016692854</v>
      </c>
      <c r="H3">
        <v>30844022932</v>
      </c>
      <c r="I3">
        <v>9141463778</v>
      </c>
      <c r="J3">
        <v>6441361229</v>
      </c>
      <c r="K3" s="1">
        <f t="shared" ref="K3:K15" si="1">IF(F3/J3&lt;0,"",F3/J3)</f>
        <v>14.21539589920117</v>
      </c>
      <c r="L3" s="1">
        <f t="shared" ref="L3:L15" si="2">IF(G3/I3&lt;0,"",G3/I3)</f>
        <v>9.4095097834341601</v>
      </c>
      <c r="M3" s="1">
        <f t="shared" ref="M3:M18" si="3">G3/H3</f>
        <v>2.7887637434207573</v>
      </c>
      <c r="N3" s="1">
        <f t="shared" ref="N3:N18" si="4">F3/B3</f>
        <v>3.124520803154557</v>
      </c>
      <c r="O3" s="1">
        <f>$J3*$K$19</f>
        <v>114787869847.18797</v>
      </c>
      <c r="P3" s="1">
        <f>$L$18*$I3-$D3</f>
        <v>118214038423.79007</v>
      </c>
      <c r="Q3" s="1">
        <f>$M$18*$H3-$D3</f>
        <v>91739395639.390503</v>
      </c>
      <c r="R3" s="1">
        <f t="shared" si="0"/>
        <v>42524592180.641472</v>
      </c>
      <c r="S3" s="4">
        <f>AVERAGE(O3:R3)</f>
        <v>91816474022.752502</v>
      </c>
      <c r="T3" s="1">
        <f t="shared" ref="T3" si="5">S3/C3</f>
        <v>92.000474972697901</v>
      </c>
      <c r="U3" s="5">
        <f t="shared" ref="U3:U12" si="6">(T3/E3-1)</f>
        <v>2.7299724544731507E-3</v>
      </c>
    </row>
    <row r="4" spans="1:21" x14ac:dyDescent="0.25">
      <c r="A4" s="6" t="s">
        <v>22</v>
      </c>
      <c r="B4">
        <v>12850924322</v>
      </c>
      <c r="C4">
        <v>1000000000</v>
      </c>
      <c r="D4">
        <v>6825793369</v>
      </c>
      <c r="E4">
        <v>26</v>
      </c>
      <c r="F4">
        <v>26000000000</v>
      </c>
      <c r="G4">
        <v>32825793369</v>
      </c>
      <c r="H4">
        <v>14574481942</v>
      </c>
      <c r="I4">
        <v>3155040057</v>
      </c>
      <c r="J4">
        <v>1377326775</v>
      </c>
      <c r="K4" s="1">
        <f t="shared" si="1"/>
        <v>18.877147000935924</v>
      </c>
      <c r="L4" s="1">
        <f t="shared" si="2"/>
        <v>10.404239811843377</v>
      </c>
      <c r="M4" s="1">
        <f t="shared" si="3"/>
        <v>2.2522785715219351</v>
      </c>
      <c r="N4" s="1">
        <f t="shared" si="4"/>
        <v>2.023200771285345</v>
      </c>
      <c r="O4" s="1">
        <f>$J4*$K$19</f>
        <v>24544564567.184151</v>
      </c>
      <c r="P4" s="1">
        <f>$L$18*$I4-$D4</f>
        <v>32058587875.0625</v>
      </c>
      <c r="Q4" s="1">
        <f>$M$18*$H4-$D4</f>
        <v>33900690457.533646</v>
      </c>
      <c r="R4" s="1">
        <f t="shared" si="0"/>
        <v>18647530654.340645</v>
      </c>
      <c r="S4" s="4">
        <f>AVERAGE(O4:R4)</f>
        <v>27287843388.530235</v>
      </c>
      <c r="T4" s="1">
        <f>S4/C4</f>
        <v>27.287843388530234</v>
      </c>
      <c r="U4" s="5">
        <f t="shared" si="6"/>
        <v>4.9532438020393643E-2</v>
      </c>
    </row>
    <row r="5" spans="1:21" x14ac:dyDescent="0.25">
      <c r="A5" s="6" t="s">
        <v>23</v>
      </c>
      <c r="B5">
        <v>977944082</v>
      </c>
      <c r="C5">
        <v>150000000</v>
      </c>
      <c r="D5">
        <v>420207254</v>
      </c>
      <c r="E5">
        <v>53.650001525878913</v>
      </c>
      <c r="F5">
        <v>8047500228.8818359</v>
      </c>
      <c r="G5">
        <v>8467707482.8818359</v>
      </c>
      <c r="H5">
        <v>907387450</v>
      </c>
      <c r="I5">
        <v>-1169563</v>
      </c>
      <c r="J5">
        <v>-21220461</v>
      </c>
      <c r="K5" s="1" t="str">
        <f t="shared" si="1"/>
        <v/>
      </c>
      <c r="L5" s="1" t="str">
        <f t="shared" si="2"/>
        <v/>
      </c>
      <c r="M5" s="1">
        <f t="shared" si="3"/>
        <v>9.3319645129341779</v>
      </c>
      <c r="N5" s="1">
        <f t="shared" si="4"/>
        <v>8.2289983415246386</v>
      </c>
      <c r="O5" s="1">
        <f>$J5*$K$19</f>
        <v>-378157881.34948087</v>
      </c>
      <c r="P5" s="1">
        <f>$L$18*$I5-$D5</f>
        <v>-434621566.57902712</v>
      </c>
      <c r="Q5" s="1">
        <f>$M$18*$H5-$D5</f>
        <v>2115368312.5201678</v>
      </c>
      <c r="R5" s="1">
        <f t="shared" si="0"/>
        <v>1419060745.3898616</v>
      </c>
      <c r="S5" s="4">
        <f t="shared" ref="S5:S12" si="7">AVERAGE(O5:R5)</f>
        <v>680412402.4953804</v>
      </c>
      <c r="T5" s="1">
        <f t="shared" ref="T5:T12" si="8">S5/C5</f>
        <v>4.5360826833025358</v>
      </c>
      <c r="U5" s="5">
        <f t="shared" si="6"/>
        <v>-0.91545046497129201</v>
      </c>
    </row>
    <row r="6" spans="1:21" x14ac:dyDescent="0.25">
      <c r="A6" s="6" t="s">
        <v>24</v>
      </c>
      <c r="B6">
        <v>10871430000</v>
      </c>
      <c r="C6">
        <v>660000000</v>
      </c>
      <c r="D6">
        <v>1467888000</v>
      </c>
      <c r="E6">
        <v>28.780000686645511</v>
      </c>
      <c r="F6">
        <v>18994800453.186039</v>
      </c>
      <c r="G6">
        <v>20462688453.186039</v>
      </c>
      <c r="H6">
        <v>10142985136</v>
      </c>
      <c r="I6">
        <v>2006193148</v>
      </c>
      <c r="J6">
        <v>725798208</v>
      </c>
      <c r="K6" s="1">
        <f t="shared" si="1"/>
        <v>26.17091120344298</v>
      </c>
      <c r="L6" s="1">
        <f t="shared" si="2"/>
        <v>10.199759915233265</v>
      </c>
      <c r="M6" s="1">
        <f t="shared" si="3"/>
        <v>2.0174226994140829</v>
      </c>
      <c r="N6" s="1">
        <f t="shared" si="4"/>
        <v>1.7472218883059578</v>
      </c>
      <c r="O6" s="1">
        <f>$J6*$K$19</f>
        <v>12934041000.548</v>
      </c>
      <c r="P6" s="1">
        <f>$L$18*$I6-$D6</f>
        <v>23257496719.911945</v>
      </c>
      <c r="Q6" s="1">
        <f>$M$18*$H6-$D6</f>
        <v>26875357525.843281</v>
      </c>
      <c r="R6" s="1">
        <f t="shared" si="0"/>
        <v>15775155086.273842</v>
      </c>
      <c r="S6" s="4">
        <f t="shared" si="7"/>
        <v>19710512583.144264</v>
      </c>
      <c r="T6" s="1">
        <f t="shared" si="8"/>
        <v>29.864413004764035</v>
      </c>
      <c r="U6" s="5">
        <f t="shared" si="6"/>
        <v>3.7679370821617653E-2</v>
      </c>
    </row>
    <row r="7" spans="1:21" x14ac:dyDescent="0.25">
      <c r="A7" s="6" t="s">
        <v>25</v>
      </c>
      <c r="B7">
        <v>18237661000</v>
      </c>
      <c r="C7">
        <v>460000000</v>
      </c>
      <c r="D7">
        <v>2228532000</v>
      </c>
      <c r="E7">
        <v>43.259998321533203</v>
      </c>
      <c r="F7">
        <v>19899599227.90527</v>
      </c>
      <c r="G7">
        <v>22128131227.90527</v>
      </c>
      <c r="H7">
        <v>20369944565</v>
      </c>
      <c r="I7">
        <v>4155052037</v>
      </c>
      <c r="J7">
        <v>1187062997</v>
      </c>
      <c r="K7" s="1">
        <f t="shared" si="1"/>
        <v>16.763726338194729</v>
      </c>
      <c r="L7" s="1">
        <f t="shared" si="2"/>
        <v>5.3255966545925766</v>
      </c>
      <c r="M7" s="1">
        <f t="shared" si="3"/>
        <v>1.0863127858446024</v>
      </c>
      <c r="N7" s="1">
        <f t="shared" si="4"/>
        <v>1.0911267200275994</v>
      </c>
      <c r="O7" s="1">
        <f>$J7*$K$19</f>
        <v>21153980960.822914</v>
      </c>
      <c r="P7" s="1">
        <f>$L$18*$I7-$D7</f>
        <v>48980525437.214813</v>
      </c>
      <c r="Q7" s="1">
        <f>$M$18*$H7-$D7</f>
        <v>54692614231.837669</v>
      </c>
      <c r="R7" s="1">
        <f t="shared" si="0"/>
        <v>26464037452.836292</v>
      </c>
      <c r="S7" s="4">
        <f t="shared" si="7"/>
        <v>37822789520.677925</v>
      </c>
      <c r="T7" s="1">
        <f t="shared" si="8"/>
        <v>82.223455479734625</v>
      </c>
      <c r="U7" s="5">
        <f t="shared" si="6"/>
        <v>0.90068096786788066</v>
      </c>
    </row>
    <row r="8" spans="1:21" x14ac:dyDescent="0.25">
      <c r="A8" s="6" t="s">
        <v>26</v>
      </c>
      <c r="B8">
        <v>14144376522</v>
      </c>
      <c r="C8">
        <v>411441018</v>
      </c>
      <c r="D8">
        <v>13505781102</v>
      </c>
      <c r="E8">
        <v>53.75</v>
      </c>
      <c r="F8">
        <v>22114954717.5</v>
      </c>
      <c r="G8">
        <v>35620735819.5</v>
      </c>
      <c r="H8">
        <v>8742848934</v>
      </c>
      <c r="I8">
        <v>1122073029</v>
      </c>
      <c r="J8">
        <v>-188645784</v>
      </c>
      <c r="K8" s="1" t="str">
        <f t="shared" si="1"/>
        <v/>
      </c>
      <c r="L8" s="1">
        <f t="shared" si="2"/>
        <v>31.745470124387065</v>
      </c>
      <c r="M8" s="1">
        <f t="shared" si="3"/>
        <v>4.0742709943179722</v>
      </c>
      <c r="N8" s="1">
        <f t="shared" si="4"/>
        <v>1.5635156970759831</v>
      </c>
      <c r="O8" s="1">
        <f>$J8*$K$19</f>
        <v>-3361750246.7524996</v>
      </c>
      <c r="P8" s="1">
        <f>$L$18*$I8-$D8</f>
        <v>323239973.82211304</v>
      </c>
      <c r="Q8" s="1">
        <f>$M$18*$H8-$D8</f>
        <v>10924966908.485813</v>
      </c>
      <c r="R8" s="1">
        <f t="shared" si="0"/>
        <v>20524414288.939045</v>
      </c>
      <c r="S8" s="4">
        <f t="shared" si="7"/>
        <v>7102717731.1236181</v>
      </c>
      <c r="T8" s="1">
        <f t="shared" si="8"/>
        <v>17.263027798369919</v>
      </c>
      <c r="U8" s="5">
        <f t="shared" si="6"/>
        <v>-0.67882738979776902</v>
      </c>
    </row>
    <row r="9" spans="1:21" x14ac:dyDescent="0.25">
      <c r="A9" s="6" t="s">
        <v>27</v>
      </c>
      <c r="B9">
        <v>6859236219</v>
      </c>
      <c r="C9">
        <v>650000000</v>
      </c>
      <c r="D9">
        <v>12068079456</v>
      </c>
      <c r="E9">
        <v>34.400001525878913</v>
      </c>
      <c r="F9">
        <v>22360000991.821289</v>
      </c>
      <c r="G9">
        <v>34428080447.821289</v>
      </c>
      <c r="H9">
        <v>14545934168</v>
      </c>
      <c r="I9">
        <v>624384542</v>
      </c>
      <c r="J9">
        <v>-1275827143</v>
      </c>
      <c r="K9" s="1" t="str">
        <f t="shared" si="1"/>
        <v/>
      </c>
      <c r="L9" s="1">
        <f t="shared" si="2"/>
        <v>55.139226121042071</v>
      </c>
      <c r="M9" s="1">
        <f t="shared" si="3"/>
        <v>2.3668524860754951</v>
      </c>
      <c r="N9" s="1">
        <f t="shared" si="4"/>
        <v>3.2598383082192681</v>
      </c>
      <c r="O9" s="1">
        <f>$J9*$K$19</f>
        <v>-22735796803.143963</v>
      </c>
      <c r="P9" s="1">
        <f>$L$18*$I9-$D9</f>
        <v>-4372834344.8767223</v>
      </c>
      <c r="Q9" s="1">
        <f>$M$18*$H9-$D9</f>
        <v>28578631349.391533</v>
      </c>
      <c r="R9" s="1">
        <f t="shared" si="0"/>
        <v>9953199820.8250065</v>
      </c>
      <c r="S9" s="4">
        <f t="shared" si="7"/>
        <v>2855800005.548964</v>
      </c>
      <c r="T9" s="1">
        <f t="shared" si="8"/>
        <v>4.3935384700753293</v>
      </c>
      <c r="U9" s="5">
        <f t="shared" si="6"/>
        <v>-0.87228086409327343</v>
      </c>
    </row>
    <row r="10" spans="1:21" x14ac:dyDescent="0.25">
      <c r="A10" s="6" t="s">
        <v>33</v>
      </c>
      <c r="B10">
        <v>14668779532</v>
      </c>
      <c r="C10">
        <v>1180000000</v>
      </c>
      <c r="D10">
        <v>4068845100</v>
      </c>
      <c r="E10">
        <v>32.360000610351563</v>
      </c>
      <c r="F10">
        <v>38184800720.214844</v>
      </c>
      <c r="G10">
        <v>42253645820.214844</v>
      </c>
      <c r="H10">
        <v>1626624808</v>
      </c>
      <c r="I10">
        <v>459988255</v>
      </c>
      <c r="J10">
        <v>-1243323740</v>
      </c>
      <c r="K10" s="1" t="str">
        <f t="shared" si="1"/>
        <v/>
      </c>
      <c r="L10" s="1">
        <f t="shared" si="2"/>
        <v>91.858097159926061</v>
      </c>
      <c r="M10" s="1">
        <f t="shared" si="3"/>
        <v>25.97627038048644</v>
      </c>
      <c r="N10" s="1">
        <f t="shared" si="4"/>
        <v>2.6031341351142778</v>
      </c>
      <c r="O10" s="1">
        <f>$J10*$K$19</f>
        <v>-22156571968.437103</v>
      </c>
      <c r="P10" s="1">
        <f>$L$18*$I10-$D10</f>
        <v>1600293279.250391</v>
      </c>
      <c r="Q10" s="1">
        <f>$M$18*$H10-$D10</f>
        <v>476545206.04882145</v>
      </c>
      <c r="R10" s="1">
        <f t="shared" si="0"/>
        <v>21285357312.116199</v>
      </c>
      <c r="S10" s="4">
        <f t="shared" si="7"/>
        <v>301405957.24457645</v>
      </c>
      <c r="T10" s="1">
        <f t="shared" si="8"/>
        <v>0.25542877732591224</v>
      </c>
      <c r="U10" s="5">
        <f t="shared" si="6"/>
        <v>-0.99210665103497542</v>
      </c>
    </row>
    <row r="11" spans="1:21" x14ac:dyDescent="0.25">
      <c r="A11" s="6" t="s">
        <v>28</v>
      </c>
      <c r="B11">
        <v>79521211999</v>
      </c>
      <c r="C11">
        <v>2440108000</v>
      </c>
      <c r="D11">
        <v>31951959631</v>
      </c>
      <c r="E11">
        <v>8.2799997329711914</v>
      </c>
      <c r="F11">
        <v>20204093588.420872</v>
      </c>
      <c r="G11">
        <v>52156053219.420868</v>
      </c>
      <c r="H11">
        <v>12990797377</v>
      </c>
      <c r="I11">
        <v>6866068145</v>
      </c>
      <c r="J11">
        <v>-9663610318</v>
      </c>
      <c r="K11" s="1" t="str">
        <f t="shared" si="1"/>
        <v/>
      </c>
      <c r="L11" s="1">
        <f t="shared" si="2"/>
        <v>7.5962038415540469</v>
      </c>
      <c r="M11" s="1">
        <f t="shared" si="3"/>
        <v>4.0148461796319239</v>
      </c>
      <c r="N11" s="1">
        <f t="shared" si="4"/>
        <v>0.2540717511784773</v>
      </c>
      <c r="O11" s="1">
        <f>$J11*$K$19</f>
        <v>-172209755671.27704</v>
      </c>
      <c r="P11" s="1">
        <f>$L$18*$I11-$D11</f>
        <v>52669093216.029831</v>
      </c>
      <c r="Q11" s="1">
        <f>$M$18*$H11-$D11</f>
        <v>4349124783.0895767</v>
      </c>
      <c r="R11" s="1">
        <f t="shared" si="0"/>
        <v>115390473188.22687</v>
      </c>
      <c r="S11" s="4">
        <f t="shared" si="7"/>
        <v>49733879.017311096</v>
      </c>
      <c r="T11" s="1">
        <f t="shared" si="8"/>
        <v>2.0381835155374721E-2</v>
      </c>
      <c r="U11" s="5">
        <f t="shared" si="6"/>
        <v>-0.9975384256264872</v>
      </c>
    </row>
    <row r="12" spans="1:21" x14ac:dyDescent="0.25">
      <c r="A12" s="6" t="s">
        <v>34</v>
      </c>
      <c r="B12">
        <v>15271343529</v>
      </c>
      <c r="C12">
        <v>825000000</v>
      </c>
      <c r="D12">
        <v>4141568626</v>
      </c>
      <c r="E12">
        <v>8.380000114440918</v>
      </c>
      <c r="F12">
        <v>6913500094.4137573</v>
      </c>
      <c r="G12">
        <v>11055068720.413759</v>
      </c>
      <c r="H12">
        <v>884124411</v>
      </c>
      <c r="I12">
        <v>-6948563</v>
      </c>
      <c r="J12">
        <v>-802903891</v>
      </c>
      <c r="K12" s="1" t="str">
        <f t="shared" si="1"/>
        <v/>
      </c>
      <c r="L12" s="1" t="str">
        <f t="shared" si="2"/>
        <v/>
      </c>
      <c r="M12" s="1">
        <f t="shared" si="3"/>
        <v>12.503974082007062</v>
      </c>
      <c r="N12" s="1">
        <f t="shared" si="4"/>
        <v>0.4527106656519872</v>
      </c>
      <c r="O12" s="1">
        <f>$J12*$K$19</f>
        <v>-14308097941.31308</v>
      </c>
      <c r="P12" s="1">
        <f>$L$18*$I12-$D12</f>
        <v>-4227206389.0423179</v>
      </c>
      <c r="Q12" s="1">
        <f>$M$18*$H12-$D12</f>
        <v>-1670998579.7693243</v>
      </c>
      <c r="R12" s="1">
        <f t="shared" si="0"/>
        <v>22159717033.153824</v>
      </c>
      <c r="S12" s="4">
        <f t="shared" si="7"/>
        <v>488353530.75727558</v>
      </c>
      <c r="T12" s="1">
        <f t="shared" si="8"/>
        <v>0.59194367364518252</v>
      </c>
      <c r="U12" s="5">
        <f t="shared" si="6"/>
        <v>-0.92936233107859867</v>
      </c>
    </row>
    <row r="13" spans="1:21" x14ac:dyDescent="0.25">
      <c r="A13" s="6" t="s">
        <v>29</v>
      </c>
      <c r="B13">
        <v>3584581344</v>
      </c>
      <c r="C13">
        <v>80000000</v>
      </c>
      <c r="D13">
        <v>6554481</v>
      </c>
      <c r="E13">
        <v>67.449996948242188</v>
      </c>
      <c r="F13">
        <v>5395999755.859375</v>
      </c>
      <c r="G13">
        <v>5402554236.859375</v>
      </c>
      <c r="H13">
        <v>3813288252</v>
      </c>
      <c r="I13">
        <v>2049437011</v>
      </c>
      <c r="J13">
        <v>662205836</v>
      </c>
      <c r="K13" s="1">
        <f>IF(F13/J13&lt;0,"",F13/J13)</f>
        <v>8.148523408451771</v>
      </c>
      <c r="L13" s="1">
        <f t="shared" si="2"/>
        <v>2.6361162640579319</v>
      </c>
      <c r="M13" s="1">
        <f t="shared" si="3"/>
        <v>1.4167704825424183</v>
      </c>
      <c r="N13" s="1">
        <f t="shared" si="4"/>
        <v>1.5053361154410381</v>
      </c>
      <c r="O13" s="1">
        <f t="shared" ref="O13:O15" si="9">$J13*$K$19</f>
        <v>11800797162.654562</v>
      </c>
      <c r="P13" s="1">
        <f t="shared" ref="P13:P15" si="10">$L$18*$I13-$D13</f>
        <v>25251790462.864502</v>
      </c>
      <c r="Q13" s="1">
        <f t="shared" ref="Q13:Q15" si="11">$M$18*$H13-$D13</f>
        <v>10649180861.019114</v>
      </c>
      <c r="R13" s="1">
        <f t="shared" si="0"/>
        <v>5201461686.3617687</v>
      </c>
      <c r="S13" s="4">
        <f t="shared" ref="S13:S15" si="12">AVERAGE(O13:R13)</f>
        <v>13225807543.224987</v>
      </c>
      <c r="T13" s="1">
        <f t="shared" ref="T13:T15" si="13">S13/C13</f>
        <v>165.32259429031234</v>
      </c>
      <c r="U13" s="5">
        <f t="shared" ref="U13:U15" si="14">(T13/E13-1)</f>
        <v>1.4510393146077201</v>
      </c>
    </row>
    <row r="14" spans="1:21" x14ac:dyDescent="0.25">
      <c r="A14" s="6" t="s">
        <v>30</v>
      </c>
      <c r="B14">
        <v>1165933763</v>
      </c>
      <c r="C14">
        <v>77250000</v>
      </c>
      <c r="D14">
        <v>-9630621</v>
      </c>
      <c r="E14">
        <v>43.740001678466797</v>
      </c>
      <c r="F14">
        <v>3378915129.6615601</v>
      </c>
      <c r="G14">
        <v>3369284508.6615601</v>
      </c>
      <c r="H14">
        <v>1886623559</v>
      </c>
      <c r="I14">
        <v>206141968</v>
      </c>
      <c r="J14">
        <v>79298297</v>
      </c>
      <c r="K14" s="1">
        <f t="shared" si="1"/>
        <v>42.610185306521274</v>
      </c>
      <c r="L14" s="1">
        <f t="shared" si="2"/>
        <v>16.344485993563232</v>
      </c>
      <c r="M14" s="1">
        <f t="shared" si="3"/>
        <v>1.7858806504289815</v>
      </c>
      <c r="N14" s="1">
        <f t="shared" si="4"/>
        <v>2.8980335220479931</v>
      </c>
      <c r="O14" s="1">
        <f t="shared" si="9"/>
        <v>1413130279.6928821</v>
      </c>
      <c r="P14" s="1">
        <f t="shared" si="10"/>
        <v>2550233190.0003886</v>
      </c>
      <c r="Q14" s="1">
        <f t="shared" si="11"/>
        <v>5281553435.6936798</v>
      </c>
      <c r="R14" s="1">
        <f t="shared" si="0"/>
        <v>1691846052.6028175</v>
      </c>
      <c r="S14" s="4">
        <f t="shared" si="12"/>
        <v>2734190739.4974422</v>
      </c>
      <c r="T14" s="1">
        <f t="shared" si="13"/>
        <v>35.394054880225788</v>
      </c>
      <c r="U14" s="5">
        <f t="shared" si="14"/>
        <v>-0.19080810420612582</v>
      </c>
    </row>
    <row r="15" spans="1:21" x14ac:dyDescent="0.25">
      <c r="A15" s="6" t="s">
        <v>31</v>
      </c>
      <c r="B15">
        <v>3757733988</v>
      </c>
      <c r="C15">
        <v>605880000</v>
      </c>
      <c r="D15">
        <v>9094242201</v>
      </c>
      <c r="E15">
        <v>26.020000457763668</v>
      </c>
      <c r="F15">
        <v>15764997877.34985</v>
      </c>
      <c r="G15">
        <v>24859240078.34985</v>
      </c>
      <c r="H15">
        <v>11998086402</v>
      </c>
      <c r="I15">
        <v>2127334950</v>
      </c>
      <c r="J15">
        <v>-614823142</v>
      </c>
      <c r="K15" s="1" t="str">
        <f t="shared" si="1"/>
        <v/>
      </c>
      <c r="L15" s="1">
        <f t="shared" si="2"/>
        <v>11.685625753645354</v>
      </c>
      <c r="M15" s="1">
        <f t="shared" si="3"/>
        <v>2.0719337438848568</v>
      </c>
      <c r="N15" s="1">
        <f t="shared" si="4"/>
        <v>4.195346963806915</v>
      </c>
      <c r="O15" s="1">
        <f t="shared" si="9"/>
        <v>-10956416864.994169</v>
      </c>
      <c r="P15" s="1">
        <f t="shared" si="10"/>
        <v>17124158115.690067</v>
      </c>
      <c r="Q15" s="1">
        <f t="shared" si="11"/>
        <v>24432841214.038498</v>
      </c>
      <c r="R15" s="1">
        <f t="shared" si="0"/>
        <v>5452717483.6854296</v>
      </c>
      <c r="S15" s="4">
        <f t="shared" si="12"/>
        <v>9013324987.1049576</v>
      </c>
      <c r="T15" s="1">
        <f t="shared" si="13"/>
        <v>14.876419401704888</v>
      </c>
      <c r="U15" s="5">
        <f t="shared" si="14"/>
        <v>-0.4282698255193087</v>
      </c>
    </row>
    <row r="16" spans="1:21" x14ac:dyDescent="0.25">
      <c r="A16" s="7"/>
      <c r="K16" s="1"/>
      <c r="L16" s="1"/>
      <c r="M16" s="1"/>
      <c r="N16" s="1"/>
      <c r="O16" s="1"/>
      <c r="P16" s="1"/>
      <c r="Q16" s="1"/>
      <c r="R16" s="1"/>
      <c r="S16" s="4"/>
      <c r="T16" s="1"/>
      <c r="U16" s="5"/>
    </row>
    <row r="18" spans="1:14" x14ac:dyDescent="0.25">
      <c r="A18" s="2" t="s">
        <v>20</v>
      </c>
      <c r="B18" s="3">
        <f>SUM(B2:B15)</f>
        <v>216536125209</v>
      </c>
      <c r="C18" s="3">
        <f t="shared" ref="C18:J18" si="15">SUM(C2:C15)</f>
        <v>9905679018</v>
      </c>
      <c r="D18" s="3">
        <f t="shared" si="15"/>
        <v>81945761503</v>
      </c>
      <c r="E18" s="3">
        <f t="shared" si="15"/>
        <v>559.6200008392334</v>
      </c>
      <c r="F18" s="3">
        <f t="shared" si="15"/>
        <v>314208062504.453</v>
      </c>
      <c r="G18" s="3">
        <f t="shared" si="15"/>
        <v>396153824007.453</v>
      </c>
      <c r="H18" s="3">
        <f t="shared" si="15"/>
        <v>141768603910</v>
      </c>
      <c r="I18" s="3">
        <f t="shared" si="15"/>
        <v>32143527645</v>
      </c>
      <c r="J18" s="3">
        <f t="shared" si="15"/>
        <v>-3431116517</v>
      </c>
      <c r="K18" s="1" t="str">
        <f>IF(F18/J18&lt;0,"",F18/J18)</f>
        <v/>
      </c>
      <c r="L18" s="1">
        <f>IF(G18/I18&lt;0,"",G18/I18)</f>
        <v>12.324528545300337</v>
      </c>
      <c r="M18" s="1">
        <f t="shared" si="3"/>
        <v>2.7943692262000845</v>
      </c>
      <c r="N18" s="1">
        <f t="shared" si="4"/>
        <v>1.4510653231703503</v>
      </c>
    </row>
    <row r="19" spans="1:14" x14ac:dyDescent="0.25">
      <c r="K19" s="4">
        <f>MEDIAN(K2:K15)</f>
        <v>17.820436669565325</v>
      </c>
      <c r="L19" s="4">
        <f t="shared" ref="L19:N19" si="16">MEDIAN(L2:L15)</f>
        <v>11.044932782744365</v>
      </c>
      <c r="M19" s="4">
        <f t="shared" si="16"/>
        <v>2.3095655287987151</v>
      </c>
      <c r="N19" s="4">
        <f t="shared" si="16"/>
        <v>2.3131674531998114</v>
      </c>
    </row>
  </sheetData>
  <conditionalFormatting sqref="U2:U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Okan Deniz</cp:lastModifiedBy>
  <dcterms:created xsi:type="dcterms:W3CDTF">2025-06-11T19:33:44Z</dcterms:created>
  <dcterms:modified xsi:type="dcterms:W3CDTF">2025-11-27T18:48:47Z</dcterms:modified>
</cp:coreProperties>
</file>