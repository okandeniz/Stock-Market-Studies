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5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6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7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8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Ex9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0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11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12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11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12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13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14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15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1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18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kand\OneDrive\Desktop\Borsa\2025-09\"/>
    </mc:Choice>
  </mc:AlternateContent>
  <xr:revisionPtr revIDLastSave="0" documentId="13_ncr:1_{ACBC655C-EED7-4E78-9997-DE44B1131F83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Data" sheetId="1" r:id="rId1"/>
    <sheet name="Bilanço" sheetId="2" r:id="rId2"/>
    <sheet name="Çeyreklik" sheetId="7" r:id="rId3"/>
    <sheet name="Yıllık" sheetId="8" r:id="rId4"/>
    <sheet name="Dikey Analiz" sheetId="3" r:id="rId5"/>
    <sheet name="Analiz" sheetId="4" r:id="rId6"/>
    <sheet name="GRAFİKLER" sheetId="5" r:id="rId7"/>
    <sheet name="Değerleme Yıllık" sheetId="9" r:id="rId8"/>
    <sheet name="Sayfa1" sheetId="10" r:id="rId9"/>
  </sheets>
  <definedNames>
    <definedName name="_xlchart.v1.0" hidden="1">Analiz!$A$62:$A$77</definedName>
    <definedName name="_xlchart.v1.1" hidden="1">Analiz!$J$55</definedName>
    <definedName name="_xlchart.v1.10" hidden="1">Analiz!$B$55</definedName>
    <definedName name="_xlchart.v1.11" hidden="1">Analiz!$B$62:$B$77</definedName>
    <definedName name="_xlchart.v1.12" hidden="1">Analiz!$A$62:$A$77</definedName>
    <definedName name="_xlchart.v1.13" hidden="1">Analiz!$E$55</definedName>
    <definedName name="_xlchart.v1.14" hidden="1">Analiz!$E$62:$E$77</definedName>
    <definedName name="_xlchart.v1.15" hidden="1">Analiz!$A$62:$A$77</definedName>
    <definedName name="_xlchart.v1.16" hidden="1">Analiz!$C$55</definedName>
    <definedName name="_xlchart.v1.17" hidden="1">Analiz!$C$62:$C$77</definedName>
    <definedName name="_xlchart.v1.18" hidden="1">Analiz!$A$62:$A$77</definedName>
    <definedName name="_xlchart.v1.19" hidden="1">Analiz!$H$55</definedName>
    <definedName name="_xlchart.v1.2" hidden="1">Analiz!$J$62:$J$77</definedName>
    <definedName name="_xlchart.v1.20" hidden="1">Analiz!$H$62:$H$77</definedName>
    <definedName name="_xlchart.v1.21" hidden="1">Analiz!$A$62:$A$77</definedName>
    <definedName name="_xlchart.v1.22" hidden="1">Analiz!$G$55</definedName>
    <definedName name="_xlchart.v1.23" hidden="1">Analiz!$G$61:$G$77</definedName>
    <definedName name="_xlchart.v1.24" hidden="1">Analiz!$A$62:$A$77</definedName>
    <definedName name="_xlchart.v1.25" hidden="1">Analiz!$D$55</definedName>
    <definedName name="_xlchart.v1.26" hidden="1">Analiz!$D$62:$D$77</definedName>
    <definedName name="_xlchart.v1.27" hidden="1">Analiz!$A$62:$A$77</definedName>
    <definedName name="_xlchart.v1.28" hidden="1">Analiz!$L$55</definedName>
    <definedName name="_xlchart.v1.29" hidden="1">Analiz!$L$62:$L$77</definedName>
    <definedName name="_xlchart.v1.3" hidden="1">Analiz!$A$62:$A$77</definedName>
    <definedName name="_xlchart.v1.30" hidden="1">Analiz!$A$62:$A$77</definedName>
    <definedName name="_xlchart.v1.31" hidden="1">Analiz!$M$55</definedName>
    <definedName name="_xlchart.v1.32" hidden="1">Analiz!$M$62:$M$77</definedName>
    <definedName name="_xlchart.v1.33" hidden="1">Analiz!$A$62:$A$77</definedName>
    <definedName name="_xlchart.v1.34" hidden="1">Analiz!$K$55</definedName>
    <definedName name="_xlchart.v1.35" hidden="1">Analiz!$K$62:$K$77</definedName>
    <definedName name="_xlchart.v1.4" hidden="1">Analiz!$I$55</definedName>
    <definedName name="_xlchart.v1.5" hidden="1">Analiz!$I$62:$I$77</definedName>
    <definedName name="_xlchart.v1.6" hidden="1">Analiz!$A$62:$A$77</definedName>
    <definedName name="_xlchart.v1.7" hidden="1">Analiz!$F$55</definedName>
    <definedName name="_xlchart.v1.8" hidden="1">Analiz!$F$62:$F$77</definedName>
    <definedName name="_xlchart.v1.9" hidden="1">Analiz!$A$62:$A$77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0" i="9" l="1"/>
  <c r="B66" i="9"/>
  <c r="L53" i="9"/>
  <c r="L52" i="9"/>
  <c r="X154" i="2"/>
  <c r="U45" i="9"/>
  <c r="U4" i="9"/>
  <c r="A67" i="8" l="1"/>
  <c r="A69" i="8"/>
  <c r="A71" i="8"/>
  <c r="A72" i="8"/>
  <c r="A60" i="8"/>
  <c r="A61" i="8"/>
  <c r="A62" i="8"/>
  <c r="A63" i="8"/>
  <c r="A64" i="8"/>
  <c r="A65" i="8"/>
  <c r="A43" i="8"/>
  <c r="A44" i="8"/>
  <c r="A54" i="8"/>
  <c r="A55" i="8"/>
  <c r="A56" i="8"/>
  <c r="A41" i="7"/>
  <c r="A41" i="8" s="1"/>
  <c r="A42" i="7"/>
  <c r="A42" i="8" s="1"/>
  <c r="A43" i="7"/>
  <c r="A44" i="7"/>
  <c r="A45" i="7"/>
  <c r="A45" i="8" s="1"/>
  <c r="A46" i="7"/>
  <c r="A46" i="8" s="1"/>
  <c r="A47" i="7"/>
  <c r="A47" i="8" s="1"/>
  <c r="A48" i="7"/>
  <c r="A48" i="8" s="1"/>
  <c r="A49" i="7"/>
  <c r="A49" i="8" s="1"/>
  <c r="A50" i="7"/>
  <c r="A50" i="8" s="1"/>
  <c r="A51" i="7"/>
  <c r="A51" i="8" s="1"/>
  <c r="A52" i="7"/>
  <c r="A52" i="8" s="1"/>
  <c r="A53" i="7"/>
  <c r="A53" i="8" s="1"/>
  <c r="A54" i="7"/>
  <c r="A55" i="7"/>
  <c r="A56" i="7"/>
  <c r="A57" i="7"/>
  <c r="A57" i="8" s="1"/>
  <c r="A58" i="7"/>
  <c r="A58" i="8" s="1"/>
  <c r="A59" i="7"/>
  <c r="A59" i="8" s="1"/>
  <c r="A60" i="7"/>
  <c r="A61" i="7"/>
  <c r="A62" i="7"/>
  <c r="A63" i="7"/>
  <c r="A64" i="7"/>
  <c r="A65" i="7"/>
  <c r="A66" i="7"/>
  <c r="A66" i="8" s="1"/>
  <c r="A67" i="7"/>
  <c r="A68" i="7"/>
  <c r="A68" i="8" s="1"/>
  <c r="A69" i="7"/>
  <c r="A70" i="7"/>
  <c r="A70" i="8" s="1"/>
  <c r="A71" i="7"/>
  <c r="A72" i="7"/>
  <c r="A73" i="7"/>
  <c r="A73" i="8" s="1"/>
  <c r="A74" i="7"/>
  <c r="A74" i="8" s="1"/>
  <c r="A75" i="7"/>
  <c r="A75" i="8" s="1"/>
  <c r="A76" i="7"/>
  <c r="A76" i="8" s="1"/>
  <c r="A77" i="7"/>
  <c r="A77" i="8" s="1"/>
  <c r="A78" i="7"/>
  <c r="A78" i="8" s="1"/>
  <c r="U5" i="9"/>
  <c r="A3" i="8"/>
  <c r="A4" i="8"/>
  <c r="A7" i="8"/>
  <c r="A11" i="8"/>
  <c r="A12" i="8"/>
  <c r="A14" i="8"/>
  <c r="A15" i="8"/>
  <c r="A19" i="8"/>
  <c r="A20" i="8"/>
  <c r="A23" i="8"/>
  <c r="A27" i="8"/>
  <c r="A28" i="8"/>
  <c r="A30" i="8"/>
  <c r="A31" i="8"/>
  <c r="A35" i="8"/>
  <c r="A2" i="8"/>
  <c r="A2" i="7"/>
  <c r="A39" i="7"/>
  <c r="A39" i="8" s="1"/>
  <c r="A40" i="7"/>
  <c r="A40" i="8" s="1"/>
  <c r="A38" i="7"/>
  <c r="A38" i="8" s="1"/>
  <c r="A36" i="7"/>
  <c r="A36" i="8" s="1"/>
  <c r="A37" i="7"/>
  <c r="A37" i="8" s="1"/>
  <c r="A34" i="7"/>
  <c r="A34" i="8" s="1"/>
  <c r="A35" i="7"/>
  <c r="A4" i="7"/>
  <c r="A5" i="7"/>
  <c r="A5" i="8" s="1"/>
  <c r="A6" i="7"/>
  <c r="A6" i="8" s="1"/>
  <c r="A7" i="7"/>
  <c r="A8" i="7"/>
  <c r="A8" i="8" s="1"/>
  <c r="A9" i="7"/>
  <c r="A9" i="8" s="1"/>
  <c r="A10" i="7"/>
  <c r="A10" i="8" s="1"/>
  <c r="A11" i="7"/>
  <c r="A12" i="7"/>
  <c r="A13" i="7"/>
  <c r="A13" i="8" s="1"/>
  <c r="A14" i="7"/>
  <c r="A15" i="7"/>
  <c r="A16" i="7"/>
  <c r="A16" i="8" s="1"/>
  <c r="A17" i="7"/>
  <c r="A17" i="8" s="1"/>
  <c r="A18" i="7"/>
  <c r="A18" i="8" s="1"/>
  <c r="A19" i="7"/>
  <c r="A20" i="7"/>
  <c r="A21" i="7"/>
  <c r="A21" i="8" s="1"/>
  <c r="A22" i="7"/>
  <c r="A22" i="8" s="1"/>
  <c r="A23" i="7"/>
  <c r="A24" i="7"/>
  <c r="A24" i="8" s="1"/>
  <c r="A25" i="7"/>
  <c r="A25" i="8" s="1"/>
  <c r="A26" i="7"/>
  <c r="A26" i="8" s="1"/>
  <c r="A27" i="7"/>
  <c r="A28" i="7"/>
  <c r="A29" i="7"/>
  <c r="A29" i="8" s="1"/>
  <c r="A30" i="7"/>
  <c r="A31" i="7"/>
  <c r="A32" i="7"/>
  <c r="A32" i="8" s="1"/>
  <c r="A33" i="7"/>
  <c r="A33" i="8" s="1"/>
  <c r="A3" i="7"/>
  <c r="A35" i="4"/>
  <c r="B54" i="4"/>
  <c r="C54" i="4" s="1"/>
  <c r="D54" i="4" s="1"/>
  <c r="E54" i="4" s="1"/>
  <c r="F54" i="4" s="1"/>
  <c r="G54" i="4" s="1"/>
  <c r="H54" i="4" s="1"/>
  <c r="I54" i="4" s="1"/>
  <c r="J54" i="4" s="1"/>
  <c r="K54" i="4" s="1"/>
  <c r="L54" i="4" s="1"/>
  <c r="M54" i="4" s="1"/>
  <c r="A36" i="4"/>
  <c r="A33" i="4"/>
  <c r="A31" i="4"/>
  <c r="A27" i="4"/>
  <c r="A25" i="4"/>
  <c r="A23" i="4"/>
  <c r="K55" i="4" s="1"/>
  <c r="A21" i="4"/>
  <c r="J55" i="4" s="1"/>
  <c r="A39" i="4"/>
  <c r="A38" i="4"/>
  <c r="A19" i="4"/>
  <c r="A17" i="4"/>
  <c r="A11" i="4"/>
  <c r="A9" i="4"/>
  <c r="A7" i="4"/>
  <c r="C55" i="4" s="1"/>
  <c r="A15" i="4"/>
  <c r="A13" i="4"/>
  <c r="A5" i="4"/>
  <c r="K5" i="3"/>
  <c r="K6" i="3"/>
  <c r="K7" i="3"/>
  <c r="K8" i="3"/>
  <c r="K9" i="3"/>
  <c r="K21" i="3"/>
  <c r="K22" i="3"/>
  <c r="K23" i="3"/>
  <c r="K24" i="3"/>
  <c r="K25" i="3"/>
  <c r="K37" i="3"/>
  <c r="K38" i="3"/>
  <c r="K39" i="3"/>
  <c r="K40" i="3"/>
  <c r="K3" i="3"/>
  <c r="I5" i="3"/>
  <c r="I6" i="3"/>
  <c r="I7" i="3"/>
  <c r="I14" i="3"/>
  <c r="I18" i="3"/>
  <c r="I19" i="3"/>
  <c r="I21" i="3"/>
  <c r="I22" i="3"/>
  <c r="I23" i="3"/>
  <c r="I30" i="3"/>
  <c r="I34" i="3"/>
  <c r="I35" i="3"/>
  <c r="I37" i="3"/>
  <c r="I38" i="3"/>
  <c r="I39" i="3"/>
  <c r="H4" i="3"/>
  <c r="K4" i="3" s="1"/>
  <c r="H5" i="3"/>
  <c r="H6" i="3"/>
  <c r="H7" i="3"/>
  <c r="H8" i="3"/>
  <c r="I8" i="3" s="1"/>
  <c r="H9" i="3"/>
  <c r="I9" i="3" s="1"/>
  <c r="H10" i="3"/>
  <c r="I10" i="3" s="1"/>
  <c r="H11" i="3"/>
  <c r="I11" i="3" s="1"/>
  <c r="H12" i="3"/>
  <c r="I12" i="3" s="1"/>
  <c r="H13" i="3"/>
  <c r="K13" i="3" s="1"/>
  <c r="H14" i="3"/>
  <c r="K14" i="3" s="1"/>
  <c r="H15" i="3"/>
  <c r="K15" i="3" s="1"/>
  <c r="H16" i="3"/>
  <c r="K16" i="3" s="1"/>
  <c r="H17" i="3"/>
  <c r="I17" i="3" s="1"/>
  <c r="H18" i="3"/>
  <c r="K18" i="3" s="1"/>
  <c r="H19" i="3"/>
  <c r="K19" i="3" s="1"/>
  <c r="H20" i="3"/>
  <c r="K20" i="3" s="1"/>
  <c r="H21" i="3"/>
  <c r="H22" i="3"/>
  <c r="H23" i="3"/>
  <c r="H24" i="3"/>
  <c r="I24" i="3" s="1"/>
  <c r="H25" i="3"/>
  <c r="I25" i="3" s="1"/>
  <c r="H26" i="3"/>
  <c r="I26" i="3" s="1"/>
  <c r="H27" i="3"/>
  <c r="I27" i="3" s="1"/>
  <c r="H28" i="3"/>
  <c r="I28" i="3" s="1"/>
  <c r="H29" i="3"/>
  <c r="K29" i="3" s="1"/>
  <c r="H30" i="3"/>
  <c r="K30" i="3" s="1"/>
  <c r="H31" i="3"/>
  <c r="K31" i="3" s="1"/>
  <c r="H32" i="3"/>
  <c r="K32" i="3" s="1"/>
  <c r="H33" i="3"/>
  <c r="I33" i="3" s="1"/>
  <c r="H34" i="3"/>
  <c r="K34" i="3" s="1"/>
  <c r="H35" i="3"/>
  <c r="K35" i="3" s="1"/>
  <c r="H36" i="3"/>
  <c r="K36" i="3" s="1"/>
  <c r="H37" i="3"/>
  <c r="H38" i="3"/>
  <c r="H39" i="3"/>
  <c r="H40" i="3"/>
  <c r="I40" i="3" s="1"/>
  <c r="H3" i="3"/>
  <c r="I3" i="3" s="1"/>
  <c r="J3" i="3" s="1"/>
  <c r="A73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2" i="3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B1" i="1"/>
  <c r="D16" i="3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29" i="4" s="1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2" i="2"/>
  <c r="M35" i="3" l="1"/>
  <c r="M34" i="3"/>
  <c r="M19" i="3"/>
  <c r="M18" i="3"/>
  <c r="M14" i="3"/>
  <c r="M30" i="3"/>
  <c r="M23" i="3"/>
  <c r="M38" i="3"/>
  <c r="M39" i="3"/>
  <c r="M7" i="3"/>
  <c r="M6" i="3"/>
  <c r="K28" i="3"/>
  <c r="M28" i="3" s="1"/>
  <c r="K12" i="3"/>
  <c r="M12" i="3" s="1"/>
  <c r="K11" i="3"/>
  <c r="M11" i="3" s="1"/>
  <c r="K27" i="3"/>
  <c r="M27" i="3" s="1"/>
  <c r="I36" i="3"/>
  <c r="M36" i="3" s="1"/>
  <c r="I20" i="3"/>
  <c r="M20" i="3" s="1"/>
  <c r="I4" i="3"/>
  <c r="J4" i="3" s="1"/>
  <c r="K26" i="3"/>
  <c r="M26" i="3" s="1"/>
  <c r="K10" i="3"/>
  <c r="M10" i="3" s="1"/>
  <c r="L3" i="3"/>
  <c r="M3" i="3"/>
  <c r="M25" i="3"/>
  <c r="M9" i="3"/>
  <c r="M8" i="3"/>
  <c r="I32" i="3"/>
  <c r="J32" i="3" s="1"/>
  <c r="I16" i="3"/>
  <c r="M16" i="3" s="1"/>
  <c r="I29" i="3"/>
  <c r="M29" i="3" s="1"/>
  <c r="I13" i="3"/>
  <c r="J13" i="3" s="1"/>
  <c r="M24" i="3"/>
  <c r="M22" i="3"/>
  <c r="I31" i="3"/>
  <c r="M31" i="3" s="1"/>
  <c r="I15" i="3"/>
  <c r="J15" i="3" s="1"/>
  <c r="K33" i="3"/>
  <c r="M33" i="3" s="1"/>
  <c r="K17" i="3"/>
  <c r="M17" i="3" s="1"/>
  <c r="M40" i="3"/>
  <c r="M5" i="3"/>
  <c r="M21" i="3"/>
  <c r="M37" i="3"/>
  <c r="D48" i="3"/>
  <c r="D8" i="3"/>
  <c r="D69" i="3"/>
  <c r="D40" i="3"/>
  <c r="D64" i="3"/>
  <c r="D31" i="3"/>
  <c r="E31" i="3" s="1"/>
  <c r="D57" i="3"/>
  <c r="B1" i="2"/>
  <c r="D68" i="3"/>
  <c r="D53" i="3"/>
  <c r="D32" i="3"/>
  <c r="D15" i="3"/>
  <c r="D59" i="3"/>
  <c r="D47" i="3"/>
  <c r="D24" i="3"/>
  <c r="K2" i="3"/>
  <c r="U7" i="9"/>
  <c r="U10" i="9" s="1"/>
  <c r="U6" i="9"/>
  <c r="U14" i="9"/>
  <c r="U12" i="9"/>
  <c r="U9" i="9"/>
  <c r="U8" i="9"/>
  <c r="L36" i="3"/>
  <c r="L24" i="3"/>
  <c r="L16" i="3"/>
  <c r="L4" i="3"/>
  <c r="L39" i="3"/>
  <c r="L40" i="3"/>
  <c r="L32" i="3"/>
  <c r="L20" i="3"/>
  <c r="L8" i="3"/>
  <c r="L37" i="3"/>
  <c r="L29" i="3"/>
  <c r="L25" i="3"/>
  <c r="L21" i="3"/>
  <c r="L13" i="3"/>
  <c r="L9" i="3"/>
  <c r="L5" i="3"/>
  <c r="L35" i="3"/>
  <c r="L31" i="3"/>
  <c r="L23" i="3"/>
  <c r="L19" i="3"/>
  <c r="L15" i="3"/>
  <c r="L7" i="3"/>
  <c r="L38" i="3"/>
  <c r="L34" i="3"/>
  <c r="L30" i="3"/>
  <c r="L22" i="3"/>
  <c r="L18" i="3"/>
  <c r="L14" i="3"/>
  <c r="L6" i="3"/>
  <c r="B8" i="3"/>
  <c r="B19" i="3"/>
  <c r="B29" i="3"/>
  <c r="B40" i="3"/>
  <c r="B49" i="3"/>
  <c r="B56" i="3"/>
  <c r="B61" i="3"/>
  <c r="B67" i="3"/>
  <c r="B72" i="3"/>
  <c r="B7" i="3"/>
  <c r="B28" i="3"/>
  <c r="B47" i="3"/>
  <c r="B60" i="3"/>
  <c r="B71" i="3"/>
  <c r="B3" i="3"/>
  <c r="B13" i="3"/>
  <c r="B24" i="3"/>
  <c r="B35" i="3"/>
  <c r="B45" i="3"/>
  <c r="B52" i="3"/>
  <c r="B59" i="3"/>
  <c r="B64" i="3"/>
  <c r="B69" i="3"/>
  <c r="B17" i="3"/>
  <c r="B39" i="3"/>
  <c r="B55" i="3"/>
  <c r="B65" i="3"/>
  <c r="J37" i="3"/>
  <c r="I2" i="3"/>
  <c r="D5" i="3"/>
  <c r="D9" i="3"/>
  <c r="D13" i="3"/>
  <c r="D17" i="3"/>
  <c r="D21" i="3"/>
  <c r="D25" i="3"/>
  <c r="D29" i="3"/>
  <c r="D33" i="3"/>
  <c r="D37" i="3"/>
  <c r="D41" i="3"/>
  <c r="D45" i="3"/>
  <c r="B3" i="4"/>
  <c r="B2" i="3"/>
  <c r="D6" i="3"/>
  <c r="D10" i="3"/>
  <c r="D14" i="3"/>
  <c r="D18" i="3"/>
  <c r="D22" i="3"/>
  <c r="D26" i="3"/>
  <c r="D30" i="3"/>
  <c r="D34" i="3"/>
  <c r="D38" i="3"/>
  <c r="D42" i="3"/>
  <c r="D46" i="3"/>
  <c r="D50" i="3"/>
  <c r="D54" i="3"/>
  <c r="D58" i="3"/>
  <c r="D62" i="3"/>
  <c r="D66" i="3"/>
  <c r="D70" i="3"/>
  <c r="D2" i="3"/>
  <c r="B6" i="3"/>
  <c r="B10" i="3"/>
  <c r="B14" i="3"/>
  <c r="B18" i="3"/>
  <c r="B22" i="3"/>
  <c r="B26" i="3"/>
  <c r="B30" i="3"/>
  <c r="B34" i="3"/>
  <c r="B38" i="3"/>
  <c r="B42" i="3"/>
  <c r="B46" i="3"/>
  <c r="B50" i="3"/>
  <c r="B54" i="3"/>
  <c r="D3" i="3"/>
  <c r="D11" i="3"/>
  <c r="D19" i="3"/>
  <c r="D27" i="3"/>
  <c r="D35" i="3"/>
  <c r="D43" i="3"/>
  <c r="D49" i="3"/>
  <c r="D55" i="3"/>
  <c r="D60" i="3"/>
  <c r="D65" i="3"/>
  <c r="D71" i="3"/>
  <c r="B4" i="3"/>
  <c r="B9" i="3"/>
  <c r="B15" i="3"/>
  <c r="B20" i="3"/>
  <c r="B25" i="3"/>
  <c r="B31" i="3"/>
  <c r="C31" i="3" s="1"/>
  <c r="B36" i="3"/>
  <c r="B41" i="3"/>
  <c r="D4" i="3"/>
  <c r="D12" i="3"/>
  <c r="D20" i="3"/>
  <c r="D28" i="3"/>
  <c r="D36" i="3"/>
  <c r="D44" i="3"/>
  <c r="D51" i="3"/>
  <c r="D56" i="3"/>
  <c r="D61" i="3"/>
  <c r="D67" i="3"/>
  <c r="D72" i="3"/>
  <c r="B5" i="3"/>
  <c r="B11" i="3"/>
  <c r="B16" i="3"/>
  <c r="B21" i="3"/>
  <c r="B27" i="3"/>
  <c r="B32" i="3"/>
  <c r="B37" i="3"/>
  <c r="B43" i="3"/>
  <c r="B48" i="3"/>
  <c r="B53" i="3"/>
  <c r="B58" i="3"/>
  <c r="B62" i="3"/>
  <c r="B66" i="3"/>
  <c r="B70" i="3"/>
  <c r="B73" i="3"/>
  <c r="B68" i="3"/>
  <c r="B63" i="3"/>
  <c r="B57" i="3"/>
  <c r="B51" i="3"/>
  <c r="B44" i="3"/>
  <c r="B33" i="3"/>
  <c r="B23" i="3"/>
  <c r="B12" i="3"/>
  <c r="D73" i="3"/>
  <c r="D63" i="3"/>
  <c r="D52" i="3"/>
  <c r="D39" i="3"/>
  <c r="D23" i="3"/>
  <c r="D7" i="3"/>
  <c r="L55" i="4"/>
  <c r="M55" i="4"/>
  <c r="J17" i="3"/>
  <c r="J5" i="3"/>
  <c r="J40" i="3"/>
  <c r="J28" i="3"/>
  <c r="J24" i="3"/>
  <c r="J12" i="3"/>
  <c r="J8" i="3"/>
  <c r="J33" i="3"/>
  <c r="J21" i="3"/>
  <c r="J9" i="3"/>
  <c r="J39" i="3"/>
  <c r="J35" i="3"/>
  <c r="J27" i="3"/>
  <c r="J23" i="3"/>
  <c r="J19" i="3"/>
  <c r="J11" i="3"/>
  <c r="J7" i="3"/>
  <c r="J25" i="3"/>
  <c r="J38" i="3"/>
  <c r="J34" i="3"/>
  <c r="J30" i="3"/>
  <c r="J26" i="3"/>
  <c r="J22" i="3"/>
  <c r="J18" i="3"/>
  <c r="J14" i="3"/>
  <c r="J10" i="3"/>
  <c r="J6" i="3"/>
  <c r="I55" i="4"/>
  <c r="H55" i="4"/>
  <c r="D55" i="4"/>
  <c r="B55" i="4"/>
  <c r="F55" i="4"/>
  <c r="E55" i="4"/>
  <c r="G55" i="4"/>
  <c r="C1" i="2" l="1"/>
  <c r="W1" i="2"/>
  <c r="Y1" i="2"/>
  <c r="V1" i="2"/>
  <c r="X1" i="2"/>
  <c r="E53" i="3"/>
  <c r="E32" i="3"/>
  <c r="C51" i="3"/>
  <c r="E52" i="3"/>
  <c r="E55" i="3"/>
  <c r="E30" i="3"/>
  <c r="E13" i="3"/>
  <c r="E36" i="3"/>
  <c r="E63" i="3"/>
  <c r="E49" i="3"/>
  <c r="J29" i="3"/>
  <c r="C12" i="3"/>
  <c r="L26" i="3"/>
  <c r="E17" i="3"/>
  <c r="E28" i="3"/>
  <c r="E26" i="3"/>
  <c r="C37" i="3"/>
  <c r="L11" i="3"/>
  <c r="E73" i="3"/>
  <c r="E20" i="3"/>
  <c r="E43" i="3"/>
  <c r="E22" i="3"/>
  <c r="E9" i="3"/>
  <c r="E12" i="3"/>
  <c r="E35" i="3"/>
  <c r="E18" i="3"/>
  <c r="E5" i="3"/>
  <c r="M32" i="3"/>
  <c r="E4" i="3"/>
  <c r="E27" i="3"/>
  <c r="E14" i="3"/>
  <c r="J31" i="3"/>
  <c r="E19" i="3"/>
  <c r="E10" i="3"/>
  <c r="L17" i="3"/>
  <c r="L10" i="3"/>
  <c r="E68" i="3"/>
  <c r="E11" i="3"/>
  <c r="E6" i="3"/>
  <c r="J20" i="3"/>
  <c r="E72" i="3"/>
  <c r="E54" i="3"/>
  <c r="E41" i="3"/>
  <c r="L33" i="3"/>
  <c r="M13" i="3"/>
  <c r="C73" i="3"/>
  <c r="E50" i="3"/>
  <c r="E37" i="3"/>
  <c r="E62" i="3"/>
  <c r="E33" i="3"/>
  <c r="E24" i="3"/>
  <c r="M15" i="3"/>
  <c r="E56" i="3"/>
  <c r="M4" i="3"/>
  <c r="L27" i="3"/>
  <c r="E70" i="3"/>
  <c r="E64" i="3"/>
  <c r="C16" i="3"/>
  <c r="E3" i="3"/>
  <c r="E66" i="3"/>
  <c r="J16" i="3"/>
  <c r="E45" i="3"/>
  <c r="E61" i="3"/>
  <c r="E46" i="3"/>
  <c r="E7" i="3"/>
  <c r="E71" i="3"/>
  <c r="E42" i="3"/>
  <c r="E29" i="3"/>
  <c r="E47" i="3"/>
  <c r="J36" i="3"/>
  <c r="E23" i="3"/>
  <c r="E51" i="3"/>
  <c r="E65" i="3"/>
  <c r="E38" i="3"/>
  <c r="E25" i="3"/>
  <c r="E59" i="3"/>
  <c r="L28" i="3"/>
  <c r="E58" i="3"/>
  <c r="E67" i="3"/>
  <c r="E39" i="3"/>
  <c r="C58" i="3"/>
  <c r="E44" i="3"/>
  <c r="E60" i="3"/>
  <c r="E34" i="3"/>
  <c r="E21" i="3"/>
  <c r="L12" i="3"/>
  <c r="E15" i="3"/>
  <c r="C23" i="3"/>
  <c r="C57" i="3"/>
  <c r="C70" i="3"/>
  <c r="C53" i="3"/>
  <c r="C32" i="3"/>
  <c r="C11" i="3"/>
  <c r="E57" i="3"/>
  <c r="E69" i="3"/>
  <c r="C33" i="3"/>
  <c r="C63" i="3"/>
  <c r="C66" i="3"/>
  <c r="C48" i="3"/>
  <c r="C27" i="3"/>
  <c r="C5" i="3"/>
  <c r="C41" i="3"/>
  <c r="C44" i="3"/>
  <c r="C68" i="3"/>
  <c r="C62" i="3"/>
  <c r="C43" i="3"/>
  <c r="C21" i="3"/>
  <c r="C36" i="3"/>
  <c r="C15" i="3"/>
  <c r="C46" i="3"/>
  <c r="C30" i="3"/>
  <c r="C14" i="3"/>
  <c r="C55" i="3"/>
  <c r="C64" i="3"/>
  <c r="C35" i="3"/>
  <c r="C71" i="3"/>
  <c r="C7" i="3"/>
  <c r="C56" i="3"/>
  <c r="C19" i="3"/>
  <c r="C9" i="3"/>
  <c r="C42" i="3"/>
  <c r="C26" i="3"/>
  <c r="C10" i="3"/>
  <c r="C39" i="3"/>
  <c r="C59" i="3"/>
  <c r="C24" i="3"/>
  <c r="C60" i="3"/>
  <c r="C72" i="3"/>
  <c r="C49" i="3"/>
  <c r="C8" i="3"/>
  <c r="E8" i="3"/>
  <c r="C25" i="3"/>
  <c r="C4" i="3"/>
  <c r="C54" i="3"/>
  <c r="C38" i="3"/>
  <c r="C22" i="3"/>
  <c r="C6" i="3"/>
  <c r="C17" i="3"/>
  <c r="C52" i="3"/>
  <c r="C13" i="3"/>
  <c r="C47" i="3"/>
  <c r="C67" i="3"/>
  <c r="C40" i="3"/>
  <c r="E48" i="3"/>
  <c r="C20" i="3"/>
  <c r="C50" i="3"/>
  <c r="C34" i="3"/>
  <c r="C18" i="3"/>
  <c r="C65" i="3"/>
  <c r="C69" i="3"/>
  <c r="C45" i="3"/>
  <c r="C3" i="3"/>
  <c r="C28" i="3"/>
  <c r="C61" i="3"/>
  <c r="C29" i="3"/>
  <c r="E40" i="3"/>
  <c r="E16" i="3"/>
  <c r="B2" i="2"/>
  <c r="U13" i="9"/>
  <c r="U11" i="9"/>
  <c r="B4" i="4"/>
  <c r="B2" i="4"/>
  <c r="C2" i="4" s="1"/>
  <c r="D2" i="4" s="1"/>
  <c r="E2" i="4" s="1"/>
  <c r="F2" i="4" s="1"/>
  <c r="G2" i="4" s="1"/>
  <c r="H2" i="4" s="1"/>
  <c r="B5" i="2"/>
  <c r="B9" i="2"/>
  <c r="B13" i="2"/>
  <c r="B17" i="2"/>
  <c r="B21" i="2"/>
  <c r="B25" i="2"/>
  <c r="B29" i="2"/>
  <c r="B33" i="2"/>
  <c r="B37" i="2"/>
  <c r="B44" i="2"/>
  <c r="B48" i="2"/>
  <c r="B51" i="2"/>
  <c r="B55" i="2"/>
  <c r="B59" i="2"/>
  <c r="B63" i="2"/>
  <c r="B66" i="2"/>
  <c r="B69" i="2"/>
  <c r="B73" i="2"/>
  <c r="B76" i="2"/>
  <c r="B81" i="2"/>
  <c r="B86" i="2"/>
  <c r="B89" i="2"/>
  <c r="B94" i="2"/>
  <c r="B97" i="2"/>
  <c r="B99" i="2"/>
  <c r="B102" i="2"/>
  <c r="B107" i="2"/>
  <c r="B110" i="2"/>
  <c r="B115" i="2"/>
  <c r="B118" i="2"/>
  <c r="B123" i="2"/>
  <c r="B126" i="2"/>
  <c r="B129" i="2"/>
  <c r="B136" i="2"/>
  <c r="B3" i="2"/>
  <c r="B8" i="2"/>
  <c r="B14" i="2"/>
  <c r="B19" i="2"/>
  <c r="B24" i="2"/>
  <c r="B30" i="2"/>
  <c r="B35" i="2"/>
  <c r="B40" i="2"/>
  <c r="B45" i="2"/>
  <c r="B49" i="2"/>
  <c r="B54" i="2"/>
  <c r="B60" i="2"/>
  <c r="B65" i="2"/>
  <c r="B68" i="2"/>
  <c r="B74" i="2"/>
  <c r="B77" i="2"/>
  <c r="B84" i="2"/>
  <c r="B91" i="2"/>
  <c r="B95" i="2"/>
  <c r="B98" i="2"/>
  <c r="B101" i="2"/>
  <c r="B105" i="2"/>
  <c r="B112" i="2"/>
  <c r="B116" i="2"/>
  <c r="B119" i="2"/>
  <c r="B128" i="2"/>
  <c r="B131" i="2"/>
  <c r="B142" i="2"/>
  <c r="B146" i="2"/>
  <c r="B148" i="2"/>
  <c r="G1" i="2"/>
  <c r="K1" i="2"/>
  <c r="O1" i="2"/>
  <c r="S1" i="2"/>
  <c r="B12" i="2"/>
  <c r="B18" i="2"/>
  <c r="B23" i="2"/>
  <c r="B34" i="2"/>
  <c r="B39" i="2"/>
  <c r="B53" i="2"/>
  <c r="B64" i="2"/>
  <c r="B72" i="2"/>
  <c r="B4" i="2"/>
  <c r="B10" i="2"/>
  <c r="B15" i="2"/>
  <c r="B20" i="2"/>
  <c r="B26" i="2"/>
  <c r="B31" i="2"/>
  <c r="B36" i="2"/>
  <c r="B41" i="2"/>
  <c r="B46" i="2"/>
  <c r="B50" i="2"/>
  <c r="B56" i="2"/>
  <c r="B61" i="2"/>
  <c r="B70" i="2"/>
  <c r="B78" i="2"/>
  <c r="B82" i="2"/>
  <c r="B85" i="2"/>
  <c r="B88" i="2"/>
  <c r="B92" i="2"/>
  <c r="B106" i="2"/>
  <c r="B109" i="2"/>
  <c r="B113" i="2"/>
  <c r="B120" i="2"/>
  <c r="B124" i="2"/>
  <c r="B132" i="2"/>
  <c r="B134" i="2"/>
  <c r="B135" i="2"/>
  <c r="B137" i="2"/>
  <c r="B138" i="2"/>
  <c r="B139" i="2"/>
  <c r="B140" i="2"/>
  <c r="B145" i="2"/>
  <c r="D1" i="2"/>
  <c r="H1" i="2"/>
  <c r="L1" i="2"/>
  <c r="P1" i="2"/>
  <c r="T1" i="2"/>
  <c r="B6" i="2"/>
  <c r="B11" i="2"/>
  <c r="B16" i="2"/>
  <c r="B22" i="2"/>
  <c r="B27" i="2"/>
  <c r="B32" i="2"/>
  <c r="B38" i="2"/>
  <c r="B42" i="2"/>
  <c r="B47" i="2"/>
  <c r="B52" i="2"/>
  <c r="B57" i="2"/>
  <c r="B62" i="2"/>
  <c r="B67" i="2"/>
  <c r="B71" i="2"/>
  <c r="B75" i="2"/>
  <c r="B79" i="2"/>
  <c r="B93" i="2"/>
  <c r="B96" i="2"/>
  <c r="B100" i="2"/>
  <c r="B103" i="2"/>
  <c r="B114" i="2"/>
  <c r="B117" i="2"/>
  <c r="B121" i="2"/>
  <c r="B127" i="2"/>
  <c r="B143" i="2"/>
  <c r="B147" i="2"/>
  <c r="E1" i="2"/>
  <c r="I1" i="2"/>
  <c r="M1" i="2"/>
  <c r="M74" i="2" s="1"/>
  <c r="Q1" i="2"/>
  <c r="U1" i="2"/>
  <c r="B7" i="2"/>
  <c r="B28" i="2"/>
  <c r="B43" i="2"/>
  <c r="B58" i="2"/>
  <c r="B83" i="2"/>
  <c r="B111" i="2"/>
  <c r="B125" i="2"/>
  <c r="N1" i="2"/>
  <c r="F1" i="2"/>
  <c r="B108" i="2"/>
  <c r="B133" i="2"/>
  <c r="B141" i="2"/>
  <c r="J1" i="2"/>
  <c r="J74" i="2" s="1"/>
  <c r="B87" i="2"/>
  <c r="R1" i="2"/>
  <c r="B90" i="2"/>
  <c r="B104" i="2"/>
  <c r="B130" i="2"/>
  <c r="B80" i="2"/>
  <c r="B122" i="2"/>
  <c r="B144" i="2"/>
  <c r="B149" i="2"/>
  <c r="C176" i="2" a="1"/>
  <c r="X2" i="2" l="1"/>
  <c r="X153" i="2" s="1"/>
  <c r="X9" i="2"/>
  <c r="X25" i="2"/>
  <c r="X41" i="2"/>
  <c r="X57" i="2"/>
  <c r="X73" i="2"/>
  <c r="X89" i="2"/>
  <c r="X105" i="2"/>
  <c r="X121" i="2"/>
  <c r="X137" i="2"/>
  <c r="X11" i="2"/>
  <c r="X27" i="2"/>
  <c r="X43" i="2"/>
  <c r="X59" i="2"/>
  <c r="X75" i="2"/>
  <c r="X107" i="2"/>
  <c r="X123" i="2"/>
  <c r="X139" i="2"/>
  <c r="X10" i="2"/>
  <c r="X26" i="2"/>
  <c r="X42" i="2"/>
  <c r="X58" i="2"/>
  <c r="X74" i="2"/>
  <c r="X90" i="2"/>
  <c r="X106" i="2"/>
  <c r="X122" i="2"/>
  <c r="X138" i="2"/>
  <c r="X91" i="2"/>
  <c r="X5" i="2"/>
  <c r="X24" i="2"/>
  <c r="X46" i="2"/>
  <c r="X65" i="2"/>
  <c r="X84" i="2"/>
  <c r="X103" i="2"/>
  <c r="X125" i="2"/>
  <c r="X144" i="2"/>
  <c r="X6" i="2"/>
  <c r="X28" i="2"/>
  <c r="X47" i="2"/>
  <c r="X85" i="2"/>
  <c r="X104" i="2"/>
  <c r="X126" i="2"/>
  <c r="X145" i="2"/>
  <c r="X48" i="2"/>
  <c r="X108" i="2"/>
  <c r="X66" i="2"/>
  <c r="X7" i="2"/>
  <c r="X29" i="2"/>
  <c r="X67" i="2"/>
  <c r="X86" i="2"/>
  <c r="X127" i="2"/>
  <c r="X146" i="2"/>
  <c r="X31" i="2"/>
  <c r="X53" i="2"/>
  <c r="X78" i="2"/>
  <c r="X100" i="2"/>
  <c r="X128" i="2"/>
  <c r="X152" i="2"/>
  <c r="X4" i="2"/>
  <c r="X54" i="2"/>
  <c r="X101" i="2"/>
  <c r="X129" i="2"/>
  <c r="X80" i="2"/>
  <c r="X34" i="2"/>
  <c r="T29" i="9" s="1"/>
  <c r="X81" i="2"/>
  <c r="X131" i="2"/>
  <c r="X13" i="2"/>
  <c r="X35" i="2"/>
  <c r="X60" i="2"/>
  <c r="X110" i="2"/>
  <c r="X132" i="2"/>
  <c r="X14" i="2"/>
  <c r="X61" i="2"/>
  <c r="X111" i="2"/>
  <c r="X151" i="2" s="1"/>
  <c r="X15" i="2"/>
  <c r="X37" i="2"/>
  <c r="X87" i="2"/>
  <c r="X134" i="2"/>
  <c r="X16" i="2"/>
  <c r="X63" i="2"/>
  <c r="X113" i="2"/>
  <c r="X64" i="2"/>
  <c r="X136" i="2"/>
  <c r="X32" i="2"/>
  <c r="X79" i="2"/>
  <c r="X3" i="2"/>
  <c r="X8" i="2"/>
  <c r="X33" i="2"/>
  <c r="X55" i="2"/>
  <c r="X102" i="2"/>
  <c r="X130" i="2"/>
  <c r="X12" i="2"/>
  <c r="X56" i="2"/>
  <c r="X109" i="2"/>
  <c r="X82" i="2"/>
  <c r="X36" i="2"/>
  <c r="X83" i="2"/>
  <c r="X133" i="2"/>
  <c r="X62" i="2"/>
  <c r="X112" i="2"/>
  <c r="X38" i="2"/>
  <c r="X88" i="2"/>
  <c r="X135" i="2"/>
  <c r="X17" i="2"/>
  <c r="X39" i="2"/>
  <c r="X92" i="2"/>
  <c r="X114" i="2"/>
  <c r="X45" i="2"/>
  <c r="X97" i="2"/>
  <c r="X149" i="2"/>
  <c r="X49" i="2"/>
  <c r="X98" i="2"/>
  <c r="X50" i="2"/>
  <c r="X99" i="2"/>
  <c r="X51" i="2"/>
  <c r="X115" i="2"/>
  <c r="X52" i="2"/>
  <c r="X116" i="2"/>
  <c r="X68" i="2"/>
  <c r="X117" i="2"/>
  <c r="X69" i="2"/>
  <c r="X118" i="2"/>
  <c r="X18" i="2"/>
  <c r="X70" i="2"/>
  <c r="X119" i="2"/>
  <c r="X19" i="2"/>
  <c r="X71" i="2"/>
  <c r="X120" i="2"/>
  <c r="X20" i="2"/>
  <c r="X72" i="2"/>
  <c r="X124" i="2"/>
  <c r="X21" i="2"/>
  <c r="X76" i="2"/>
  <c r="X140" i="2"/>
  <c r="X22" i="2"/>
  <c r="X77" i="2"/>
  <c r="X141" i="2"/>
  <c r="X23" i="2"/>
  <c r="X93" i="2"/>
  <c r="X142" i="2"/>
  <c r="X30" i="2"/>
  <c r="X94" i="2"/>
  <c r="X143" i="2"/>
  <c r="X40" i="2"/>
  <c r="X95" i="2"/>
  <c r="X147" i="2"/>
  <c r="X44" i="2"/>
  <c r="X96" i="2"/>
  <c r="X148" i="2"/>
  <c r="B1" i="4"/>
  <c r="V140" i="2"/>
  <c r="V111" i="2"/>
  <c r="V119" i="2"/>
  <c r="V127" i="2"/>
  <c r="V135" i="2"/>
  <c r="V143" i="2"/>
  <c r="V5" i="2"/>
  <c r="V13" i="2"/>
  <c r="V21" i="2"/>
  <c r="V29" i="2"/>
  <c r="V37" i="2"/>
  <c r="V45" i="2"/>
  <c r="V53" i="2"/>
  <c r="V61" i="2"/>
  <c r="V69" i="2"/>
  <c r="V77" i="2"/>
  <c r="V85" i="2"/>
  <c r="V93" i="2"/>
  <c r="V101" i="2"/>
  <c r="V78" i="2"/>
  <c r="V94" i="2"/>
  <c r="V102" i="2"/>
  <c r="V122" i="2"/>
  <c r="V138" i="2"/>
  <c r="V8" i="2"/>
  <c r="V24" i="2"/>
  <c r="V40" i="2"/>
  <c r="V72" i="2"/>
  <c r="V96" i="2"/>
  <c r="V123" i="2"/>
  <c r="V57" i="2"/>
  <c r="V2" i="2"/>
  <c r="V153" i="2" s="1"/>
  <c r="V116" i="2"/>
  <c r="V124" i="2"/>
  <c r="V10" i="2"/>
  <c r="V26" i="2"/>
  <c r="V42" i="2"/>
  <c r="V50" i="2"/>
  <c r="V74" i="2"/>
  <c r="V90" i="2"/>
  <c r="V147" i="2"/>
  <c r="V65" i="2"/>
  <c r="V97" i="2"/>
  <c r="V132" i="2"/>
  <c r="V58" i="2"/>
  <c r="V98" i="2"/>
  <c r="V104" i="2"/>
  <c r="V112" i="2"/>
  <c r="V120" i="2"/>
  <c r="V128" i="2"/>
  <c r="V136" i="2"/>
  <c r="V144" i="2"/>
  <c r="V6" i="2"/>
  <c r="V14" i="2"/>
  <c r="V22" i="2"/>
  <c r="V30" i="2"/>
  <c r="V38" i="2"/>
  <c r="V46" i="2"/>
  <c r="V54" i="2"/>
  <c r="V62" i="2"/>
  <c r="V70" i="2"/>
  <c r="V86" i="2"/>
  <c r="V105" i="2"/>
  <c r="V121" i="2"/>
  <c r="V129" i="2"/>
  <c r="V145" i="2"/>
  <c r="V15" i="2"/>
  <c r="V31" i="2"/>
  <c r="V47" i="2"/>
  <c r="V63" i="2"/>
  <c r="V79" i="2"/>
  <c r="V95" i="2"/>
  <c r="V114" i="2"/>
  <c r="V16" i="2"/>
  <c r="V56" i="2"/>
  <c r="V115" i="2"/>
  <c r="V131" i="2"/>
  <c r="V139" i="2"/>
  <c r="V9" i="2"/>
  <c r="V25" i="2"/>
  <c r="V41" i="2"/>
  <c r="V73" i="2"/>
  <c r="V108" i="2"/>
  <c r="V148" i="2"/>
  <c r="V34" i="2"/>
  <c r="V66" i="2"/>
  <c r="V82" i="2"/>
  <c r="V113" i="2"/>
  <c r="V137" i="2"/>
  <c r="V7" i="2"/>
  <c r="V23" i="2"/>
  <c r="V39" i="2"/>
  <c r="V55" i="2"/>
  <c r="V71" i="2"/>
  <c r="V87" i="2"/>
  <c r="V103" i="2"/>
  <c r="V106" i="2"/>
  <c r="V130" i="2"/>
  <c r="V146" i="2"/>
  <c r="V32" i="2"/>
  <c r="V48" i="2"/>
  <c r="V64" i="2"/>
  <c r="V88" i="2"/>
  <c r="V3" i="2"/>
  <c r="V33" i="2"/>
  <c r="V81" i="2"/>
  <c r="V18" i="2"/>
  <c r="V80" i="2"/>
  <c r="V107" i="2"/>
  <c r="V17" i="2"/>
  <c r="V49" i="2"/>
  <c r="V89" i="2"/>
  <c r="V109" i="2"/>
  <c r="V117" i="2"/>
  <c r="V125" i="2"/>
  <c r="V133" i="2"/>
  <c r="V141" i="2"/>
  <c r="V149" i="2"/>
  <c r="V11" i="2"/>
  <c r="V19" i="2"/>
  <c r="V27" i="2"/>
  <c r="V35" i="2"/>
  <c r="V43" i="2"/>
  <c r="V51" i="2"/>
  <c r="V59" i="2"/>
  <c r="V67" i="2"/>
  <c r="V75" i="2"/>
  <c r="V83" i="2"/>
  <c r="V91" i="2"/>
  <c r="V99" i="2"/>
  <c r="V52" i="2"/>
  <c r="V68" i="2"/>
  <c r="V118" i="2"/>
  <c r="V134" i="2"/>
  <c r="V92" i="2"/>
  <c r="V28" i="2"/>
  <c r="V44" i="2"/>
  <c r="V60" i="2"/>
  <c r="V76" i="2"/>
  <c r="V84" i="2"/>
  <c r="V12" i="2"/>
  <c r="V100" i="2"/>
  <c r="V110" i="2"/>
  <c r="V126" i="2"/>
  <c r="V142" i="2"/>
  <c r="V4" i="2"/>
  <c r="V20" i="2"/>
  <c r="V36" i="2"/>
  <c r="W110" i="2"/>
  <c r="W118" i="2"/>
  <c r="W126" i="2"/>
  <c r="W134" i="2"/>
  <c r="W142" i="2"/>
  <c r="W4" i="2"/>
  <c r="W12" i="2"/>
  <c r="W20" i="2"/>
  <c r="W28" i="2"/>
  <c r="W36" i="2"/>
  <c r="W44" i="2"/>
  <c r="W52" i="2"/>
  <c r="W60" i="2"/>
  <c r="W68" i="2"/>
  <c r="W76" i="2"/>
  <c r="W84" i="2"/>
  <c r="W92" i="2"/>
  <c r="W100" i="2"/>
  <c r="W107" i="2"/>
  <c r="W123" i="2"/>
  <c r="W131" i="2"/>
  <c r="W139" i="2"/>
  <c r="W147" i="2"/>
  <c r="W9" i="2"/>
  <c r="W25" i="2"/>
  <c r="W41" i="2"/>
  <c r="W57" i="2"/>
  <c r="W81" i="2"/>
  <c r="W140" i="2"/>
  <c r="W42" i="2"/>
  <c r="W82" i="2"/>
  <c r="W111" i="2"/>
  <c r="W119" i="2"/>
  <c r="W127" i="2"/>
  <c r="W135" i="2"/>
  <c r="W143" i="2"/>
  <c r="W5" i="2"/>
  <c r="W13" i="2"/>
  <c r="W21" i="2"/>
  <c r="W29" i="2"/>
  <c r="W37" i="2"/>
  <c r="W45" i="2"/>
  <c r="W53" i="2"/>
  <c r="W61" i="2"/>
  <c r="W69" i="2"/>
  <c r="W77" i="2"/>
  <c r="W85" i="2"/>
  <c r="W93" i="2"/>
  <c r="W101" i="2"/>
  <c r="W102" i="2"/>
  <c r="W95" i="2"/>
  <c r="W106" i="2"/>
  <c r="W122" i="2"/>
  <c r="W146" i="2"/>
  <c r="W16" i="2"/>
  <c r="W40" i="2"/>
  <c r="W56" i="2"/>
  <c r="W64" i="2"/>
  <c r="W80" i="2"/>
  <c r="W33" i="2"/>
  <c r="W2" i="2"/>
  <c r="W153" i="2" s="1"/>
  <c r="W10" i="2"/>
  <c r="W24" i="2"/>
  <c r="W17" i="2"/>
  <c r="W73" i="2"/>
  <c r="W97" i="2"/>
  <c r="W108" i="2"/>
  <c r="W113" i="2"/>
  <c r="W137" i="2"/>
  <c r="W15" i="2"/>
  <c r="W39" i="2"/>
  <c r="W63" i="2"/>
  <c r="W79" i="2"/>
  <c r="W103" i="2"/>
  <c r="W130" i="2"/>
  <c r="W48" i="2"/>
  <c r="W96" i="2"/>
  <c r="W89" i="2"/>
  <c r="W26" i="2"/>
  <c r="W104" i="2"/>
  <c r="W112" i="2"/>
  <c r="W120" i="2"/>
  <c r="W128" i="2"/>
  <c r="W136" i="2"/>
  <c r="W144" i="2"/>
  <c r="W6" i="2"/>
  <c r="W14" i="2"/>
  <c r="W22" i="2"/>
  <c r="W30" i="2"/>
  <c r="W38" i="2"/>
  <c r="W46" i="2"/>
  <c r="W54" i="2"/>
  <c r="W62" i="2"/>
  <c r="T4" i="9" s="1"/>
  <c r="W70" i="2"/>
  <c r="W78" i="2"/>
  <c r="W86" i="2"/>
  <c r="W94" i="2"/>
  <c r="W105" i="2"/>
  <c r="W121" i="2"/>
  <c r="W129" i="2"/>
  <c r="W145" i="2"/>
  <c r="W7" i="2"/>
  <c r="W23" i="2"/>
  <c r="W31" i="2"/>
  <c r="W47" i="2"/>
  <c r="W55" i="2"/>
  <c r="W71" i="2"/>
  <c r="W87" i="2"/>
  <c r="W114" i="2"/>
  <c r="W138" i="2"/>
  <c r="W32" i="2"/>
  <c r="W72" i="2"/>
  <c r="W3" i="2"/>
  <c r="W115" i="2"/>
  <c r="W49" i="2"/>
  <c r="W116" i="2"/>
  <c r="W132" i="2"/>
  <c r="W148" i="2"/>
  <c r="W18" i="2"/>
  <c r="W34" i="2"/>
  <c r="W50" i="2"/>
  <c r="W58" i="2"/>
  <c r="W66" i="2"/>
  <c r="W90" i="2"/>
  <c r="W8" i="2"/>
  <c r="W88" i="2"/>
  <c r="W65" i="2"/>
  <c r="W124" i="2"/>
  <c r="W109" i="2"/>
  <c r="W117" i="2"/>
  <c r="W125" i="2"/>
  <c r="W133" i="2"/>
  <c r="W141" i="2"/>
  <c r="W149" i="2"/>
  <c r="W11" i="2"/>
  <c r="W19" i="2"/>
  <c r="W27" i="2"/>
  <c r="W35" i="2"/>
  <c r="W43" i="2"/>
  <c r="W51" i="2"/>
  <c r="W59" i="2"/>
  <c r="W74" i="2"/>
  <c r="W98" i="2"/>
  <c r="W75" i="2"/>
  <c r="W83" i="2"/>
  <c r="W91" i="2"/>
  <c r="W99" i="2"/>
  <c r="W67" i="2"/>
  <c r="C176" i="2"/>
  <c r="B150" i="2"/>
  <c r="K4" i="2"/>
  <c r="K3" i="2"/>
  <c r="B153" i="2"/>
  <c r="B1" i="7"/>
  <c r="I2" i="4"/>
  <c r="R136" i="2"/>
  <c r="R80" i="2"/>
  <c r="R108" i="2"/>
  <c r="R138" i="2"/>
  <c r="R142" i="2"/>
  <c r="R116" i="2"/>
  <c r="R140" i="2"/>
  <c r="R148" i="2"/>
  <c r="R124" i="2"/>
  <c r="R134" i="2"/>
  <c r="R144" i="2"/>
  <c r="R147" i="2"/>
  <c r="R86" i="2"/>
  <c r="R117" i="2"/>
  <c r="R130" i="2"/>
  <c r="R92" i="2"/>
  <c r="R120" i="2"/>
  <c r="R98" i="2"/>
  <c r="R127" i="2"/>
  <c r="R145" i="2"/>
  <c r="R146" i="2"/>
  <c r="R94" i="2"/>
  <c r="R125" i="2"/>
  <c r="R132" i="2"/>
  <c r="R100" i="2"/>
  <c r="R10" i="2"/>
  <c r="R105" i="2"/>
  <c r="R129" i="2"/>
  <c r="R109" i="2"/>
  <c r="R84" i="2"/>
  <c r="R90" i="2"/>
  <c r="R133" i="2"/>
  <c r="R137" i="2"/>
  <c r="R88" i="2"/>
  <c r="R78" i="2"/>
  <c r="R128" i="2"/>
  <c r="R112" i="2"/>
  <c r="R121" i="2"/>
  <c r="R141" i="2"/>
  <c r="R25" i="2"/>
  <c r="R104" i="2"/>
  <c r="R2" i="2"/>
  <c r="R153" i="2" s="1"/>
  <c r="R139" i="2"/>
  <c r="R101" i="2"/>
  <c r="R82" i="2"/>
  <c r="R149" i="2"/>
  <c r="R96" i="2"/>
  <c r="R143" i="2"/>
  <c r="R126" i="2"/>
  <c r="R113" i="2"/>
  <c r="R76" i="2"/>
  <c r="R135" i="2"/>
  <c r="R7" i="2"/>
  <c r="R16" i="2"/>
  <c r="R20" i="2"/>
  <c r="R18" i="2"/>
  <c r="R29" i="2"/>
  <c r="R26" i="2"/>
  <c r="R37" i="2"/>
  <c r="R41" i="2"/>
  <c r="R45" i="2"/>
  <c r="R49" i="2"/>
  <c r="R53" i="2"/>
  <c r="R59" i="2"/>
  <c r="R63" i="2"/>
  <c r="R67" i="2"/>
  <c r="R71" i="2"/>
  <c r="R57" i="2"/>
  <c r="R72" i="2"/>
  <c r="R122" i="2"/>
  <c r="R106" i="2"/>
  <c r="R131" i="2"/>
  <c r="R3" i="2"/>
  <c r="R11" i="2"/>
  <c r="R19" i="2"/>
  <c r="R6" i="2"/>
  <c r="R27" i="2"/>
  <c r="R32" i="2"/>
  <c r="R35" i="2"/>
  <c r="R39" i="2"/>
  <c r="R43" i="2"/>
  <c r="R47" i="2"/>
  <c r="R51" i="2"/>
  <c r="R21" i="2"/>
  <c r="R61" i="2"/>
  <c r="R65" i="2"/>
  <c r="R69" i="2"/>
  <c r="R30" i="2"/>
  <c r="R17" i="2"/>
  <c r="R114" i="2"/>
  <c r="R55" i="2"/>
  <c r="R15" i="2"/>
  <c r="R23" i="2"/>
  <c r="R31" i="2"/>
  <c r="R42" i="2"/>
  <c r="R50" i="2"/>
  <c r="R60" i="2"/>
  <c r="R68" i="2"/>
  <c r="R73" i="2"/>
  <c r="R118" i="2"/>
  <c r="R119" i="2"/>
  <c r="R5" i="2"/>
  <c r="R8" i="2"/>
  <c r="R28" i="2"/>
  <c r="R36" i="2"/>
  <c r="R44" i="2"/>
  <c r="R52" i="2"/>
  <c r="R62" i="2"/>
  <c r="R70" i="2"/>
  <c r="R56" i="2"/>
  <c r="R110" i="2"/>
  <c r="R115" i="2"/>
  <c r="R9" i="2"/>
  <c r="R24" i="2"/>
  <c r="R12" i="2"/>
  <c r="R38" i="2"/>
  <c r="R46" i="2"/>
  <c r="R54" i="2"/>
  <c r="R64" i="2"/>
  <c r="R4" i="2"/>
  <c r="R102" i="2"/>
  <c r="R111" i="2"/>
  <c r="R13" i="2"/>
  <c r="R14" i="2"/>
  <c r="R22" i="2"/>
  <c r="R66" i="2"/>
  <c r="R107" i="2"/>
  <c r="R97" i="2"/>
  <c r="R89" i="2"/>
  <c r="R81" i="2"/>
  <c r="R40" i="2"/>
  <c r="R34" i="2"/>
  <c r="R99" i="2"/>
  <c r="R91" i="2"/>
  <c r="R83" i="2"/>
  <c r="R75" i="2"/>
  <c r="R48" i="2"/>
  <c r="R123" i="2"/>
  <c r="R93" i="2"/>
  <c r="R85" i="2"/>
  <c r="R77" i="2"/>
  <c r="R74" i="2"/>
  <c r="R33" i="2"/>
  <c r="R58" i="2"/>
  <c r="R103" i="2"/>
  <c r="R95" i="2"/>
  <c r="R87" i="2"/>
  <c r="R79" i="2"/>
  <c r="Q77" i="2"/>
  <c r="Q135" i="2"/>
  <c r="Q137" i="2"/>
  <c r="Q139" i="2"/>
  <c r="Q126" i="2"/>
  <c r="Q128" i="2"/>
  <c r="Q146" i="2"/>
  <c r="Q85" i="2"/>
  <c r="Q143" i="2"/>
  <c r="Q147" i="2"/>
  <c r="Q67" i="2"/>
  <c r="Q141" i="2"/>
  <c r="Q93" i="2"/>
  <c r="Q140" i="2"/>
  <c r="Q76" i="2"/>
  <c r="Q83" i="2"/>
  <c r="Q112" i="2"/>
  <c r="Q74" i="2"/>
  <c r="Q107" i="2"/>
  <c r="Q129" i="2"/>
  <c r="Q70" i="2"/>
  <c r="Q108" i="2"/>
  <c r="Q148" i="2"/>
  <c r="Q91" i="2"/>
  <c r="Q59" i="2"/>
  <c r="Q97" i="2"/>
  <c r="Q131" i="2"/>
  <c r="Q87" i="2"/>
  <c r="Q145" i="2"/>
  <c r="Q138" i="2"/>
  <c r="Q136" i="2"/>
  <c r="Q134" i="2"/>
  <c r="Q71" i="2"/>
  <c r="Q104" i="2"/>
  <c r="Q81" i="2"/>
  <c r="Q123" i="2"/>
  <c r="Q63" i="2"/>
  <c r="Q116" i="2"/>
  <c r="Q132" i="2"/>
  <c r="Q111" i="2"/>
  <c r="Q99" i="2"/>
  <c r="Q115" i="2"/>
  <c r="Q95" i="2"/>
  <c r="Q149" i="2"/>
  <c r="Q144" i="2"/>
  <c r="Q120" i="2"/>
  <c r="Q127" i="2"/>
  <c r="Q124" i="2"/>
  <c r="Q62" i="2"/>
  <c r="Q66" i="2"/>
  <c r="Q133" i="2"/>
  <c r="Q103" i="2"/>
  <c r="Q89" i="2"/>
  <c r="Q113" i="2"/>
  <c r="Q94" i="2"/>
  <c r="Q86" i="2"/>
  <c r="Q78" i="2"/>
  <c r="Q142" i="2"/>
  <c r="Q79" i="2"/>
  <c r="Q119" i="2"/>
  <c r="Q121" i="2"/>
  <c r="Q105" i="2"/>
  <c r="Q98" i="2"/>
  <c r="Q90" i="2"/>
  <c r="Q82" i="2"/>
  <c r="Q75" i="2"/>
  <c r="Q125" i="2"/>
  <c r="Q100" i="2"/>
  <c r="Q84" i="2"/>
  <c r="Q5" i="2"/>
  <c r="Q9" i="2"/>
  <c r="Q13" i="2"/>
  <c r="Q17" i="2"/>
  <c r="Q27" i="2"/>
  <c r="Q31" i="2"/>
  <c r="Q22" i="2"/>
  <c r="Q37" i="2"/>
  <c r="Q41" i="2"/>
  <c r="Q45" i="2"/>
  <c r="Q49" i="2"/>
  <c r="Q53" i="2"/>
  <c r="Q57" i="2"/>
  <c r="Q24" i="2"/>
  <c r="Q69" i="2"/>
  <c r="Q68" i="2"/>
  <c r="Q110" i="2"/>
  <c r="Q117" i="2"/>
  <c r="Q96" i="2"/>
  <c r="Q80" i="2"/>
  <c r="Q6" i="2"/>
  <c r="Q10" i="2"/>
  <c r="Q14" i="2"/>
  <c r="Q18" i="2"/>
  <c r="Q28" i="2"/>
  <c r="Q32" i="2"/>
  <c r="Q26" i="2"/>
  <c r="Q38" i="2"/>
  <c r="Q42" i="2"/>
  <c r="Q46" i="2"/>
  <c r="Q50" i="2"/>
  <c r="Q54" i="2"/>
  <c r="Q58" i="2"/>
  <c r="Q20" i="2"/>
  <c r="Q72" i="2"/>
  <c r="Q122" i="2"/>
  <c r="Q106" i="2"/>
  <c r="Q2" i="2"/>
  <c r="Q153" i="2" s="1"/>
  <c r="Q109" i="2"/>
  <c r="Q92" i="2"/>
  <c r="Q3" i="2"/>
  <c r="Q7" i="2"/>
  <c r="Q11" i="2"/>
  <c r="Q15" i="2"/>
  <c r="Q19" i="2"/>
  <c r="Q29" i="2"/>
  <c r="Q33" i="2"/>
  <c r="Q35" i="2"/>
  <c r="Q39" i="2"/>
  <c r="Q43" i="2"/>
  <c r="Q47" i="2"/>
  <c r="Q51" i="2"/>
  <c r="Q55" i="2"/>
  <c r="Q21" i="2"/>
  <c r="Q61" i="2"/>
  <c r="Q60" i="2"/>
  <c r="Q118" i="2"/>
  <c r="Q130" i="2"/>
  <c r="Q4" i="2"/>
  <c r="Q23" i="2"/>
  <c r="Q40" i="2"/>
  <c r="Q56" i="2"/>
  <c r="Q102" i="2"/>
  <c r="Q8" i="2"/>
  <c r="Q30" i="2"/>
  <c r="Q44" i="2"/>
  <c r="Q25" i="2"/>
  <c r="Q12" i="2"/>
  <c r="Q34" i="2"/>
  <c r="Q48" i="2"/>
  <c r="Q65" i="2"/>
  <c r="Q101" i="2"/>
  <c r="Q88" i="2"/>
  <c r="Q16" i="2"/>
  <c r="Q36" i="2"/>
  <c r="Q52" i="2"/>
  <c r="Q64" i="2"/>
  <c r="Q114" i="2"/>
  <c r="Q73" i="2"/>
  <c r="L21" i="2"/>
  <c r="L123" i="2"/>
  <c r="L119" i="2"/>
  <c r="L5" i="2"/>
  <c r="L9" i="2"/>
  <c r="L13" i="2"/>
  <c r="L115" i="2"/>
  <c r="L3" i="2"/>
  <c r="L7" i="2"/>
  <c r="L11" i="2"/>
  <c r="L16" i="2"/>
  <c r="L23" i="2"/>
  <c r="L20" i="2"/>
  <c r="L29" i="2"/>
  <c r="L40" i="2"/>
  <c r="L58" i="2"/>
  <c r="L43" i="2"/>
  <c r="L30" i="2"/>
  <c r="L66" i="2"/>
  <c r="L42" i="2"/>
  <c r="L61" i="2"/>
  <c r="L76" i="2"/>
  <c r="L80" i="2"/>
  <c r="L84" i="2"/>
  <c r="L88" i="2"/>
  <c r="L92" i="2"/>
  <c r="L96" i="2"/>
  <c r="L100" i="2"/>
  <c r="L64" i="2"/>
  <c r="L110" i="2"/>
  <c r="L2" i="2"/>
  <c r="L153" i="2" s="1"/>
  <c r="L104" i="2"/>
  <c r="L74" i="2"/>
  <c r="L113" i="2"/>
  <c r="L126" i="2"/>
  <c r="L130" i="2"/>
  <c r="L134" i="2"/>
  <c r="L138" i="2"/>
  <c r="L142" i="2"/>
  <c r="L146" i="2"/>
  <c r="L67" i="2"/>
  <c r="L6" i="2"/>
  <c r="L14" i="2"/>
  <c r="L27" i="2"/>
  <c r="L32" i="2"/>
  <c r="L36" i="2"/>
  <c r="L25" i="2"/>
  <c r="L51" i="2"/>
  <c r="L62" i="2"/>
  <c r="L46" i="2"/>
  <c r="L69" i="2"/>
  <c r="L79" i="2"/>
  <c r="L85" i="2"/>
  <c r="L90" i="2"/>
  <c r="L95" i="2"/>
  <c r="L28" i="2"/>
  <c r="L102" i="2"/>
  <c r="L122" i="2"/>
  <c r="L37" i="2"/>
  <c r="L105" i="2"/>
  <c r="L125" i="2"/>
  <c r="L131" i="2"/>
  <c r="L136" i="2"/>
  <c r="L141" i="2"/>
  <c r="L147" i="2"/>
  <c r="L108" i="2"/>
  <c r="L111" i="2"/>
  <c r="L8" i="2"/>
  <c r="L15" i="2"/>
  <c r="L22" i="2"/>
  <c r="L18" i="2"/>
  <c r="L44" i="2"/>
  <c r="L35" i="2"/>
  <c r="L57" i="2"/>
  <c r="L70" i="2"/>
  <c r="L50" i="2"/>
  <c r="L75" i="2"/>
  <c r="L81" i="2"/>
  <c r="L86" i="2"/>
  <c r="L91" i="2"/>
  <c r="L97" i="2"/>
  <c r="L56" i="2"/>
  <c r="L10" i="2"/>
  <c r="L19" i="2"/>
  <c r="L26" i="2"/>
  <c r="L31" i="2"/>
  <c r="L48" i="2"/>
  <c r="L39" i="2"/>
  <c r="L55" i="2"/>
  <c r="L72" i="2"/>
  <c r="L54" i="2"/>
  <c r="L77" i="2"/>
  <c r="L82" i="2"/>
  <c r="L87" i="2"/>
  <c r="L93" i="2"/>
  <c r="L98" i="2"/>
  <c r="L60" i="2"/>
  <c r="L114" i="2"/>
  <c r="L63" i="2"/>
  <c r="L53" i="2"/>
  <c r="L117" i="2"/>
  <c r="L128" i="2"/>
  <c r="L133" i="2"/>
  <c r="L139" i="2"/>
  <c r="L144" i="2"/>
  <c r="L149" i="2"/>
  <c r="L24" i="2"/>
  <c r="L59" i="2"/>
  <c r="L83" i="2"/>
  <c r="L68" i="2"/>
  <c r="L71" i="2"/>
  <c r="L121" i="2"/>
  <c r="L135" i="2"/>
  <c r="L145" i="2"/>
  <c r="L41" i="2"/>
  <c r="L124" i="2"/>
  <c r="L4" i="2"/>
  <c r="L33" i="2"/>
  <c r="L38" i="2"/>
  <c r="L89" i="2"/>
  <c r="L106" i="2"/>
  <c r="L45" i="2"/>
  <c r="L127" i="2"/>
  <c r="L137" i="2"/>
  <c r="L148" i="2"/>
  <c r="L12" i="2"/>
  <c r="L52" i="2"/>
  <c r="L65" i="2"/>
  <c r="L94" i="2"/>
  <c r="L118" i="2"/>
  <c r="L101" i="2"/>
  <c r="L129" i="2"/>
  <c r="L140" i="2"/>
  <c r="L73" i="2"/>
  <c r="L107" i="2"/>
  <c r="L116" i="2"/>
  <c r="L49" i="2"/>
  <c r="L17" i="2"/>
  <c r="L34" i="2"/>
  <c r="L112" i="2"/>
  <c r="L47" i="2"/>
  <c r="L109" i="2"/>
  <c r="L78" i="2"/>
  <c r="L132" i="2"/>
  <c r="L103" i="2"/>
  <c r="L120" i="2"/>
  <c r="L99" i="2"/>
  <c r="L143" i="2"/>
  <c r="K5" i="2"/>
  <c r="K13" i="2"/>
  <c r="K22" i="2"/>
  <c r="K26" i="2"/>
  <c r="K16" i="2"/>
  <c r="K29" i="2"/>
  <c r="K28" i="2"/>
  <c r="K35" i="2"/>
  <c r="K51" i="2"/>
  <c r="K46" i="2"/>
  <c r="K60" i="2"/>
  <c r="K64" i="2"/>
  <c r="K68" i="2"/>
  <c r="K72" i="2"/>
  <c r="K36" i="2"/>
  <c r="K52" i="2"/>
  <c r="K78" i="2"/>
  <c r="K82" i="2"/>
  <c r="K86" i="2"/>
  <c r="K90" i="2"/>
  <c r="K94" i="2"/>
  <c r="K98" i="2"/>
  <c r="K102" i="2"/>
  <c r="K106" i="2"/>
  <c r="K110" i="2"/>
  <c r="K114" i="2"/>
  <c r="K118" i="2"/>
  <c r="K122" i="2"/>
  <c r="K37" i="2"/>
  <c r="K126" i="2"/>
  <c r="K130" i="2"/>
  <c r="K134" i="2"/>
  <c r="K138" i="2"/>
  <c r="K142" i="2"/>
  <c r="K146" i="2"/>
  <c r="K41" i="2"/>
  <c r="K7" i="2"/>
  <c r="K18" i="2"/>
  <c r="K23" i="2"/>
  <c r="K27" i="2"/>
  <c r="K31" i="2"/>
  <c r="K30" i="2"/>
  <c r="K39" i="2"/>
  <c r="K57" i="2"/>
  <c r="K50" i="2"/>
  <c r="K61" i="2"/>
  <c r="K65" i="2"/>
  <c r="K69" i="2"/>
  <c r="K73" i="2"/>
  <c r="K40" i="2"/>
  <c r="K58" i="2"/>
  <c r="K79" i="2"/>
  <c r="K83" i="2"/>
  <c r="K87" i="2"/>
  <c r="K91" i="2"/>
  <c r="K95" i="2"/>
  <c r="K15" i="2"/>
  <c r="K9" i="2"/>
  <c r="K20" i="2"/>
  <c r="K24" i="2"/>
  <c r="K6" i="2"/>
  <c r="K12" i="2"/>
  <c r="K10" i="2"/>
  <c r="K34" i="2"/>
  <c r="K43" i="2"/>
  <c r="K38" i="2"/>
  <c r="K54" i="2"/>
  <c r="K62" i="2"/>
  <c r="K66" i="2"/>
  <c r="K70" i="2"/>
  <c r="K74" i="2"/>
  <c r="K44" i="2"/>
  <c r="K76" i="2"/>
  <c r="K80" i="2"/>
  <c r="K84" i="2"/>
  <c r="K88" i="2"/>
  <c r="K92" i="2"/>
  <c r="K96" i="2"/>
  <c r="K100" i="2"/>
  <c r="K104" i="2"/>
  <c r="K108" i="2"/>
  <c r="K112" i="2"/>
  <c r="K116" i="2"/>
  <c r="K120" i="2"/>
  <c r="K124" i="2"/>
  <c r="K53" i="2"/>
  <c r="K128" i="2"/>
  <c r="K132" i="2"/>
  <c r="K136" i="2"/>
  <c r="K140" i="2"/>
  <c r="K144" i="2"/>
  <c r="K148" i="2"/>
  <c r="K59" i="2"/>
  <c r="K19" i="2"/>
  <c r="K14" i="2"/>
  <c r="K47" i="2"/>
  <c r="K67" i="2"/>
  <c r="K77" i="2"/>
  <c r="K93" i="2"/>
  <c r="K103" i="2"/>
  <c r="K111" i="2"/>
  <c r="K119" i="2"/>
  <c r="K45" i="2"/>
  <c r="K131" i="2"/>
  <c r="K139" i="2"/>
  <c r="K147" i="2"/>
  <c r="K33" i="2"/>
  <c r="K11" i="2"/>
  <c r="K8" i="2"/>
  <c r="K42" i="2"/>
  <c r="K71" i="2"/>
  <c r="K81" i="2"/>
  <c r="K97" i="2"/>
  <c r="K105" i="2"/>
  <c r="K113" i="2"/>
  <c r="K121" i="2"/>
  <c r="K55" i="2"/>
  <c r="K133" i="2"/>
  <c r="K141" i="2"/>
  <c r="K149" i="2"/>
  <c r="K2" i="2"/>
  <c r="K153" i="2" s="1"/>
  <c r="K21" i="2"/>
  <c r="K17" i="2"/>
  <c r="K56" i="2"/>
  <c r="K75" i="2"/>
  <c r="K85" i="2"/>
  <c r="K99" i="2"/>
  <c r="K107" i="2"/>
  <c r="K115" i="2"/>
  <c r="K123" i="2"/>
  <c r="K127" i="2"/>
  <c r="K135" i="2"/>
  <c r="K143" i="2"/>
  <c r="K49" i="2"/>
  <c r="K25" i="2"/>
  <c r="K32" i="2"/>
  <c r="K63" i="2"/>
  <c r="K48" i="2"/>
  <c r="K89" i="2"/>
  <c r="K101" i="2"/>
  <c r="K109" i="2"/>
  <c r="K117" i="2"/>
  <c r="K125" i="2"/>
  <c r="K129" i="2"/>
  <c r="K137" i="2"/>
  <c r="K145" i="2"/>
  <c r="B151" i="2"/>
  <c r="M94" i="2"/>
  <c r="M78" i="2"/>
  <c r="M104" i="2"/>
  <c r="M112" i="2"/>
  <c r="M120" i="2"/>
  <c r="M127" i="2"/>
  <c r="M134" i="2"/>
  <c r="M133" i="2"/>
  <c r="M140" i="2"/>
  <c r="M148" i="2"/>
  <c r="M65" i="2"/>
  <c r="M145" i="2"/>
  <c r="M144" i="2"/>
  <c r="M138" i="2"/>
  <c r="M149" i="2"/>
  <c r="M142" i="2"/>
  <c r="M136" i="2"/>
  <c r="M137" i="2"/>
  <c r="M69" i="2"/>
  <c r="M92" i="2"/>
  <c r="M121" i="2"/>
  <c r="M108" i="2"/>
  <c r="M128" i="2"/>
  <c r="M80" i="2"/>
  <c r="M109" i="2"/>
  <c r="M146" i="2"/>
  <c r="M135" i="2"/>
  <c r="M129" i="2"/>
  <c r="M22" i="2"/>
  <c r="M100" i="2"/>
  <c r="M90" i="2"/>
  <c r="M126" i="2"/>
  <c r="M88" i="2"/>
  <c r="M125" i="2"/>
  <c r="M76" i="2"/>
  <c r="M113" i="2"/>
  <c r="M116" i="2"/>
  <c r="M132" i="2"/>
  <c r="M101" i="2"/>
  <c r="M141" i="2"/>
  <c r="M105" i="2"/>
  <c r="M130" i="2"/>
  <c r="M86" i="2"/>
  <c r="M82" i="2"/>
  <c r="M61" i="2"/>
  <c r="M131" i="2"/>
  <c r="M143" i="2"/>
  <c r="M139" i="2"/>
  <c r="M98" i="2"/>
  <c r="M96" i="2"/>
  <c r="M147" i="2"/>
  <c r="M117" i="2"/>
  <c r="M110" i="2"/>
  <c r="M99" i="2"/>
  <c r="M91" i="2"/>
  <c r="M83" i="2"/>
  <c r="M60" i="2"/>
  <c r="M84" i="2"/>
  <c r="M2" i="2"/>
  <c r="M153" i="2" s="1"/>
  <c r="M118" i="2"/>
  <c r="M102" i="2"/>
  <c r="M95" i="2"/>
  <c r="M87" i="2"/>
  <c r="M79" i="2"/>
  <c r="M122" i="2"/>
  <c r="M97" i="2"/>
  <c r="M81" i="2"/>
  <c r="M6" i="2"/>
  <c r="M10" i="2"/>
  <c r="M14" i="2"/>
  <c r="M18" i="2"/>
  <c r="M28" i="2"/>
  <c r="M32" i="2"/>
  <c r="M27" i="2"/>
  <c r="M36" i="2"/>
  <c r="M40" i="2"/>
  <c r="M44" i="2"/>
  <c r="M48" i="2"/>
  <c r="M52" i="2"/>
  <c r="M56" i="2"/>
  <c r="M26" i="2"/>
  <c r="M73" i="2"/>
  <c r="M72" i="2"/>
  <c r="M123" i="2"/>
  <c r="M124" i="2"/>
  <c r="M114" i="2"/>
  <c r="M93" i="2"/>
  <c r="M77" i="2"/>
  <c r="M64" i="2"/>
  <c r="M3" i="2"/>
  <c r="M7" i="2"/>
  <c r="M11" i="2"/>
  <c r="M15" i="2"/>
  <c r="M19" i="2"/>
  <c r="M29" i="2"/>
  <c r="M33" i="2"/>
  <c r="M21" i="2"/>
  <c r="M37" i="2"/>
  <c r="M41" i="2"/>
  <c r="M45" i="2"/>
  <c r="M49" i="2"/>
  <c r="M53" i="2"/>
  <c r="M57" i="2"/>
  <c r="M63" i="2"/>
  <c r="M62" i="2"/>
  <c r="M119" i="2"/>
  <c r="M103" i="2"/>
  <c r="M106" i="2"/>
  <c r="M89" i="2"/>
  <c r="M4" i="2"/>
  <c r="M8" i="2"/>
  <c r="M12" i="2"/>
  <c r="M16" i="2"/>
  <c r="M20" i="2"/>
  <c r="M30" i="2"/>
  <c r="M34" i="2"/>
  <c r="M25" i="2"/>
  <c r="M38" i="2"/>
  <c r="M42" i="2"/>
  <c r="M46" i="2"/>
  <c r="M50" i="2"/>
  <c r="M54" i="2"/>
  <c r="M58" i="2"/>
  <c r="M67" i="2"/>
  <c r="M66" i="2"/>
  <c r="M115" i="2"/>
  <c r="M85" i="2"/>
  <c r="M68" i="2"/>
  <c r="M5" i="2"/>
  <c r="M24" i="2"/>
  <c r="M39" i="2"/>
  <c r="M55" i="2"/>
  <c r="M9" i="2"/>
  <c r="M31" i="2"/>
  <c r="M43" i="2"/>
  <c r="M59" i="2"/>
  <c r="M111" i="2"/>
  <c r="M151" i="2" s="1"/>
  <c r="M107" i="2"/>
  <c r="M13" i="2"/>
  <c r="M23" i="2"/>
  <c r="M47" i="2"/>
  <c r="M71" i="2"/>
  <c r="M75" i="2"/>
  <c r="M17" i="2"/>
  <c r="M35" i="2"/>
  <c r="M51" i="2"/>
  <c r="M70" i="2"/>
  <c r="H39" i="2"/>
  <c r="H57" i="2"/>
  <c r="H3" i="2"/>
  <c r="H7" i="2"/>
  <c r="H11" i="2"/>
  <c r="H17" i="2"/>
  <c r="H23" i="2"/>
  <c r="H6" i="2"/>
  <c r="H12" i="2"/>
  <c r="H20" i="2"/>
  <c r="H19" i="2"/>
  <c r="H26" i="2"/>
  <c r="H29" i="2"/>
  <c r="H50" i="2"/>
  <c r="H37" i="2"/>
  <c r="H53" i="2"/>
  <c r="H68" i="2"/>
  <c r="H67" i="2"/>
  <c r="H77" i="2"/>
  <c r="H81" i="2"/>
  <c r="H85" i="2"/>
  <c r="H89" i="2"/>
  <c r="H93" i="2"/>
  <c r="H97" i="2"/>
  <c r="H101" i="2"/>
  <c r="H111" i="2"/>
  <c r="H2" i="2"/>
  <c r="H153" i="2" s="1"/>
  <c r="H35" i="2"/>
  <c r="H51" i="2"/>
  <c r="H110" i="2"/>
  <c r="H126" i="2"/>
  <c r="H130" i="2"/>
  <c r="H134" i="2"/>
  <c r="H138" i="2"/>
  <c r="H142" i="2"/>
  <c r="H146" i="2"/>
  <c r="H21" i="2"/>
  <c r="H113" i="2"/>
  <c r="H116" i="2"/>
  <c r="H108" i="2"/>
  <c r="H4" i="2"/>
  <c r="H9" i="2"/>
  <c r="H14" i="2"/>
  <c r="H27" i="2"/>
  <c r="H33" i="2"/>
  <c r="H15" i="2"/>
  <c r="H42" i="2"/>
  <c r="H55" i="2"/>
  <c r="H45" i="2"/>
  <c r="H60" i="2"/>
  <c r="H34" i="2"/>
  <c r="H72" i="2"/>
  <c r="H79" i="2"/>
  <c r="H83" i="2"/>
  <c r="H87" i="2"/>
  <c r="H91" i="2"/>
  <c r="H95" i="2"/>
  <c r="H99" i="2"/>
  <c r="H103" i="2"/>
  <c r="H119" i="2"/>
  <c r="H65" i="2"/>
  <c r="H43" i="2"/>
  <c r="H102" i="2"/>
  <c r="H118" i="2"/>
  <c r="H128" i="2"/>
  <c r="H132" i="2"/>
  <c r="H136" i="2"/>
  <c r="H140" i="2"/>
  <c r="H144" i="2"/>
  <c r="H148" i="2"/>
  <c r="H105" i="2"/>
  <c r="H124" i="2"/>
  <c r="H5" i="2"/>
  <c r="H16" i="2"/>
  <c r="H22" i="2"/>
  <c r="H46" i="2"/>
  <c r="H49" i="2"/>
  <c r="H63" i="2"/>
  <c r="H80" i="2"/>
  <c r="H88" i="2"/>
  <c r="H96" i="2"/>
  <c r="H107" i="2"/>
  <c r="H31" i="2"/>
  <c r="H106" i="2"/>
  <c r="H129" i="2"/>
  <c r="H137" i="2"/>
  <c r="H145" i="2"/>
  <c r="H109" i="2"/>
  <c r="H125" i="2"/>
  <c r="H70" i="2"/>
  <c r="H40" i="2"/>
  <c r="H8" i="2"/>
  <c r="H24" i="2"/>
  <c r="H32" i="2"/>
  <c r="H54" i="2"/>
  <c r="H58" i="2"/>
  <c r="H71" i="2"/>
  <c r="H82" i="2"/>
  <c r="H90" i="2"/>
  <c r="H98" i="2"/>
  <c r="H115" i="2"/>
  <c r="H36" i="2"/>
  <c r="H114" i="2"/>
  <c r="H131" i="2"/>
  <c r="H139" i="2"/>
  <c r="H147" i="2"/>
  <c r="H56" i="2"/>
  <c r="H10" i="2"/>
  <c r="H18" i="2"/>
  <c r="H25" i="2"/>
  <c r="H59" i="2"/>
  <c r="H64" i="2"/>
  <c r="H76" i="2"/>
  <c r="H84" i="2"/>
  <c r="H92" i="2"/>
  <c r="H100" i="2"/>
  <c r="H123" i="2"/>
  <c r="H44" i="2"/>
  <c r="H122" i="2"/>
  <c r="H133" i="2"/>
  <c r="H141" i="2"/>
  <c r="H149" i="2"/>
  <c r="H47" i="2"/>
  <c r="H117" i="2"/>
  <c r="H104" i="2"/>
  <c r="H30" i="2"/>
  <c r="H41" i="2"/>
  <c r="H94" i="2"/>
  <c r="H127" i="2"/>
  <c r="H112" i="2"/>
  <c r="H13" i="2"/>
  <c r="H73" i="2"/>
  <c r="H74" i="2"/>
  <c r="H135" i="2"/>
  <c r="H120" i="2"/>
  <c r="H121" i="2"/>
  <c r="H75" i="2"/>
  <c r="H28" i="2"/>
  <c r="H78" i="2"/>
  <c r="H61" i="2"/>
  <c r="H143" i="2"/>
  <c r="H66" i="2"/>
  <c r="H62" i="2"/>
  <c r="H38" i="2"/>
  <c r="H86" i="2"/>
  <c r="H52" i="2"/>
  <c r="H69" i="2"/>
  <c r="H48" i="2"/>
  <c r="G55" i="2"/>
  <c r="G13" i="2"/>
  <c r="G2" i="2"/>
  <c r="G153" i="2" s="1"/>
  <c r="G16" i="2"/>
  <c r="G10" i="2"/>
  <c r="G19" i="2"/>
  <c r="G23" i="2"/>
  <c r="G27" i="2"/>
  <c r="G17" i="2"/>
  <c r="G31" i="2"/>
  <c r="G49" i="2"/>
  <c r="G34" i="2"/>
  <c r="G48" i="2"/>
  <c r="G61" i="2"/>
  <c r="G65" i="2"/>
  <c r="G69" i="2"/>
  <c r="G73" i="2"/>
  <c r="G38" i="2"/>
  <c r="G54" i="2"/>
  <c r="G79" i="2"/>
  <c r="G83" i="2"/>
  <c r="G87" i="2"/>
  <c r="G91" i="2"/>
  <c r="G95" i="2"/>
  <c r="G99" i="2"/>
  <c r="G103" i="2"/>
  <c r="G107" i="2"/>
  <c r="G111" i="2"/>
  <c r="G115" i="2"/>
  <c r="G119" i="2"/>
  <c r="G123" i="2"/>
  <c r="G28" i="2"/>
  <c r="G43" i="2"/>
  <c r="G127" i="2"/>
  <c r="G131" i="2"/>
  <c r="G135" i="2"/>
  <c r="G139" i="2"/>
  <c r="G143" i="2"/>
  <c r="G147" i="2"/>
  <c r="G6" i="2"/>
  <c r="G14" i="2"/>
  <c r="G21" i="2"/>
  <c r="G25" i="2"/>
  <c r="G7" i="2"/>
  <c r="G5" i="2"/>
  <c r="G41" i="2"/>
  <c r="G58" i="2"/>
  <c r="G40" i="2"/>
  <c r="G57" i="2"/>
  <c r="G63" i="2"/>
  <c r="G67" i="2"/>
  <c r="G71" i="2"/>
  <c r="G75" i="2"/>
  <c r="G46" i="2"/>
  <c r="G77" i="2"/>
  <c r="G81" i="2"/>
  <c r="G85" i="2"/>
  <c r="G89" i="2"/>
  <c r="G93" i="2"/>
  <c r="G97" i="2"/>
  <c r="G101" i="2"/>
  <c r="G105" i="2"/>
  <c r="G109" i="2"/>
  <c r="G113" i="2"/>
  <c r="G117" i="2"/>
  <c r="G121" i="2"/>
  <c r="G125" i="2"/>
  <c r="G35" i="2"/>
  <c r="G51" i="2"/>
  <c r="G129" i="2"/>
  <c r="G133" i="2"/>
  <c r="G137" i="2"/>
  <c r="G141" i="2"/>
  <c r="G145" i="2"/>
  <c r="G149" i="2"/>
  <c r="G4" i="2"/>
  <c r="G20" i="2"/>
  <c r="G9" i="2"/>
  <c r="G37" i="2"/>
  <c r="G36" i="2"/>
  <c r="G62" i="2"/>
  <c r="G70" i="2"/>
  <c r="G42" i="2"/>
  <c r="G80" i="2"/>
  <c r="G88" i="2"/>
  <c r="G96" i="2"/>
  <c r="G104" i="2"/>
  <c r="G112" i="2"/>
  <c r="G120" i="2"/>
  <c r="G33" i="2"/>
  <c r="G128" i="2"/>
  <c r="G136" i="2"/>
  <c r="G144" i="2"/>
  <c r="G8" i="2"/>
  <c r="G22" i="2"/>
  <c r="G18" i="2"/>
  <c r="G45" i="2"/>
  <c r="G44" i="2"/>
  <c r="G64" i="2"/>
  <c r="G72" i="2"/>
  <c r="G50" i="2"/>
  <c r="G82" i="2"/>
  <c r="G90" i="2"/>
  <c r="G98" i="2"/>
  <c r="G106" i="2"/>
  <c r="G114" i="2"/>
  <c r="G122" i="2"/>
  <c r="G39" i="2"/>
  <c r="G130" i="2"/>
  <c r="G138" i="2"/>
  <c r="G146" i="2"/>
  <c r="G12" i="2"/>
  <c r="G24" i="2"/>
  <c r="G32" i="2"/>
  <c r="G53" i="2"/>
  <c r="G52" i="2"/>
  <c r="G66" i="2"/>
  <c r="G74" i="2"/>
  <c r="G76" i="2"/>
  <c r="G84" i="2"/>
  <c r="G92" i="2"/>
  <c r="G100" i="2"/>
  <c r="G108" i="2"/>
  <c r="G116" i="2"/>
  <c r="G124" i="2"/>
  <c r="G47" i="2"/>
  <c r="G132" i="2"/>
  <c r="G140" i="2"/>
  <c r="G148" i="2"/>
  <c r="G3" i="2"/>
  <c r="G15" i="2"/>
  <c r="G26" i="2"/>
  <c r="G11" i="2"/>
  <c r="G30" i="2"/>
  <c r="G60" i="2"/>
  <c r="G68" i="2"/>
  <c r="G29" i="2"/>
  <c r="G78" i="2"/>
  <c r="G86" i="2"/>
  <c r="G94" i="2"/>
  <c r="G102" i="2"/>
  <c r="G110" i="2"/>
  <c r="G118" i="2"/>
  <c r="G126" i="2"/>
  <c r="G56" i="2"/>
  <c r="G134" i="2"/>
  <c r="G142" i="2"/>
  <c r="G59" i="2"/>
  <c r="J144" i="2"/>
  <c r="J147" i="2"/>
  <c r="J136" i="2"/>
  <c r="J138" i="2"/>
  <c r="J142" i="2"/>
  <c r="J100" i="2"/>
  <c r="J2" i="2"/>
  <c r="J153" i="2" s="1"/>
  <c r="J76" i="2"/>
  <c r="J140" i="2"/>
  <c r="J148" i="2"/>
  <c r="J90" i="2"/>
  <c r="J110" i="2"/>
  <c r="J126" i="2"/>
  <c r="J134" i="2"/>
  <c r="J78" i="2"/>
  <c r="J106" i="2"/>
  <c r="J122" i="2"/>
  <c r="J133" i="2"/>
  <c r="J149" i="2"/>
  <c r="J98" i="2"/>
  <c r="J115" i="2"/>
  <c r="J128" i="2"/>
  <c r="J80" i="2"/>
  <c r="J86" i="2"/>
  <c r="J111" i="2"/>
  <c r="J82" i="2"/>
  <c r="J123" i="2"/>
  <c r="J96" i="2"/>
  <c r="J119" i="2"/>
  <c r="J92" i="2"/>
  <c r="J143" i="2"/>
  <c r="J135" i="2"/>
  <c r="J107" i="2"/>
  <c r="J132" i="2"/>
  <c r="J103" i="2"/>
  <c r="J129" i="2"/>
  <c r="J145" i="2"/>
  <c r="J139" i="2"/>
  <c r="J84" i="2"/>
  <c r="J130" i="2"/>
  <c r="J127" i="2"/>
  <c r="J88" i="2"/>
  <c r="J131" i="2"/>
  <c r="J102" i="2"/>
  <c r="J94" i="2"/>
  <c r="J137" i="2"/>
  <c r="J114" i="2"/>
  <c r="J5" i="2"/>
  <c r="J13" i="2"/>
  <c r="J4" i="2"/>
  <c r="J10" i="2"/>
  <c r="J29" i="2"/>
  <c r="J6" i="2"/>
  <c r="J36" i="2"/>
  <c r="J40" i="2"/>
  <c r="J44" i="2"/>
  <c r="J48" i="2"/>
  <c r="J52" i="2"/>
  <c r="J56" i="2"/>
  <c r="J63" i="2"/>
  <c r="J67" i="2"/>
  <c r="J71" i="2"/>
  <c r="J55" i="2"/>
  <c r="J75" i="2"/>
  <c r="J124" i="2"/>
  <c r="J108" i="2"/>
  <c r="J146" i="2"/>
  <c r="J9" i="2"/>
  <c r="J3" i="2"/>
  <c r="J22" i="2"/>
  <c r="J25" i="2"/>
  <c r="J30" i="2"/>
  <c r="J33" i="2"/>
  <c r="J38" i="2"/>
  <c r="J42" i="2"/>
  <c r="J46" i="2"/>
  <c r="J50" i="2"/>
  <c r="J54" i="2"/>
  <c r="J61" i="2"/>
  <c r="J65" i="2"/>
  <c r="J69" i="2"/>
  <c r="J15" i="2"/>
  <c r="J14" i="2"/>
  <c r="J32" i="2"/>
  <c r="J116" i="2"/>
  <c r="J18" i="2"/>
  <c r="J21" i="2"/>
  <c r="J19" i="2"/>
  <c r="J41" i="2"/>
  <c r="J49" i="2"/>
  <c r="J60" i="2"/>
  <c r="J68" i="2"/>
  <c r="J59" i="2"/>
  <c r="J104" i="2"/>
  <c r="J73" i="2"/>
  <c r="J121" i="2"/>
  <c r="J118" i="2"/>
  <c r="J17" i="2"/>
  <c r="J28" i="2"/>
  <c r="J35" i="2"/>
  <c r="J43" i="2"/>
  <c r="J51" i="2"/>
  <c r="J62" i="2"/>
  <c r="J70" i="2"/>
  <c r="J31" i="2"/>
  <c r="J72" i="2"/>
  <c r="J117" i="2"/>
  <c r="J101" i="2"/>
  <c r="J99" i="2"/>
  <c r="J97" i="2"/>
  <c r="J95" i="2"/>
  <c r="J93" i="2"/>
  <c r="J91" i="2"/>
  <c r="J89" i="2"/>
  <c r="J87" i="2"/>
  <c r="J85" i="2"/>
  <c r="J83" i="2"/>
  <c r="J81" i="2"/>
  <c r="J79" i="2"/>
  <c r="J77" i="2"/>
  <c r="J7" i="2"/>
  <c r="J12" i="2"/>
  <c r="J16" i="2"/>
  <c r="J37" i="2"/>
  <c r="J45" i="2"/>
  <c r="J53" i="2"/>
  <c r="J64" i="2"/>
  <c r="J8" i="2"/>
  <c r="J23" i="2"/>
  <c r="J120" i="2"/>
  <c r="J58" i="2"/>
  <c r="J113" i="2"/>
  <c r="J141" i="2"/>
  <c r="J26" i="2"/>
  <c r="J24" i="2"/>
  <c r="J112" i="2"/>
  <c r="J105" i="2"/>
  <c r="J20" i="2"/>
  <c r="J34" i="2"/>
  <c r="J66" i="2"/>
  <c r="J125" i="2"/>
  <c r="J39" i="2"/>
  <c r="J27" i="2"/>
  <c r="J109" i="2"/>
  <c r="J57" i="2"/>
  <c r="J11" i="2"/>
  <c r="J47" i="2"/>
  <c r="F135" i="2"/>
  <c r="F87" i="2"/>
  <c r="F141" i="2"/>
  <c r="F145" i="2"/>
  <c r="F74" i="2"/>
  <c r="F95" i="2"/>
  <c r="F137" i="2"/>
  <c r="F139" i="2"/>
  <c r="F146" i="2"/>
  <c r="F149" i="2"/>
  <c r="F143" i="2"/>
  <c r="F101" i="2"/>
  <c r="F127" i="2"/>
  <c r="F83" i="2"/>
  <c r="F111" i="2"/>
  <c r="F89" i="2"/>
  <c r="F120" i="2"/>
  <c r="F134" i="2"/>
  <c r="F147" i="2"/>
  <c r="F79" i="2"/>
  <c r="F2" i="2"/>
  <c r="F153" i="2" s="1"/>
  <c r="F152" i="2" s="1"/>
  <c r="F148" i="2"/>
  <c r="F77" i="2"/>
  <c r="F116" i="2"/>
  <c r="F133" i="2"/>
  <c r="F119" i="2"/>
  <c r="F104" i="2"/>
  <c r="F132" i="2"/>
  <c r="F140" i="2"/>
  <c r="F107" i="2"/>
  <c r="F93" i="2"/>
  <c r="F129" i="2"/>
  <c r="F99" i="2"/>
  <c r="F81" i="2"/>
  <c r="F128" i="2"/>
  <c r="F144" i="2"/>
  <c r="F136" i="2"/>
  <c r="F123" i="2"/>
  <c r="F124" i="2"/>
  <c r="F16" i="2"/>
  <c r="F115" i="2"/>
  <c r="F131" i="2"/>
  <c r="F97" i="2"/>
  <c r="F138" i="2"/>
  <c r="F85" i="2"/>
  <c r="F91" i="2"/>
  <c r="F112" i="2"/>
  <c r="F142" i="2"/>
  <c r="F3" i="2"/>
  <c r="F10" i="2"/>
  <c r="F19" i="2"/>
  <c r="F27" i="2"/>
  <c r="F22" i="2"/>
  <c r="F11" i="2"/>
  <c r="F30" i="2"/>
  <c r="F37" i="2"/>
  <c r="F41" i="2"/>
  <c r="F45" i="2"/>
  <c r="F49" i="2"/>
  <c r="F53" i="2"/>
  <c r="F61" i="2"/>
  <c r="F65" i="2"/>
  <c r="F69" i="2"/>
  <c r="F33" i="2"/>
  <c r="F72" i="2"/>
  <c r="F117" i="2"/>
  <c r="F108" i="2"/>
  <c r="F103" i="2"/>
  <c r="F6" i="2"/>
  <c r="F14" i="2"/>
  <c r="F7" i="2"/>
  <c r="F13" i="2"/>
  <c r="F28" i="2"/>
  <c r="F21" i="2"/>
  <c r="F35" i="2"/>
  <c r="F39" i="2"/>
  <c r="F43" i="2"/>
  <c r="F47" i="2"/>
  <c r="F51" i="2"/>
  <c r="F57" i="2"/>
  <c r="F63" i="2"/>
  <c r="F67" i="2"/>
  <c r="F71" i="2"/>
  <c r="F9" i="2"/>
  <c r="F59" i="2"/>
  <c r="F125" i="2"/>
  <c r="F109" i="2"/>
  <c r="F4" i="2"/>
  <c r="F18" i="2"/>
  <c r="F26" i="2"/>
  <c r="F34" i="2"/>
  <c r="F42" i="2"/>
  <c r="F50" i="2"/>
  <c r="F62" i="2"/>
  <c r="F70" i="2"/>
  <c r="F55" i="2"/>
  <c r="F114" i="2"/>
  <c r="F8" i="2"/>
  <c r="F23" i="2"/>
  <c r="F29" i="2"/>
  <c r="F36" i="2"/>
  <c r="F44" i="2"/>
  <c r="F52" i="2"/>
  <c r="F64" i="2"/>
  <c r="F20" i="2"/>
  <c r="F75" i="2"/>
  <c r="F121" i="2"/>
  <c r="F126" i="2"/>
  <c r="F110" i="2"/>
  <c r="F130" i="2"/>
  <c r="F12" i="2"/>
  <c r="F5" i="2"/>
  <c r="F31" i="2"/>
  <c r="F38" i="2"/>
  <c r="F46" i="2"/>
  <c r="F54" i="2"/>
  <c r="F66" i="2"/>
  <c r="F56" i="2"/>
  <c r="F113" i="2"/>
  <c r="F122" i="2"/>
  <c r="F15" i="2"/>
  <c r="F48" i="2"/>
  <c r="F100" i="2"/>
  <c r="F92" i="2"/>
  <c r="F84" i="2"/>
  <c r="F76" i="2"/>
  <c r="F73" i="2"/>
  <c r="F17" i="2"/>
  <c r="F60" i="2"/>
  <c r="F118" i="2"/>
  <c r="F102" i="2"/>
  <c r="F94" i="2"/>
  <c r="F86" i="2"/>
  <c r="F78" i="2"/>
  <c r="F58" i="2"/>
  <c r="F25" i="2"/>
  <c r="F68" i="2"/>
  <c r="F105" i="2"/>
  <c r="F106" i="2"/>
  <c r="F96" i="2"/>
  <c r="F88" i="2"/>
  <c r="F80" i="2"/>
  <c r="F40" i="2"/>
  <c r="F32" i="2"/>
  <c r="F98" i="2"/>
  <c r="F90" i="2"/>
  <c r="F82" i="2"/>
  <c r="F24" i="2"/>
  <c r="I81" i="2"/>
  <c r="I137" i="2"/>
  <c r="I126" i="2"/>
  <c r="I143" i="2"/>
  <c r="I147" i="2"/>
  <c r="I102" i="2"/>
  <c r="I141" i="2"/>
  <c r="I89" i="2"/>
  <c r="I110" i="2"/>
  <c r="I132" i="2"/>
  <c r="I134" i="2"/>
  <c r="I135" i="2"/>
  <c r="I97" i="2"/>
  <c r="I146" i="2"/>
  <c r="I139" i="2"/>
  <c r="I118" i="2"/>
  <c r="I142" i="2"/>
  <c r="I79" i="2"/>
  <c r="I85" i="2"/>
  <c r="I109" i="2"/>
  <c r="I125" i="2"/>
  <c r="I133" i="2"/>
  <c r="I130" i="2"/>
  <c r="I121" i="2"/>
  <c r="I113" i="2"/>
  <c r="I105" i="2"/>
  <c r="I144" i="2"/>
  <c r="I77" i="2"/>
  <c r="I114" i="2"/>
  <c r="I129" i="2"/>
  <c r="I99" i="2"/>
  <c r="I87" i="2"/>
  <c r="I101" i="2"/>
  <c r="I122" i="2"/>
  <c r="I83" i="2"/>
  <c r="I149" i="2"/>
  <c r="I128" i="2"/>
  <c r="I63" i="2"/>
  <c r="I117" i="2"/>
  <c r="I145" i="2"/>
  <c r="I140" i="2"/>
  <c r="I136" i="2"/>
  <c r="I95" i="2"/>
  <c r="I127" i="2"/>
  <c r="I148" i="2"/>
  <c r="I93" i="2"/>
  <c r="I131" i="2"/>
  <c r="I119" i="2"/>
  <c r="I103" i="2"/>
  <c r="I96" i="2"/>
  <c r="I88" i="2"/>
  <c r="I80" i="2"/>
  <c r="I71" i="2"/>
  <c r="I67" i="2"/>
  <c r="I106" i="2"/>
  <c r="I138" i="2"/>
  <c r="I91" i="2"/>
  <c r="I111" i="2"/>
  <c r="I100" i="2"/>
  <c r="I92" i="2"/>
  <c r="I84" i="2"/>
  <c r="I115" i="2"/>
  <c r="I94" i="2"/>
  <c r="I78" i="2"/>
  <c r="I6" i="2"/>
  <c r="I10" i="2"/>
  <c r="I14" i="2"/>
  <c r="I18" i="2"/>
  <c r="I28" i="2"/>
  <c r="I32" i="2"/>
  <c r="I24" i="2"/>
  <c r="I38" i="2"/>
  <c r="I42" i="2"/>
  <c r="I46" i="2"/>
  <c r="I50" i="2"/>
  <c r="I54" i="2"/>
  <c r="I58" i="2"/>
  <c r="I23" i="2"/>
  <c r="I74" i="2"/>
  <c r="I68" i="2"/>
  <c r="I116" i="2"/>
  <c r="I107" i="2"/>
  <c r="I90" i="2"/>
  <c r="I3" i="2"/>
  <c r="I7" i="2"/>
  <c r="I11" i="2"/>
  <c r="I15" i="2"/>
  <c r="I19" i="2"/>
  <c r="I29" i="2"/>
  <c r="I33" i="2"/>
  <c r="I35" i="2"/>
  <c r="I39" i="2"/>
  <c r="I43" i="2"/>
  <c r="I47" i="2"/>
  <c r="I51" i="2"/>
  <c r="I55" i="2"/>
  <c r="I59" i="2"/>
  <c r="I61" i="2"/>
  <c r="I22" i="2"/>
  <c r="I73" i="2"/>
  <c r="I112" i="2"/>
  <c r="I75" i="2"/>
  <c r="I86" i="2"/>
  <c r="I76" i="2"/>
  <c r="I4" i="2"/>
  <c r="I8" i="2"/>
  <c r="I12" i="2"/>
  <c r="I16" i="2"/>
  <c r="I21" i="2"/>
  <c r="I30" i="2"/>
  <c r="I34" i="2"/>
  <c r="I36" i="2"/>
  <c r="I40" i="2"/>
  <c r="I44" i="2"/>
  <c r="I48" i="2"/>
  <c r="I52" i="2"/>
  <c r="I56" i="2"/>
  <c r="I26" i="2"/>
  <c r="I65" i="2"/>
  <c r="I60" i="2"/>
  <c r="I124" i="2"/>
  <c r="I2" i="2"/>
  <c r="I153" i="2" s="1"/>
  <c r="I98" i="2"/>
  <c r="I5" i="2"/>
  <c r="I25" i="2"/>
  <c r="I41" i="2"/>
  <c r="I57" i="2"/>
  <c r="I120" i="2"/>
  <c r="I62" i="2"/>
  <c r="I123" i="2"/>
  <c r="I82" i="2"/>
  <c r="I9" i="2"/>
  <c r="I31" i="2"/>
  <c r="I45" i="2"/>
  <c r="I27" i="2"/>
  <c r="I72" i="2"/>
  <c r="I13" i="2"/>
  <c r="I20" i="2"/>
  <c r="I49" i="2"/>
  <c r="I69" i="2"/>
  <c r="I104" i="2"/>
  <c r="I70" i="2"/>
  <c r="I17" i="2"/>
  <c r="I37" i="2"/>
  <c r="I53" i="2"/>
  <c r="I64" i="2"/>
  <c r="I108" i="2"/>
  <c r="I66" i="2"/>
  <c r="T109" i="2"/>
  <c r="T5" i="2"/>
  <c r="T9" i="2"/>
  <c r="T13" i="2"/>
  <c r="T21" i="2"/>
  <c r="T30" i="2"/>
  <c r="T33" i="2"/>
  <c r="T36" i="2"/>
  <c r="T52" i="2"/>
  <c r="T39" i="2"/>
  <c r="T55" i="2"/>
  <c r="T70" i="2"/>
  <c r="T41" i="2"/>
  <c r="T61" i="2"/>
  <c r="T75" i="2"/>
  <c r="T79" i="2"/>
  <c r="T83" i="2"/>
  <c r="T87" i="2"/>
  <c r="T91" i="2"/>
  <c r="T95" i="2"/>
  <c r="T99" i="2"/>
  <c r="T67" i="2"/>
  <c r="T108" i="2"/>
  <c r="T124" i="2"/>
  <c r="T57" i="2"/>
  <c r="T32" i="2"/>
  <c r="T103" i="2"/>
  <c r="T119" i="2"/>
  <c r="T128" i="2"/>
  <c r="T132" i="2"/>
  <c r="T136" i="2"/>
  <c r="T140" i="2"/>
  <c r="T144" i="2"/>
  <c r="T148" i="2"/>
  <c r="T110" i="2"/>
  <c r="T7" i="2"/>
  <c r="T12" i="2"/>
  <c r="T25" i="2"/>
  <c r="T15" i="2"/>
  <c r="T23" i="2"/>
  <c r="T56" i="2"/>
  <c r="T47" i="2"/>
  <c r="T66" i="2"/>
  <c r="T45" i="2"/>
  <c r="T69" i="2"/>
  <c r="T78" i="2"/>
  <c r="T84" i="2"/>
  <c r="T89" i="2"/>
  <c r="T94" i="2"/>
  <c r="T100" i="2"/>
  <c r="T72" i="2"/>
  <c r="T120" i="2"/>
  <c r="T60" i="2"/>
  <c r="T46" i="2"/>
  <c r="T115" i="2"/>
  <c r="T129" i="2"/>
  <c r="T134" i="2"/>
  <c r="T139" i="2"/>
  <c r="T145" i="2"/>
  <c r="T68" i="2"/>
  <c r="T4" i="2"/>
  <c r="T10" i="2"/>
  <c r="T18" i="2"/>
  <c r="T24" i="2"/>
  <c r="T16" i="2"/>
  <c r="T44" i="2"/>
  <c r="T35" i="2"/>
  <c r="T26" i="2"/>
  <c r="T19" i="2"/>
  <c r="T53" i="2"/>
  <c r="T76" i="2"/>
  <c r="T81" i="2"/>
  <c r="T86" i="2"/>
  <c r="T92" i="2"/>
  <c r="T97" i="2"/>
  <c r="T63" i="2"/>
  <c r="T112" i="2"/>
  <c r="T27" i="2"/>
  <c r="T102" i="2"/>
  <c r="T107" i="2"/>
  <c r="T126" i="2"/>
  <c r="T131" i="2"/>
  <c r="T137" i="2"/>
  <c r="T142" i="2"/>
  <c r="T147" i="2"/>
  <c r="T8" i="2"/>
  <c r="T20" i="2"/>
  <c r="T40" i="2"/>
  <c r="T51" i="2"/>
  <c r="T49" i="2"/>
  <c r="T80" i="2"/>
  <c r="T90" i="2"/>
  <c r="T59" i="2"/>
  <c r="T2" i="2"/>
  <c r="T153" i="2" s="1"/>
  <c r="T54" i="2"/>
  <c r="T130" i="2"/>
  <c r="T141" i="2"/>
  <c r="T106" i="2"/>
  <c r="T121" i="2"/>
  <c r="T58" i="2"/>
  <c r="T11" i="2"/>
  <c r="T34" i="2"/>
  <c r="T48" i="2"/>
  <c r="T62" i="2"/>
  <c r="T65" i="2"/>
  <c r="T82" i="2"/>
  <c r="T93" i="2"/>
  <c r="T71" i="2"/>
  <c r="T31" i="2"/>
  <c r="T111" i="2"/>
  <c r="T133" i="2"/>
  <c r="T143" i="2"/>
  <c r="T3" i="2"/>
  <c r="T14" i="2"/>
  <c r="T29" i="2"/>
  <c r="T28" i="2"/>
  <c r="T74" i="2"/>
  <c r="T73" i="2"/>
  <c r="T85" i="2"/>
  <c r="T96" i="2"/>
  <c r="T104" i="2"/>
  <c r="T64" i="2"/>
  <c r="T123" i="2"/>
  <c r="T135" i="2"/>
  <c r="T146" i="2"/>
  <c r="T118" i="2"/>
  <c r="T101" i="2"/>
  <c r="T6" i="2"/>
  <c r="T37" i="2"/>
  <c r="T116" i="2"/>
  <c r="T149" i="2"/>
  <c r="T117" i="2"/>
  <c r="T17" i="2"/>
  <c r="T77" i="2"/>
  <c r="T38" i="2"/>
  <c r="T125" i="2"/>
  <c r="T114" i="2"/>
  <c r="T22" i="2"/>
  <c r="T88" i="2"/>
  <c r="T127" i="2"/>
  <c r="T122" i="2"/>
  <c r="T50" i="2"/>
  <c r="T43" i="2"/>
  <c r="T105" i="2"/>
  <c r="T98" i="2"/>
  <c r="T138" i="2"/>
  <c r="T113" i="2"/>
  <c r="T42" i="2"/>
  <c r="D46" i="2"/>
  <c r="D118" i="2"/>
  <c r="D105" i="2"/>
  <c r="D126" i="2"/>
  <c r="D122" i="2"/>
  <c r="D117" i="2"/>
  <c r="D6" i="2"/>
  <c r="D10" i="2"/>
  <c r="D14" i="2"/>
  <c r="D25" i="2"/>
  <c r="D20" i="2"/>
  <c r="D26" i="2"/>
  <c r="D29" i="2"/>
  <c r="D44" i="2"/>
  <c r="D28" i="2"/>
  <c r="D39" i="2"/>
  <c r="D55" i="2"/>
  <c r="D70" i="2"/>
  <c r="D45" i="2"/>
  <c r="D58" i="2"/>
  <c r="D73" i="2"/>
  <c r="D79" i="2"/>
  <c r="D83" i="2"/>
  <c r="D87" i="2"/>
  <c r="D91" i="2"/>
  <c r="D95" i="2"/>
  <c r="D99" i="2"/>
  <c r="D67" i="2"/>
  <c r="D112" i="2"/>
  <c r="D2" i="2"/>
  <c r="D153" i="2" s="1"/>
  <c r="D50" i="2"/>
  <c r="D115" i="2"/>
  <c r="D128" i="2"/>
  <c r="D132" i="2"/>
  <c r="D136" i="2"/>
  <c r="D140" i="2"/>
  <c r="D144" i="2"/>
  <c r="D148" i="2"/>
  <c r="D75" i="2"/>
  <c r="D114" i="2"/>
  <c r="D38" i="2"/>
  <c r="D125" i="2"/>
  <c r="D4" i="2"/>
  <c r="D8" i="2"/>
  <c r="D12" i="2"/>
  <c r="D17" i="2"/>
  <c r="D16" i="2"/>
  <c r="D22" i="2"/>
  <c r="D30" i="2"/>
  <c r="D36" i="2"/>
  <c r="D52" i="2"/>
  <c r="D32" i="2"/>
  <c r="D47" i="2"/>
  <c r="D62" i="2"/>
  <c r="D37" i="2"/>
  <c r="D53" i="2"/>
  <c r="D65" i="2"/>
  <c r="D77" i="2"/>
  <c r="D81" i="2"/>
  <c r="D85" i="2"/>
  <c r="D89" i="2"/>
  <c r="D93" i="2"/>
  <c r="D97" i="2"/>
  <c r="D101" i="2"/>
  <c r="D104" i="2"/>
  <c r="D120" i="2"/>
  <c r="D72" i="2"/>
  <c r="D107" i="2"/>
  <c r="D123" i="2"/>
  <c r="D130" i="2"/>
  <c r="D134" i="2"/>
  <c r="D138" i="2"/>
  <c r="D142" i="2"/>
  <c r="D146" i="2"/>
  <c r="D64" i="2"/>
  <c r="D106" i="2"/>
  <c r="D113" i="2"/>
  <c r="D54" i="2"/>
  <c r="D9" i="2"/>
  <c r="D21" i="2"/>
  <c r="D23" i="2"/>
  <c r="D40" i="2"/>
  <c r="D35" i="2"/>
  <c r="D66" i="2"/>
  <c r="D57" i="2"/>
  <c r="D78" i="2"/>
  <c r="D86" i="2"/>
  <c r="D94" i="2"/>
  <c r="D63" i="2"/>
  <c r="D124" i="2"/>
  <c r="D111" i="2"/>
  <c r="D131" i="2"/>
  <c r="D139" i="2"/>
  <c r="D147" i="2"/>
  <c r="D110" i="2"/>
  <c r="D109" i="2"/>
  <c r="D3" i="2"/>
  <c r="D11" i="2"/>
  <c r="D15" i="2"/>
  <c r="D27" i="2"/>
  <c r="D48" i="2"/>
  <c r="D43" i="2"/>
  <c r="D74" i="2"/>
  <c r="D61" i="2"/>
  <c r="D80" i="2"/>
  <c r="D88" i="2"/>
  <c r="D96" i="2"/>
  <c r="D71" i="2"/>
  <c r="D60" i="2"/>
  <c r="D119" i="2"/>
  <c r="D133" i="2"/>
  <c r="D141" i="2"/>
  <c r="D149" i="2"/>
  <c r="D5" i="2"/>
  <c r="D13" i="2"/>
  <c r="D19" i="2"/>
  <c r="D34" i="2"/>
  <c r="D56" i="2"/>
  <c r="D51" i="2"/>
  <c r="D41" i="2"/>
  <c r="D69" i="2"/>
  <c r="D82" i="2"/>
  <c r="D90" i="2"/>
  <c r="D98" i="2"/>
  <c r="D108" i="2"/>
  <c r="D42" i="2"/>
  <c r="D127" i="2"/>
  <c r="D135" i="2"/>
  <c r="D143" i="2"/>
  <c r="D68" i="2"/>
  <c r="D121" i="2"/>
  <c r="D7" i="2"/>
  <c r="D31" i="2"/>
  <c r="D84" i="2"/>
  <c r="D103" i="2"/>
  <c r="D102" i="2"/>
  <c r="D18" i="2"/>
  <c r="D59" i="2"/>
  <c r="D92" i="2"/>
  <c r="D129" i="2"/>
  <c r="D24" i="2"/>
  <c r="D49" i="2"/>
  <c r="D100" i="2"/>
  <c r="D137" i="2"/>
  <c r="D33" i="2"/>
  <c r="D76" i="2"/>
  <c r="D116" i="2"/>
  <c r="D145" i="2"/>
  <c r="S7" i="2"/>
  <c r="S16" i="2"/>
  <c r="S23" i="2"/>
  <c r="S10" i="2"/>
  <c r="S29" i="2"/>
  <c r="S32" i="2"/>
  <c r="S43" i="2"/>
  <c r="S38" i="2"/>
  <c r="S54" i="2"/>
  <c r="S61" i="2"/>
  <c r="S65" i="2"/>
  <c r="S3" i="2"/>
  <c r="S11" i="2"/>
  <c r="S21" i="2"/>
  <c r="S25" i="2"/>
  <c r="S14" i="2"/>
  <c r="S12" i="2"/>
  <c r="S35" i="2"/>
  <c r="S51" i="2"/>
  <c r="S46" i="2"/>
  <c r="S59" i="2"/>
  <c r="S63" i="2"/>
  <c r="S67" i="2"/>
  <c r="S71" i="2"/>
  <c r="S6" i="2"/>
  <c r="S45" i="2"/>
  <c r="S76" i="2"/>
  <c r="S80" i="2"/>
  <c r="S84" i="2"/>
  <c r="S88" i="2"/>
  <c r="S92" i="2"/>
  <c r="S96" i="2"/>
  <c r="S100" i="2"/>
  <c r="S104" i="2"/>
  <c r="S108" i="2"/>
  <c r="S5" i="2"/>
  <c r="S22" i="2"/>
  <c r="S15" i="2"/>
  <c r="S39" i="2"/>
  <c r="S50" i="2"/>
  <c r="S64" i="2"/>
  <c r="S70" i="2"/>
  <c r="S19" i="2"/>
  <c r="S53" i="2"/>
  <c r="S79" i="2"/>
  <c r="S85" i="2"/>
  <c r="S90" i="2"/>
  <c r="S95" i="2"/>
  <c r="S101" i="2"/>
  <c r="S106" i="2"/>
  <c r="S111" i="2"/>
  <c r="S115" i="2"/>
  <c r="S119" i="2"/>
  <c r="S123" i="2"/>
  <c r="S30" i="2"/>
  <c r="S126" i="2"/>
  <c r="S130" i="2"/>
  <c r="S134" i="2"/>
  <c r="S138" i="2"/>
  <c r="S142" i="2"/>
  <c r="S146" i="2"/>
  <c r="S36" i="2"/>
  <c r="S56" i="2"/>
  <c r="S9" i="2"/>
  <c r="S24" i="2"/>
  <c r="S33" i="2"/>
  <c r="S47" i="2"/>
  <c r="S58" i="2"/>
  <c r="S66" i="2"/>
  <c r="S72" i="2"/>
  <c r="S37" i="2"/>
  <c r="S75" i="2"/>
  <c r="S81" i="2"/>
  <c r="S86" i="2"/>
  <c r="S91" i="2"/>
  <c r="S97" i="2"/>
  <c r="S102" i="2"/>
  <c r="S107" i="2"/>
  <c r="S112" i="2"/>
  <c r="S116" i="2"/>
  <c r="S120" i="2"/>
  <c r="S124" i="2"/>
  <c r="S31" i="2"/>
  <c r="S127" i="2"/>
  <c r="S131" i="2"/>
  <c r="S135" i="2"/>
  <c r="S139" i="2"/>
  <c r="S143" i="2"/>
  <c r="S147" i="2"/>
  <c r="S44" i="2"/>
  <c r="S57" i="2"/>
  <c r="S13" i="2"/>
  <c r="S26" i="2"/>
  <c r="S28" i="2"/>
  <c r="S55" i="2"/>
  <c r="S60" i="2"/>
  <c r="S68" i="2"/>
  <c r="S73" i="2"/>
  <c r="S41" i="2"/>
  <c r="S77" i="2"/>
  <c r="S82" i="2"/>
  <c r="S87" i="2"/>
  <c r="S93" i="2"/>
  <c r="S98" i="2"/>
  <c r="S103" i="2"/>
  <c r="S109" i="2"/>
  <c r="S113" i="2"/>
  <c r="S117" i="2"/>
  <c r="S121" i="2"/>
  <c r="S125" i="2"/>
  <c r="S40" i="2"/>
  <c r="S128" i="2"/>
  <c r="S132" i="2"/>
  <c r="S136" i="2"/>
  <c r="S140" i="2"/>
  <c r="S144" i="2"/>
  <c r="S148" i="2"/>
  <c r="S52" i="2"/>
  <c r="S2" i="2"/>
  <c r="S153" i="2" s="1"/>
  <c r="S20" i="2"/>
  <c r="S62" i="2"/>
  <c r="S78" i="2"/>
  <c r="S99" i="2"/>
  <c r="S118" i="2"/>
  <c r="S129" i="2"/>
  <c r="S145" i="2"/>
  <c r="S34" i="2"/>
  <c r="S8" i="2"/>
  <c r="S69" i="2"/>
  <c r="S83" i="2"/>
  <c r="S105" i="2"/>
  <c r="S122" i="2"/>
  <c r="S133" i="2"/>
  <c r="S149" i="2"/>
  <c r="S18" i="2"/>
  <c r="S74" i="2"/>
  <c r="S89" i="2"/>
  <c r="S110" i="2"/>
  <c r="S4" i="2"/>
  <c r="S137" i="2"/>
  <c r="S27" i="2"/>
  <c r="S17" i="2"/>
  <c r="S42" i="2"/>
  <c r="S49" i="2"/>
  <c r="S94" i="2"/>
  <c r="S114" i="2"/>
  <c r="S48" i="2"/>
  <c r="S141" i="2"/>
  <c r="N83" i="2"/>
  <c r="N91" i="2"/>
  <c r="N139" i="2"/>
  <c r="N122" i="2"/>
  <c r="N146" i="2"/>
  <c r="N149" i="2"/>
  <c r="N2" i="2"/>
  <c r="N153" i="2" s="1"/>
  <c r="N143" i="2"/>
  <c r="N106" i="2"/>
  <c r="N141" i="2"/>
  <c r="N145" i="2"/>
  <c r="N114" i="2"/>
  <c r="N135" i="2"/>
  <c r="N137" i="2"/>
  <c r="N81" i="2"/>
  <c r="N129" i="2"/>
  <c r="N87" i="2"/>
  <c r="N110" i="2"/>
  <c r="N77" i="2"/>
  <c r="N128" i="2"/>
  <c r="N144" i="2"/>
  <c r="N142" i="2"/>
  <c r="N140" i="2"/>
  <c r="N138" i="2"/>
  <c r="N136" i="2"/>
  <c r="N134" i="2"/>
  <c r="N89" i="2"/>
  <c r="N131" i="2"/>
  <c r="N95" i="2"/>
  <c r="N113" i="2"/>
  <c r="N85" i="2"/>
  <c r="N130" i="2"/>
  <c r="N79" i="2"/>
  <c r="N121" i="2"/>
  <c r="N117" i="2"/>
  <c r="N127" i="2"/>
  <c r="N105" i="2"/>
  <c r="N126" i="2"/>
  <c r="N147" i="2"/>
  <c r="N101" i="2"/>
  <c r="N97" i="2"/>
  <c r="N93" i="2"/>
  <c r="N133" i="2"/>
  <c r="N132" i="2"/>
  <c r="N148" i="2"/>
  <c r="N109" i="2"/>
  <c r="N72" i="2"/>
  <c r="N102" i="2"/>
  <c r="N75" i="2"/>
  <c r="N125" i="2"/>
  <c r="N10" i="2"/>
  <c r="N16" i="2"/>
  <c r="N18" i="2"/>
  <c r="N9" i="2"/>
  <c r="N29" i="2"/>
  <c r="N23" i="2"/>
  <c r="N32" i="2"/>
  <c r="N38" i="2"/>
  <c r="N42" i="2"/>
  <c r="N46" i="2"/>
  <c r="N50" i="2"/>
  <c r="N54" i="2"/>
  <c r="N34" i="2"/>
  <c r="N61" i="2"/>
  <c r="N65" i="2"/>
  <c r="N69" i="2"/>
  <c r="N56" i="2"/>
  <c r="N115" i="2"/>
  <c r="N118" i="2"/>
  <c r="N99" i="2"/>
  <c r="N6" i="2"/>
  <c r="N14" i="2"/>
  <c r="N11" i="2"/>
  <c r="N21" i="2"/>
  <c r="N24" i="2"/>
  <c r="N13" i="2"/>
  <c r="N27" i="2"/>
  <c r="N36" i="2"/>
  <c r="N40" i="2"/>
  <c r="N44" i="2"/>
  <c r="N48" i="2"/>
  <c r="N52" i="2"/>
  <c r="N30" i="2"/>
  <c r="N59" i="2"/>
  <c r="N63" i="2"/>
  <c r="N67" i="2"/>
  <c r="N71" i="2"/>
  <c r="N74" i="2"/>
  <c r="N123" i="2"/>
  <c r="N107" i="2"/>
  <c r="N12" i="2"/>
  <c r="N19" i="2"/>
  <c r="N7" i="2"/>
  <c r="N35" i="2"/>
  <c r="N43" i="2"/>
  <c r="N51" i="2"/>
  <c r="N55" i="2"/>
  <c r="N66" i="2"/>
  <c r="N57" i="2"/>
  <c r="N111" i="2"/>
  <c r="N112" i="2"/>
  <c r="N17" i="2"/>
  <c r="N25" i="2"/>
  <c r="N22" i="2"/>
  <c r="N37" i="2"/>
  <c r="N45" i="2"/>
  <c r="N53" i="2"/>
  <c r="N60" i="2"/>
  <c r="N68" i="2"/>
  <c r="N73" i="2"/>
  <c r="N103" i="2"/>
  <c r="N124" i="2"/>
  <c r="N108" i="2"/>
  <c r="N4" i="2"/>
  <c r="N3" i="2"/>
  <c r="N20" i="2"/>
  <c r="N26" i="2"/>
  <c r="N39" i="2"/>
  <c r="N47" i="2"/>
  <c r="N5" i="2"/>
  <c r="N62" i="2"/>
  <c r="N70" i="2"/>
  <c r="N120" i="2"/>
  <c r="N28" i="2"/>
  <c r="N31" i="2"/>
  <c r="N94" i="2"/>
  <c r="N86" i="2"/>
  <c r="N78" i="2"/>
  <c r="N33" i="2"/>
  <c r="N64" i="2"/>
  <c r="N104" i="2"/>
  <c r="N96" i="2"/>
  <c r="N88" i="2"/>
  <c r="N80" i="2"/>
  <c r="N8" i="2"/>
  <c r="N41" i="2"/>
  <c r="N58" i="2"/>
  <c r="N119" i="2"/>
  <c r="N116" i="2"/>
  <c r="N98" i="2"/>
  <c r="N90" i="2"/>
  <c r="N82" i="2"/>
  <c r="N15" i="2"/>
  <c r="N49" i="2"/>
  <c r="N100" i="2"/>
  <c r="N92" i="2"/>
  <c r="N84" i="2"/>
  <c r="N76" i="2"/>
  <c r="U90" i="2"/>
  <c r="U138" i="2"/>
  <c r="U134" i="2"/>
  <c r="U136" i="2"/>
  <c r="U144" i="2"/>
  <c r="U98" i="2"/>
  <c r="U142" i="2"/>
  <c r="U149" i="2"/>
  <c r="U129" i="2"/>
  <c r="U140" i="2"/>
  <c r="U148" i="2"/>
  <c r="U127" i="2"/>
  <c r="U145" i="2"/>
  <c r="U143" i="2"/>
  <c r="U135" i="2"/>
  <c r="U131" i="2"/>
  <c r="U80" i="2"/>
  <c r="U106" i="2"/>
  <c r="U122" i="2"/>
  <c r="U94" i="2"/>
  <c r="U132" i="2"/>
  <c r="U92" i="2"/>
  <c r="U110" i="2"/>
  <c r="U82" i="2"/>
  <c r="U141" i="2"/>
  <c r="U139" i="2"/>
  <c r="U137" i="2"/>
  <c r="U88" i="2"/>
  <c r="U114" i="2"/>
  <c r="U86" i="2"/>
  <c r="U68" i="2"/>
  <c r="U102" i="2"/>
  <c r="U123" i="2"/>
  <c r="U147" i="2"/>
  <c r="U61" i="2"/>
  <c r="U103" i="2"/>
  <c r="U64" i="2"/>
  <c r="U128" i="2"/>
  <c r="U84" i="2"/>
  <c r="U115" i="2"/>
  <c r="U96" i="2"/>
  <c r="U126" i="2"/>
  <c r="U107" i="2"/>
  <c r="U133" i="2"/>
  <c r="U111" i="2"/>
  <c r="U130" i="2"/>
  <c r="U118" i="2"/>
  <c r="U119" i="2"/>
  <c r="U76" i="2"/>
  <c r="U146" i="2"/>
  <c r="U60" i="2"/>
  <c r="U2" i="2"/>
  <c r="U153" i="2" s="1"/>
  <c r="U120" i="2"/>
  <c r="U104" i="2"/>
  <c r="U97" i="2"/>
  <c r="U89" i="2"/>
  <c r="U81" i="2"/>
  <c r="U73" i="2"/>
  <c r="U4" i="2"/>
  <c r="U8" i="2"/>
  <c r="U12" i="2"/>
  <c r="U78" i="2"/>
  <c r="U100" i="2"/>
  <c r="U112" i="2"/>
  <c r="U93" i="2"/>
  <c r="U85" i="2"/>
  <c r="U77" i="2"/>
  <c r="U75" i="2"/>
  <c r="U72" i="2"/>
  <c r="U6" i="2"/>
  <c r="U10" i="2"/>
  <c r="U87" i="2"/>
  <c r="U65" i="2"/>
  <c r="U5" i="2"/>
  <c r="U13" i="2"/>
  <c r="U17" i="2"/>
  <c r="U26" i="2"/>
  <c r="U30" i="2"/>
  <c r="U34" i="2"/>
  <c r="U36" i="2"/>
  <c r="U40" i="2"/>
  <c r="U44" i="2"/>
  <c r="U48" i="2"/>
  <c r="U52" i="2"/>
  <c r="U56" i="2"/>
  <c r="U23" i="2"/>
  <c r="U67" i="2"/>
  <c r="U70" i="2"/>
  <c r="U117" i="2"/>
  <c r="U124" i="2"/>
  <c r="U99" i="2"/>
  <c r="U83" i="2"/>
  <c r="U7" i="2"/>
  <c r="U14" i="2"/>
  <c r="U18" i="2"/>
  <c r="U27" i="2"/>
  <c r="U31" i="2"/>
  <c r="U21" i="2"/>
  <c r="U37" i="2"/>
  <c r="U41" i="2"/>
  <c r="U45" i="2"/>
  <c r="U49" i="2"/>
  <c r="U53" i="2"/>
  <c r="U57" i="2"/>
  <c r="U24" i="2"/>
  <c r="U71" i="2"/>
  <c r="U74" i="2"/>
  <c r="U113" i="2"/>
  <c r="U116" i="2"/>
  <c r="U95" i="2"/>
  <c r="U79" i="2"/>
  <c r="U69" i="2"/>
  <c r="U9" i="2"/>
  <c r="U15" i="2"/>
  <c r="U19" i="2"/>
  <c r="U28" i="2"/>
  <c r="U32" i="2"/>
  <c r="U25" i="2"/>
  <c r="U38" i="2"/>
  <c r="U42" i="2"/>
  <c r="U46" i="2"/>
  <c r="U50" i="2"/>
  <c r="U54" i="2"/>
  <c r="U58" i="2"/>
  <c r="U59" i="2"/>
  <c r="U62" i="2"/>
  <c r="U125" i="2"/>
  <c r="U109" i="2"/>
  <c r="U22" i="2"/>
  <c r="U39" i="2"/>
  <c r="U55" i="2"/>
  <c r="U108" i="2"/>
  <c r="U3" i="2"/>
  <c r="U29" i="2"/>
  <c r="U43" i="2"/>
  <c r="U20" i="2"/>
  <c r="U91" i="2"/>
  <c r="U11" i="2"/>
  <c r="U33" i="2"/>
  <c r="U47" i="2"/>
  <c r="U63" i="2"/>
  <c r="U101" i="2"/>
  <c r="U16" i="2"/>
  <c r="U35" i="2"/>
  <c r="U51" i="2"/>
  <c r="U66" i="2"/>
  <c r="U121" i="2"/>
  <c r="U105" i="2"/>
  <c r="E60" i="2"/>
  <c r="E131" i="2"/>
  <c r="E133" i="2"/>
  <c r="E138" i="2"/>
  <c r="E144" i="2"/>
  <c r="E136" i="2"/>
  <c r="E142" i="2"/>
  <c r="E149" i="2"/>
  <c r="E82" i="2"/>
  <c r="E140" i="2"/>
  <c r="E148" i="2"/>
  <c r="E145" i="2"/>
  <c r="E139" i="2"/>
  <c r="E127" i="2"/>
  <c r="E61" i="2"/>
  <c r="E96" i="2"/>
  <c r="E114" i="2"/>
  <c r="E73" i="2"/>
  <c r="E128" i="2"/>
  <c r="E72" i="2"/>
  <c r="E100" i="2"/>
  <c r="E115" i="2"/>
  <c r="E90" i="2"/>
  <c r="E103" i="2"/>
  <c r="E122" i="2"/>
  <c r="E94" i="2"/>
  <c r="E76" i="2"/>
  <c r="E107" i="2"/>
  <c r="E126" i="2"/>
  <c r="E129" i="2"/>
  <c r="E143" i="2"/>
  <c r="E141" i="2"/>
  <c r="E98" i="2"/>
  <c r="E80" i="2"/>
  <c r="E111" i="2"/>
  <c r="E78" i="2"/>
  <c r="E132" i="2"/>
  <c r="E92" i="2"/>
  <c r="E118" i="2"/>
  <c r="E147" i="2"/>
  <c r="E146" i="2"/>
  <c r="E137" i="2"/>
  <c r="E64" i="2"/>
  <c r="E68" i="2"/>
  <c r="E84" i="2"/>
  <c r="E88" i="2"/>
  <c r="E86" i="2"/>
  <c r="E102" i="2"/>
  <c r="E135" i="2"/>
  <c r="E106" i="2"/>
  <c r="E130" i="2"/>
  <c r="E110" i="2"/>
  <c r="E134" i="2"/>
  <c r="E2" i="2"/>
  <c r="E153" i="2" s="1"/>
  <c r="E112" i="2"/>
  <c r="E101" i="2"/>
  <c r="E93" i="2"/>
  <c r="E85" i="2"/>
  <c r="E77" i="2"/>
  <c r="E123" i="2"/>
  <c r="E120" i="2"/>
  <c r="E104" i="2"/>
  <c r="E97" i="2"/>
  <c r="E89" i="2"/>
  <c r="E81" i="2"/>
  <c r="E69" i="2"/>
  <c r="E65" i="2"/>
  <c r="E108" i="2"/>
  <c r="E91" i="2"/>
  <c r="E5" i="2"/>
  <c r="E9" i="2"/>
  <c r="E13" i="2"/>
  <c r="E17" i="2"/>
  <c r="E26" i="2"/>
  <c r="E31" i="2"/>
  <c r="E21" i="2"/>
  <c r="E37" i="2"/>
  <c r="E41" i="2"/>
  <c r="E45" i="2"/>
  <c r="E49" i="2"/>
  <c r="E53" i="2"/>
  <c r="E57" i="2"/>
  <c r="E23" i="2"/>
  <c r="E67" i="2"/>
  <c r="E66" i="2"/>
  <c r="E125" i="2"/>
  <c r="E109" i="2"/>
  <c r="E87" i="2"/>
  <c r="E6" i="2"/>
  <c r="E10" i="2"/>
  <c r="E14" i="2"/>
  <c r="E18" i="2"/>
  <c r="E28" i="2"/>
  <c r="E32" i="2"/>
  <c r="E25" i="2"/>
  <c r="E38" i="2"/>
  <c r="E42" i="2"/>
  <c r="E46" i="2"/>
  <c r="E50" i="2"/>
  <c r="E54" i="2"/>
  <c r="E58" i="2"/>
  <c r="E24" i="2"/>
  <c r="E71" i="2"/>
  <c r="E70" i="2"/>
  <c r="E121" i="2"/>
  <c r="E105" i="2"/>
  <c r="E119" i="2"/>
  <c r="E124" i="2"/>
  <c r="E99" i="2"/>
  <c r="E83" i="2"/>
  <c r="E3" i="2"/>
  <c r="E7" i="2"/>
  <c r="E11" i="2"/>
  <c r="E15" i="2"/>
  <c r="E19" i="2"/>
  <c r="E29" i="2"/>
  <c r="E33" i="2"/>
  <c r="E35" i="2"/>
  <c r="E39" i="2"/>
  <c r="E43" i="2"/>
  <c r="E47" i="2"/>
  <c r="E51" i="2"/>
  <c r="E55" i="2"/>
  <c r="E59" i="2"/>
  <c r="E27" i="2"/>
  <c r="E75" i="2"/>
  <c r="E74" i="2"/>
  <c r="E117" i="2"/>
  <c r="E4" i="2"/>
  <c r="E22" i="2"/>
  <c r="E40" i="2"/>
  <c r="E56" i="2"/>
  <c r="E113" i="2"/>
  <c r="E95" i="2"/>
  <c r="E8" i="2"/>
  <c r="E30" i="2"/>
  <c r="E44" i="2"/>
  <c r="E20" i="2"/>
  <c r="E79" i="2"/>
  <c r="E12" i="2"/>
  <c r="E34" i="2"/>
  <c r="E48" i="2"/>
  <c r="E63" i="2"/>
  <c r="E116" i="2"/>
  <c r="E16" i="2"/>
  <c r="E36" i="2"/>
  <c r="E52" i="2"/>
  <c r="E62" i="2"/>
  <c r="P102" i="2"/>
  <c r="P6" i="2"/>
  <c r="P10" i="2"/>
  <c r="P14" i="2"/>
  <c r="P22" i="2"/>
  <c r="P25" i="2"/>
  <c r="P5" i="2"/>
  <c r="P11" i="2"/>
  <c r="P19" i="2"/>
  <c r="P21" i="2"/>
  <c r="P20" i="2"/>
  <c r="P30" i="2"/>
  <c r="P46" i="2"/>
  <c r="P33" i="2"/>
  <c r="P49" i="2"/>
  <c r="P39" i="2"/>
  <c r="P60" i="2"/>
  <c r="P36" i="2"/>
  <c r="P52" i="2"/>
  <c r="P67" i="2"/>
  <c r="P76" i="2"/>
  <c r="P80" i="2"/>
  <c r="P84" i="2"/>
  <c r="P88" i="2"/>
  <c r="P92" i="2"/>
  <c r="P96" i="2"/>
  <c r="P100" i="2"/>
  <c r="P69" i="2"/>
  <c r="P113" i="2"/>
  <c r="P2" i="2"/>
  <c r="P153" i="2" s="1"/>
  <c r="P66" i="2"/>
  <c r="P112" i="2"/>
  <c r="P126" i="2"/>
  <c r="P130" i="2"/>
  <c r="P134" i="2"/>
  <c r="P138" i="2"/>
  <c r="P142" i="2"/>
  <c r="P146" i="2"/>
  <c r="P103" i="2"/>
  <c r="P3" i="2"/>
  <c r="P8" i="2"/>
  <c r="P13" i="2"/>
  <c r="P26" i="2"/>
  <c r="P31" i="2"/>
  <c r="P24" i="2"/>
  <c r="P38" i="2"/>
  <c r="P54" i="2"/>
  <c r="P41" i="2"/>
  <c r="P56" i="2"/>
  <c r="P47" i="2"/>
  <c r="P68" i="2"/>
  <c r="P44" i="2"/>
  <c r="P59" i="2"/>
  <c r="P74" i="2"/>
  <c r="P78" i="2"/>
  <c r="P82" i="2"/>
  <c r="P86" i="2"/>
  <c r="P90" i="2"/>
  <c r="P94" i="2"/>
  <c r="P98" i="2"/>
  <c r="P61" i="2"/>
  <c r="P105" i="2"/>
  <c r="P121" i="2"/>
  <c r="P111" i="2"/>
  <c r="P104" i="2"/>
  <c r="P120" i="2"/>
  <c r="P128" i="2"/>
  <c r="P132" i="2"/>
  <c r="P136" i="2"/>
  <c r="P140" i="2"/>
  <c r="P144" i="2"/>
  <c r="P148" i="2"/>
  <c r="P12" i="2"/>
  <c r="P28" i="2"/>
  <c r="P34" i="2"/>
  <c r="P37" i="2"/>
  <c r="P43" i="2"/>
  <c r="P40" i="2"/>
  <c r="P71" i="2"/>
  <c r="P81" i="2"/>
  <c r="P89" i="2"/>
  <c r="P97" i="2"/>
  <c r="P101" i="2"/>
  <c r="P58" i="2"/>
  <c r="P116" i="2"/>
  <c r="P131" i="2"/>
  <c r="P139" i="2"/>
  <c r="P147" i="2"/>
  <c r="P4" i="2"/>
  <c r="P15" i="2"/>
  <c r="P16" i="2"/>
  <c r="P42" i="2"/>
  <c r="P45" i="2"/>
  <c r="P51" i="2"/>
  <c r="P48" i="2"/>
  <c r="P75" i="2"/>
  <c r="P83" i="2"/>
  <c r="P91" i="2"/>
  <c r="P99" i="2"/>
  <c r="P109" i="2"/>
  <c r="P62" i="2"/>
  <c r="P124" i="2"/>
  <c r="P133" i="2"/>
  <c r="P141" i="2"/>
  <c r="P149" i="2"/>
  <c r="P7" i="2"/>
  <c r="P18" i="2"/>
  <c r="P23" i="2"/>
  <c r="P50" i="2"/>
  <c r="P53" i="2"/>
  <c r="P64" i="2"/>
  <c r="P55" i="2"/>
  <c r="P77" i="2"/>
  <c r="P85" i="2"/>
  <c r="P93" i="2"/>
  <c r="P32" i="2"/>
  <c r="P117" i="2"/>
  <c r="P70" i="2"/>
  <c r="P127" i="2"/>
  <c r="P135" i="2"/>
  <c r="P143" i="2"/>
  <c r="P107" i="2"/>
  <c r="P57" i="2"/>
  <c r="P79" i="2"/>
  <c r="P125" i="2"/>
  <c r="P145" i="2"/>
  <c r="P72" i="2"/>
  <c r="P119" i="2"/>
  <c r="P114" i="2"/>
  <c r="P73" i="2"/>
  <c r="P9" i="2"/>
  <c r="P35" i="2"/>
  <c r="P87" i="2"/>
  <c r="P108" i="2"/>
  <c r="P17" i="2"/>
  <c r="P29" i="2"/>
  <c r="P95" i="2"/>
  <c r="P129" i="2"/>
  <c r="P110" i="2"/>
  <c r="P122" i="2"/>
  <c r="P27" i="2"/>
  <c r="P123" i="2"/>
  <c r="P106" i="2"/>
  <c r="P63" i="2"/>
  <c r="P65" i="2"/>
  <c r="P118" i="2"/>
  <c r="P137" i="2"/>
  <c r="P115" i="2"/>
  <c r="O2" i="2"/>
  <c r="O153" i="2" s="1"/>
  <c r="O6" i="2"/>
  <c r="O14" i="2"/>
  <c r="O22" i="2"/>
  <c r="O26" i="2"/>
  <c r="O3" i="2"/>
  <c r="O19" i="2"/>
  <c r="O33" i="2"/>
  <c r="O41" i="2"/>
  <c r="O56" i="2"/>
  <c r="O36" i="2"/>
  <c r="O52" i="2"/>
  <c r="O61" i="2"/>
  <c r="O65" i="2"/>
  <c r="O69" i="2"/>
  <c r="O73" i="2"/>
  <c r="O77" i="2"/>
  <c r="O81" i="2"/>
  <c r="O85" i="2"/>
  <c r="O89" i="2"/>
  <c r="O93" i="2"/>
  <c r="O97" i="2"/>
  <c r="O101" i="2"/>
  <c r="O105" i="2"/>
  <c r="O109" i="2"/>
  <c r="O113" i="2"/>
  <c r="O117" i="2"/>
  <c r="O121" i="2"/>
  <c r="O125" i="2"/>
  <c r="O39" i="2"/>
  <c r="O126" i="2"/>
  <c r="O130" i="2"/>
  <c r="O134" i="2"/>
  <c r="O138" i="2"/>
  <c r="O142" i="2"/>
  <c r="O146" i="2"/>
  <c r="O35" i="2"/>
  <c r="O51" i="2"/>
  <c r="O8" i="2"/>
  <c r="O17" i="2"/>
  <c r="O23" i="2"/>
  <c r="O27" i="2"/>
  <c r="O11" i="2"/>
  <c r="O30" i="2"/>
  <c r="O9" i="2"/>
  <c r="O45" i="2"/>
  <c r="O29" i="2"/>
  <c r="O40" i="2"/>
  <c r="O55" i="2"/>
  <c r="O62" i="2"/>
  <c r="O66" i="2"/>
  <c r="O70" i="2"/>
  <c r="O74" i="2"/>
  <c r="O78" i="2"/>
  <c r="O82" i="2"/>
  <c r="O86" i="2"/>
  <c r="O90" i="2"/>
  <c r="O94" i="2"/>
  <c r="O98" i="2"/>
  <c r="O102" i="2"/>
  <c r="O106" i="2"/>
  <c r="O110" i="2"/>
  <c r="O114" i="2"/>
  <c r="O118" i="2"/>
  <c r="O122" i="2"/>
  <c r="O57" i="2"/>
  <c r="O46" i="2"/>
  <c r="O127" i="2"/>
  <c r="O131" i="2"/>
  <c r="O135" i="2"/>
  <c r="O139" i="2"/>
  <c r="O143" i="2"/>
  <c r="O147" i="2"/>
  <c r="O42" i="2"/>
  <c r="O18" i="2"/>
  <c r="O10" i="2"/>
  <c r="O20" i="2"/>
  <c r="O24" i="2"/>
  <c r="O5" i="2"/>
  <c r="O15" i="2"/>
  <c r="O34" i="2"/>
  <c r="O28" i="2"/>
  <c r="O49" i="2"/>
  <c r="O31" i="2"/>
  <c r="O44" i="2"/>
  <c r="O59" i="2"/>
  <c r="O63" i="2"/>
  <c r="O67" i="2"/>
  <c r="O71" i="2"/>
  <c r="O75" i="2"/>
  <c r="O79" i="2"/>
  <c r="O83" i="2"/>
  <c r="O87" i="2"/>
  <c r="O91" i="2"/>
  <c r="O95" i="2"/>
  <c r="O99" i="2"/>
  <c r="O103" i="2"/>
  <c r="O107" i="2"/>
  <c r="O111" i="2"/>
  <c r="O115" i="2"/>
  <c r="O119" i="2"/>
  <c r="O123" i="2"/>
  <c r="O58" i="2"/>
  <c r="O47" i="2"/>
  <c r="O128" i="2"/>
  <c r="O132" i="2"/>
  <c r="O136" i="2"/>
  <c r="O140" i="2"/>
  <c r="O144" i="2"/>
  <c r="O148" i="2"/>
  <c r="O43" i="2"/>
  <c r="O12" i="2"/>
  <c r="O16" i="2"/>
  <c r="O32" i="2"/>
  <c r="O68" i="2"/>
  <c r="O84" i="2"/>
  <c r="O100" i="2"/>
  <c r="O116" i="2"/>
  <c r="O54" i="2"/>
  <c r="O141" i="2"/>
  <c r="O21" i="2"/>
  <c r="O7" i="2"/>
  <c r="O48" i="2"/>
  <c r="O72" i="2"/>
  <c r="O88" i="2"/>
  <c r="O104" i="2"/>
  <c r="O120" i="2"/>
  <c r="O129" i="2"/>
  <c r="O145" i="2"/>
  <c r="O25" i="2"/>
  <c r="O37" i="2"/>
  <c r="O60" i="2"/>
  <c r="O76" i="2"/>
  <c r="O92" i="2"/>
  <c r="O108" i="2"/>
  <c r="O124" i="2"/>
  <c r="O133" i="2"/>
  <c r="O149" i="2"/>
  <c r="O4" i="2"/>
  <c r="O13" i="2"/>
  <c r="O53" i="2"/>
  <c r="O64" i="2"/>
  <c r="O80" i="2"/>
  <c r="O96" i="2"/>
  <c r="O112" i="2"/>
  <c r="O38" i="2"/>
  <c r="O137" i="2"/>
  <c r="O50" i="2"/>
  <c r="C40" i="2"/>
  <c r="C149" i="2"/>
  <c r="C48" i="2"/>
  <c r="C146" i="2"/>
  <c r="C148" i="2"/>
  <c r="C145" i="2"/>
  <c r="C2" i="2"/>
  <c r="C153" i="2" s="1"/>
  <c r="C152" i="2" s="1"/>
  <c r="C147" i="2"/>
  <c r="C17" i="2"/>
  <c r="C11" i="2"/>
  <c r="C21" i="2"/>
  <c r="C25" i="2"/>
  <c r="C15" i="2"/>
  <c r="C6" i="2"/>
  <c r="C28" i="2"/>
  <c r="C34" i="2"/>
  <c r="C47" i="2"/>
  <c r="C12" i="2"/>
  <c r="C46" i="2"/>
  <c r="C60" i="2"/>
  <c r="C64" i="2"/>
  <c r="C68" i="2"/>
  <c r="C72" i="2"/>
  <c r="C37" i="2"/>
  <c r="C53" i="2"/>
  <c r="C77" i="2"/>
  <c r="C81" i="2"/>
  <c r="C85" i="2"/>
  <c r="C89" i="2"/>
  <c r="C93" i="2"/>
  <c r="C97" i="2"/>
  <c r="C101" i="2"/>
  <c r="C105" i="2"/>
  <c r="C109" i="2"/>
  <c r="C113" i="2"/>
  <c r="C117" i="2"/>
  <c r="C121" i="2"/>
  <c r="C125" i="2"/>
  <c r="C7" i="2"/>
  <c r="C16" i="2"/>
  <c r="C23" i="2"/>
  <c r="C27" i="2"/>
  <c r="C19" i="2"/>
  <c r="C33" i="2"/>
  <c r="C30" i="2"/>
  <c r="C39" i="2"/>
  <c r="C55" i="2"/>
  <c r="C38" i="2"/>
  <c r="C54" i="2"/>
  <c r="C62" i="2"/>
  <c r="C66" i="2"/>
  <c r="C70" i="2"/>
  <c r="C74" i="2"/>
  <c r="C45" i="2"/>
  <c r="C57" i="2"/>
  <c r="C79" i="2"/>
  <c r="C83" i="2"/>
  <c r="C87" i="2"/>
  <c r="C91" i="2"/>
  <c r="C95" i="2"/>
  <c r="C99" i="2"/>
  <c r="C103" i="2"/>
  <c r="C107" i="2"/>
  <c r="C111" i="2"/>
  <c r="C115" i="2"/>
  <c r="C119" i="2"/>
  <c r="C123" i="2"/>
  <c r="C13" i="2"/>
  <c r="C26" i="2"/>
  <c r="C29" i="2"/>
  <c r="C35" i="2"/>
  <c r="C14" i="2"/>
  <c r="C61" i="2"/>
  <c r="C69" i="2"/>
  <c r="C41" i="2"/>
  <c r="C78" i="2"/>
  <c r="C86" i="2"/>
  <c r="C94" i="2"/>
  <c r="C102" i="2"/>
  <c r="C110" i="2"/>
  <c r="C118" i="2"/>
  <c r="C126" i="2"/>
  <c r="C143" i="2"/>
  <c r="C139" i="2"/>
  <c r="C135" i="2"/>
  <c r="C131" i="2"/>
  <c r="C127" i="2"/>
  <c r="C3" i="2"/>
  <c r="C20" i="2"/>
  <c r="C10" i="2"/>
  <c r="C4" i="2"/>
  <c r="C43" i="2"/>
  <c r="C42" i="2"/>
  <c r="C63" i="2"/>
  <c r="C71" i="2"/>
  <c r="C49" i="2"/>
  <c r="C80" i="2"/>
  <c r="C88" i="2"/>
  <c r="C96" i="2"/>
  <c r="C104" i="2"/>
  <c r="C112" i="2"/>
  <c r="C120" i="2"/>
  <c r="C142" i="2"/>
  <c r="C138" i="2"/>
  <c r="C134" i="2"/>
  <c r="C130" i="2"/>
  <c r="C5" i="2"/>
  <c r="C22" i="2"/>
  <c r="C18" i="2"/>
  <c r="C32" i="2"/>
  <c r="C51" i="2"/>
  <c r="C50" i="2"/>
  <c r="C65" i="2"/>
  <c r="C73" i="2"/>
  <c r="C56" i="2"/>
  <c r="C82" i="2"/>
  <c r="C90" i="2"/>
  <c r="C98" i="2"/>
  <c r="C106" i="2"/>
  <c r="C114" i="2"/>
  <c r="C122" i="2"/>
  <c r="C141" i="2"/>
  <c r="C137" i="2"/>
  <c r="C133" i="2"/>
  <c r="C129" i="2"/>
  <c r="C9" i="2"/>
  <c r="C24" i="2"/>
  <c r="C8" i="2"/>
  <c r="C31" i="2"/>
  <c r="C59" i="2"/>
  <c r="C58" i="2"/>
  <c r="C67" i="2"/>
  <c r="C75" i="2"/>
  <c r="C76" i="2"/>
  <c r="C84" i="2"/>
  <c r="C92" i="2"/>
  <c r="C100" i="2"/>
  <c r="C108" i="2"/>
  <c r="C116" i="2"/>
  <c r="C124" i="2"/>
  <c r="C144" i="2"/>
  <c r="C128" i="2"/>
  <c r="C44" i="2"/>
  <c r="C140" i="2"/>
  <c r="C36" i="2"/>
  <c r="C136" i="2"/>
  <c r="C132" i="2"/>
  <c r="C52" i="2"/>
  <c r="X164" i="2" l="1"/>
  <c r="X166" i="2" s="1"/>
  <c r="Q58" i="9"/>
  <c r="T5" i="9"/>
  <c r="Q51" i="9"/>
  <c r="X172" i="2"/>
  <c r="V154" i="2"/>
  <c r="V156" i="2" s="1"/>
  <c r="V157" i="2" s="1" a="1"/>
  <c r="V157" i="2" s="1"/>
  <c r="V158" i="2" s="1"/>
  <c r="X156" i="2"/>
  <c r="X157" i="2" s="1" a="1"/>
  <c r="X157" i="2" s="1"/>
  <c r="X158" i="2" s="1"/>
  <c r="X170" i="2" s="1"/>
  <c r="X171" i="2" s="1" a="1"/>
  <c r="X171" i="2" s="1"/>
  <c r="W154" i="2"/>
  <c r="W156" i="2" s="1"/>
  <c r="W157" i="2" s="1" a="1"/>
  <c r="W157" i="2" s="1"/>
  <c r="W158" i="2" s="1"/>
  <c r="J56" i="9"/>
  <c r="X167" i="2" a="1"/>
  <c r="X167" i="2" s="1"/>
  <c r="X168" i="2" s="1"/>
  <c r="X161" i="2" a="1"/>
  <c r="X161" i="2" s="1"/>
  <c r="X162" i="2" s="1"/>
  <c r="B29" i="4"/>
  <c r="B11" i="4"/>
  <c r="B9" i="4"/>
  <c r="B17" i="4"/>
  <c r="B5" i="4"/>
  <c r="B19" i="4"/>
  <c r="B35" i="4"/>
  <c r="B13" i="4"/>
  <c r="B23" i="4"/>
  <c r="B33" i="4"/>
  <c r="B39" i="4"/>
  <c r="B27" i="4"/>
  <c r="B52" i="4" s="1"/>
  <c r="B7" i="4"/>
  <c r="B38" i="4"/>
  <c r="B40" i="4" s="1"/>
  <c r="B41" i="4" s="1"/>
  <c r="B21" i="4"/>
  <c r="B47" i="4" s="1"/>
  <c r="B15" i="4"/>
  <c r="B45" i="4" s="1"/>
  <c r="B31" i="4"/>
  <c r="B25" i="4"/>
  <c r="V160" i="2"/>
  <c r="X160" i="2"/>
  <c r="X150" i="2"/>
  <c r="V161" i="2" a="1"/>
  <c r="V161" i="2" s="1"/>
  <c r="V162" i="2" s="1"/>
  <c r="F172" i="2"/>
  <c r="W172" i="2"/>
  <c r="B29" i="9"/>
  <c r="U172" i="2"/>
  <c r="N172" i="2"/>
  <c r="L29" i="9"/>
  <c r="W151" i="2"/>
  <c r="P29" i="9"/>
  <c r="J47" i="9" s="1"/>
  <c r="T172" i="2"/>
  <c r="H29" i="9"/>
  <c r="V151" i="2"/>
  <c r="V150" i="2"/>
  <c r="V172" i="2"/>
  <c r="P172" i="2"/>
  <c r="W164" i="2"/>
  <c r="W166" i="2" s="1"/>
  <c r="W167" i="2" s="1" a="1"/>
  <c r="W167" i="2" s="1"/>
  <c r="W168" i="2" s="1"/>
  <c r="V164" i="2"/>
  <c r="V166" i="2" s="1"/>
  <c r="V167" i="2" s="1" a="1"/>
  <c r="V167" i="2" s="1"/>
  <c r="V168" i="2" s="1"/>
  <c r="F160" i="2"/>
  <c r="F161" i="2" s="1" a="1"/>
  <c r="F161" i="2" s="1"/>
  <c r="F162" i="2" s="1"/>
  <c r="I160" i="2"/>
  <c r="I161" i="2" s="1" a="1"/>
  <c r="I161" i="2" s="1"/>
  <c r="I162" i="2" s="1"/>
  <c r="G160" i="2"/>
  <c r="G161" i="2" s="1" a="1"/>
  <c r="G161" i="2" s="1"/>
  <c r="G162" i="2" s="1"/>
  <c r="H160" i="2"/>
  <c r="H161" i="2" s="1" a="1"/>
  <c r="H161" i="2" s="1"/>
  <c r="H162" i="2" s="1"/>
  <c r="M160" i="2"/>
  <c r="M161" i="2" s="1" a="1"/>
  <c r="M161" i="2" s="1"/>
  <c r="M162" i="2" s="1"/>
  <c r="L160" i="2"/>
  <c r="L161" i="2" s="1" a="1"/>
  <c r="L161" i="2" s="1"/>
  <c r="L162" i="2" s="1"/>
  <c r="K160" i="2"/>
  <c r="K161" i="2" s="1" a="1"/>
  <c r="K161" i="2" s="1"/>
  <c r="K162" i="2" s="1"/>
  <c r="J160" i="2"/>
  <c r="J161" i="2" s="1" a="1"/>
  <c r="J161" i="2" s="1"/>
  <c r="J162" i="2" s="1"/>
  <c r="I29" i="9"/>
  <c r="K29" i="9"/>
  <c r="F154" i="2"/>
  <c r="F156" i="2" s="1"/>
  <c r="F157" i="2" s="1" a="1"/>
  <c r="F157" i="2" s="1"/>
  <c r="F158" i="2" s="1"/>
  <c r="I154" i="2"/>
  <c r="I156" i="2" s="1"/>
  <c r="I157" i="2" s="1" a="1"/>
  <c r="I157" i="2" s="1"/>
  <c r="I158" i="2" s="1"/>
  <c r="H154" i="2"/>
  <c r="H156" i="2" s="1"/>
  <c r="H157" i="2" s="1" a="1"/>
  <c r="H157" i="2" s="1"/>
  <c r="H158" i="2" s="1"/>
  <c r="G154" i="2"/>
  <c r="G156" i="2" s="1"/>
  <c r="G157" i="2" s="1" a="1"/>
  <c r="G157" i="2" s="1"/>
  <c r="G158" i="2" s="1"/>
  <c r="U151" i="2"/>
  <c r="K154" i="2"/>
  <c r="K156" i="2" s="1"/>
  <c r="K157" i="2" s="1" a="1"/>
  <c r="K157" i="2" s="1"/>
  <c r="K158" i="2" s="1"/>
  <c r="M154" i="2"/>
  <c r="M156" i="2" s="1"/>
  <c r="M157" i="2" s="1" a="1"/>
  <c r="M157" i="2" s="1"/>
  <c r="M158" i="2" s="1"/>
  <c r="L154" i="2"/>
  <c r="L156" i="2" s="1"/>
  <c r="L157" i="2" s="1" a="1"/>
  <c r="L157" i="2" s="1"/>
  <c r="L158" i="2" s="1"/>
  <c r="J154" i="2"/>
  <c r="J156" i="2" s="1"/>
  <c r="J157" i="2" s="1" a="1"/>
  <c r="J157" i="2" s="1"/>
  <c r="J158" i="2" s="1"/>
  <c r="C29" i="9"/>
  <c r="Q154" i="2"/>
  <c r="Q156" i="2" s="1"/>
  <c r="Q157" i="2" s="1" a="1"/>
  <c r="Q157" i="2" s="1"/>
  <c r="Q158" i="2" s="1"/>
  <c r="O154" i="2"/>
  <c r="O156" i="2" s="1"/>
  <c r="O157" i="2" s="1" a="1"/>
  <c r="O157" i="2" s="1"/>
  <c r="O158" i="2" s="1"/>
  <c r="P154" i="2"/>
  <c r="P156" i="2" s="1"/>
  <c r="P157" i="2" s="1" a="1"/>
  <c r="P157" i="2" s="1"/>
  <c r="P158" i="2" s="1"/>
  <c r="N154" i="2"/>
  <c r="N156" i="2" s="1"/>
  <c r="N157" i="2" s="1" a="1"/>
  <c r="N157" i="2" s="1"/>
  <c r="N158" i="2" s="1"/>
  <c r="U150" i="2"/>
  <c r="M164" i="2"/>
  <c r="M166" i="2" s="1"/>
  <c r="M167" i="2" s="1" a="1"/>
  <c r="M167" i="2" s="1"/>
  <c r="M168" i="2" s="1"/>
  <c r="K164" i="2"/>
  <c r="K166" i="2" s="1"/>
  <c r="K167" i="2" s="1" a="1"/>
  <c r="K167" i="2" s="1"/>
  <c r="K168" i="2" s="1"/>
  <c r="L164" i="2"/>
  <c r="L166" i="2" s="1"/>
  <c r="L167" i="2" s="1" a="1"/>
  <c r="L167" i="2" s="1"/>
  <c r="L168" i="2" s="1"/>
  <c r="J164" i="2"/>
  <c r="J166" i="2" s="1"/>
  <c r="J167" i="2" s="1" a="1"/>
  <c r="J167" i="2" s="1"/>
  <c r="J168" i="2" s="1"/>
  <c r="C4" i="9"/>
  <c r="C5" i="9" s="1"/>
  <c r="S4" i="9"/>
  <c r="D4" i="9"/>
  <c r="D5" i="9" s="1"/>
  <c r="B4" i="9"/>
  <c r="B5" i="9" s="1"/>
  <c r="E4" i="9"/>
  <c r="E5" i="9" s="1"/>
  <c r="F4" i="9"/>
  <c r="F5" i="9" s="1"/>
  <c r="G4" i="9"/>
  <c r="G5" i="9" s="1"/>
  <c r="H4" i="9"/>
  <c r="H5" i="9" s="1"/>
  <c r="I4" i="9"/>
  <c r="I5" i="9" s="1"/>
  <c r="J4" i="9"/>
  <c r="J5" i="9" s="1"/>
  <c r="P4" i="9"/>
  <c r="P5" i="9" s="1"/>
  <c r="Q4" i="9"/>
  <c r="Q5" i="9" s="1"/>
  <c r="K4" i="9"/>
  <c r="K5" i="9" s="1"/>
  <c r="L4" i="9"/>
  <c r="L5" i="9" s="1"/>
  <c r="M4" i="9"/>
  <c r="M5" i="9" s="1"/>
  <c r="N4" i="9"/>
  <c r="N5" i="9" s="1"/>
  <c r="O4" i="9"/>
  <c r="O5" i="9" s="1"/>
  <c r="R4" i="9"/>
  <c r="R5" i="9" s="1"/>
  <c r="R29" i="9"/>
  <c r="Q29" i="9"/>
  <c r="K47" i="9" s="1"/>
  <c r="L47" i="9" s="1"/>
  <c r="S160" i="2"/>
  <c r="S161" i="2" s="1" a="1"/>
  <c r="S161" i="2" s="1"/>
  <c r="S162" i="2" s="1"/>
  <c r="U160" i="2"/>
  <c r="T160" i="2"/>
  <c r="T161" i="2" s="1" a="1"/>
  <c r="T161" i="2" s="1"/>
  <c r="T162" i="2" s="1"/>
  <c r="R160" i="2"/>
  <c r="R161" i="2" s="1" a="1"/>
  <c r="R161" i="2" s="1"/>
  <c r="R162" i="2" s="1"/>
  <c r="W150" i="2"/>
  <c r="N29" i="9"/>
  <c r="H47" i="9" s="1"/>
  <c r="E29" i="9"/>
  <c r="M29" i="9"/>
  <c r="S154" i="2"/>
  <c r="S156" i="2" s="1"/>
  <c r="S157" i="2" s="1" a="1"/>
  <c r="S157" i="2" s="1"/>
  <c r="S158" i="2" s="1"/>
  <c r="T154" i="2"/>
  <c r="T156" i="2" s="1"/>
  <c r="T157" i="2" s="1" a="1"/>
  <c r="T157" i="2" s="1"/>
  <c r="T158" i="2" s="1"/>
  <c r="R154" i="2"/>
  <c r="R156" i="2" s="1"/>
  <c r="R157" i="2" s="1" a="1"/>
  <c r="R157" i="2" s="1"/>
  <c r="R158" i="2" s="1"/>
  <c r="U154" i="2"/>
  <c r="U156" i="2" s="1"/>
  <c r="U157" i="2" s="1" a="1"/>
  <c r="U157" i="2" s="1"/>
  <c r="U158" i="2" s="1"/>
  <c r="V1" i="7"/>
  <c r="V2" i="7" s="1"/>
  <c r="W1" i="7"/>
  <c r="W2" i="7" s="1"/>
  <c r="T1" i="7"/>
  <c r="T2" i="7" s="1"/>
  <c r="U1" i="7"/>
  <c r="U2" i="7" s="1"/>
  <c r="D29" i="9"/>
  <c r="F164" i="2"/>
  <c r="F166" i="2" s="1"/>
  <c r="G164" i="2"/>
  <c r="G166" i="2" s="1"/>
  <c r="G167" i="2" s="1" a="1"/>
  <c r="G167" i="2" s="1"/>
  <c r="G168" i="2" s="1"/>
  <c r="H164" i="2"/>
  <c r="H166" i="2" s="1"/>
  <c r="H167" i="2" s="1" a="1"/>
  <c r="H167" i="2" s="1"/>
  <c r="H168" i="2" s="1"/>
  <c r="I164" i="2"/>
  <c r="I166" i="2" s="1"/>
  <c r="I167" i="2" s="1" a="1"/>
  <c r="I167" i="2" s="1"/>
  <c r="I168" i="2" s="1"/>
  <c r="Q164" i="2"/>
  <c r="Q166" i="2" s="1"/>
  <c r="Q167" i="2" s="1" a="1"/>
  <c r="Q167" i="2" s="1"/>
  <c r="Q168" i="2" s="1"/>
  <c r="O164" i="2"/>
  <c r="O166" i="2" s="1"/>
  <c r="O167" i="2" s="1" a="1"/>
  <c r="O167" i="2" s="1"/>
  <c r="O168" i="2" s="1"/>
  <c r="P164" i="2"/>
  <c r="P166" i="2" s="1"/>
  <c r="P167" i="2" s="1" a="1"/>
  <c r="P167" i="2" s="1"/>
  <c r="P168" i="2" s="1"/>
  <c r="N164" i="2"/>
  <c r="N166" i="2" s="1"/>
  <c r="N167" i="2" s="1" a="1"/>
  <c r="N167" i="2" s="1"/>
  <c r="N168" i="2" s="1"/>
  <c r="F29" i="9"/>
  <c r="O160" i="2"/>
  <c r="O161" i="2" s="1" a="1"/>
  <c r="O161" i="2" s="1"/>
  <c r="O162" i="2" s="1"/>
  <c r="Q160" i="2"/>
  <c r="Q161" i="2" s="1" a="1"/>
  <c r="Q161" i="2" s="1"/>
  <c r="Q162" i="2" s="1"/>
  <c r="P160" i="2"/>
  <c r="P161" i="2" s="1" a="1"/>
  <c r="P161" i="2" s="1"/>
  <c r="P162" i="2" s="1"/>
  <c r="N160" i="2"/>
  <c r="N161" i="2" s="1" a="1"/>
  <c r="N161" i="2" s="1"/>
  <c r="N162" i="2" s="1"/>
  <c r="S164" i="2"/>
  <c r="S166" i="2" s="1"/>
  <c r="S167" i="2" s="1" a="1"/>
  <c r="S167" i="2" s="1"/>
  <c r="S168" i="2" s="1"/>
  <c r="T164" i="2"/>
  <c r="T166" i="2" s="1"/>
  <c r="T167" i="2" s="1" a="1"/>
  <c r="T167" i="2" s="1"/>
  <c r="T168" i="2" s="1"/>
  <c r="U164" i="2"/>
  <c r="U166" i="2" s="1"/>
  <c r="U167" i="2" s="1" a="1"/>
  <c r="U167" i="2" s="1"/>
  <c r="U168" i="2" s="1"/>
  <c r="R164" i="2"/>
  <c r="R166" i="2" s="1"/>
  <c r="R167" i="2" s="1" a="1"/>
  <c r="R167" i="2" s="1"/>
  <c r="R168" i="2" s="1"/>
  <c r="J29" i="9"/>
  <c r="W160" i="2"/>
  <c r="W161" i="2" s="1" a="1"/>
  <c r="W161" i="2" s="1"/>
  <c r="W162" i="2" s="1"/>
  <c r="O29" i="9"/>
  <c r="I47" i="9" s="1"/>
  <c r="G29" i="9"/>
  <c r="S29" i="9"/>
  <c r="I56" i="9" s="1"/>
  <c r="K150" i="2"/>
  <c r="L172" i="2"/>
  <c r="Q150" i="2"/>
  <c r="Q172" i="2"/>
  <c r="I150" i="2"/>
  <c r="S151" i="2"/>
  <c r="S150" i="2"/>
  <c r="K172" i="2"/>
  <c r="J150" i="2"/>
  <c r="N150" i="2"/>
  <c r="C150" i="2"/>
  <c r="O150" i="2"/>
  <c r="F150" i="2"/>
  <c r="G150" i="2"/>
  <c r="P150" i="2"/>
  <c r="S172" i="2"/>
  <c r="R172" i="2"/>
  <c r="G172" i="2"/>
  <c r="H150" i="2"/>
  <c r="E150" i="2"/>
  <c r="M150" i="2"/>
  <c r="R150" i="2"/>
  <c r="D150" i="2"/>
  <c r="O172" i="2"/>
  <c r="I172" i="2"/>
  <c r="H172" i="2"/>
  <c r="L150" i="2"/>
  <c r="T150" i="2"/>
  <c r="J172" i="2"/>
  <c r="M172" i="2"/>
  <c r="O1" i="7"/>
  <c r="O2" i="7" s="1"/>
  <c r="H1" i="7"/>
  <c r="E1" i="7"/>
  <c r="E2" i="7" s="1"/>
  <c r="F1" i="7"/>
  <c r="D1" i="7"/>
  <c r="D2" i="7" s="1"/>
  <c r="Q1" i="7"/>
  <c r="Q2" i="7" s="1"/>
  <c r="B2" i="7"/>
  <c r="S1" i="7"/>
  <c r="S2" i="7" s="1"/>
  <c r="L1" i="7"/>
  <c r="L2" i="7" s="1"/>
  <c r="I1" i="7"/>
  <c r="I2" i="7" s="1"/>
  <c r="J1" i="7"/>
  <c r="J2" i="7" s="1"/>
  <c r="G1" i="7"/>
  <c r="G2" i="7" s="1"/>
  <c r="B1" i="8"/>
  <c r="P1" i="7"/>
  <c r="P2" i="7" s="1"/>
  <c r="M1" i="7"/>
  <c r="M2" i="7" s="1"/>
  <c r="N1" i="7"/>
  <c r="N2" i="7" s="1"/>
  <c r="K1" i="7"/>
  <c r="C1" i="7"/>
  <c r="R1" i="7"/>
  <c r="R2" i="7" s="1"/>
  <c r="P151" i="2"/>
  <c r="O151" i="2"/>
  <c r="I151" i="2"/>
  <c r="N151" i="2"/>
  <c r="R151" i="2"/>
  <c r="K151" i="2"/>
  <c r="L151" i="2"/>
  <c r="J151" i="2"/>
  <c r="T151" i="2"/>
  <c r="Q151" i="2"/>
  <c r="J2" i="4"/>
  <c r="C3" i="4"/>
  <c r="C151" i="2"/>
  <c r="H151" i="2"/>
  <c r="E151" i="2"/>
  <c r="D151" i="2"/>
  <c r="G151" i="2"/>
  <c r="F151" i="2"/>
  <c r="B48" i="4" l="1"/>
  <c r="B49" i="4"/>
  <c r="B44" i="4"/>
  <c r="B51" i="4"/>
  <c r="B36" i="4"/>
  <c r="B50" i="4"/>
  <c r="X173" i="2"/>
  <c r="T6" i="9"/>
  <c r="T9" i="9"/>
  <c r="W11" i="7"/>
  <c r="W27" i="7"/>
  <c r="W43" i="7"/>
  <c r="W59" i="7"/>
  <c r="W75" i="7"/>
  <c r="W29" i="7"/>
  <c r="W61" i="7"/>
  <c r="W77" i="7"/>
  <c r="W12" i="7"/>
  <c r="W28" i="7"/>
  <c r="W44" i="7"/>
  <c r="W60" i="7"/>
  <c r="W76" i="7"/>
  <c r="W13" i="7"/>
  <c r="W45" i="7"/>
  <c r="W5" i="7"/>
  <c r="W24" i="7"/>
  <c r="W46" i="7"/>
  <c r="W65" i="7"/>
  <c r="W6" i="7"/>
  <c r="W25" i="7"/>
  <c r="W66" i="7"/>
  <c r="W7" i="7"/>
  <c r="W48" i="7"/>
  <c r="W47" i="7"/>
  <c r="W26" i="7"/>
  <c r="W67" i="7"/>
  <c r="W4" i="7"/>
  <c r="W32" i="7"/>
  <c r="W54" i="7"/>
  <c r="W3" i="7"/>
  <c r="W33" i="7"/>
  <c r="W34" i="7"/>
  <c r="W10" i="7"/>
  <c r="W57" i="7"/>
  <c r="W14" i="7"/>
  <c r="W58" i="7"/>
  <c r="W37" i="7"/>
  <c r="W38" i="7"/>
  <c r="W17" i="7"/>
  <c r="W18" i="7"/>
  <c r="W68" i="7"/>
  <c r="W8" i="7"/>
  <c r="W55" i="7"/>
  <c r="W9" i="7"/>
  <c r="W56" i="7"/>
  <c r="W35" i="7"/>
  <c r="W36" i="7"/>
  <c r="W15" i="7"/>
  <c r="W62" i="7"/>
  <c r="W16" i="7"/>
  <c r="W63" i="7"/>
  <c r="W39" i="7"/>
  <c r="W64" i="7"/>
  <c r="W40" i="7"/>
  <c r="W30" i="7"/>
  <c r="W31" i="7"/>
  <c r="W41" i="7"/>
  <c r="W42" i="7"/>
  <c r="W49" i="7"/>
  <c r="W50" i="7"/>
  <c r="W51" i="7"/>
  <c r="W52" i="7"/>
  <c r="W53" i="7"/>
  <c r="W69" i="7"/>
  <c r="W70" i="7"/>
  <c r="W19" i="7"/>
  <c r="W71" i="7"/>
  <c r="W20" i="7"/>
  <c r="W72" i="7"/>
  <c r="W21" i="7"/>
  <c r="W73" i="7"/>
  <c r="W22" i="7"/>
  <c r="W74" i="7"/>
  <c r="W23" i="7"/>
  <c r="W78" i="7"/>
  <c r="D49" i="7"/>
  <c r="G27" i="7"/>
  <c r="B42" i="4"/>
  <c r="B43" i="4"/>
  <c r="Q9" i="9"/>
  <c r="J9" i="9"/>
  <c r="I9" i="9"/>
  <c r="G9" i="9"/>
  <c r="F9" i="9"/>
  <c r="N9" i="9"/>
  <c r="M9" i="9"/>
  <c r="H9" i="9"/>
  <c r="E9" i="9"/>
  <c r="B9" i="9"/>
  <c r="K9" i="9"/>
  <c r="D9" i="9"/>
  <c r="L9" i="9"/>
  <c r="P9" i="9"/>
  <c r="R9" i="9"/>
  <c r="O9" i="9"/>
  <c r="C9" i="9"/>
  <c r="M47" i="9"/>
  <c r="U161" i="2" a="1"/>
  <c r="U161" i="2" s="1"/>
  <c r="U162" i="2" s="1"/>
  <c r="U170" i="2" s="1"/>
  <c r="U171" i="2" s="1" a="1"/>
  <c r="U171" i="2" s="1"/>
  <c r="U173" i="2" s="1"/>
  <c r="G4" i="7"/>
  <c r="H56" i="9"/>
  <c r="V54" i="7"/>
  <c r="V58" i="7"/>
  <c r="V62" i="7"/>
  <c r="V66" i="7"/>
  <c r="V70" i="7"/>
  <c r="V74" i="7"/>
  <c r="V78" i="7"/>
  <c r="V7" i="7"/>
  <c r="V11" i="7"/>
  <c r="V15" i="7"/>
  <c r="V19" i="7"/>
  <c r="V23" i="7"/>
  <c r="V27" i="7"/>
  <c r="V31" i="7"/>
  <c r="V35" i="7"/>
  <c r="V39" i="7"/>
  <c r="V43" i="7"/>
  <c r="V47" i="7"/>
  <c r="V51" i="7"/>
  <c r="V55" i="7"/>
  <c r="V59" i="7"/>
  <c r="V63" i="7"/>
  <c r="V67" i="7"/>
  <c r="V71" i="7"/>
  <c r="V75" i="7"/>
  <c r="V4" i="7"/>
  <c r="V8" i="7"/>
  <c r="V12" i="7"/>
  <c r="V16" i="7"/>
  <c r="V20" i="7"/>
  <c r="V24" i="7"/>
  <c r="V28" i="7"/>
  <c r="V32" i="7"/>
  <c r="V36" i="7"/>
  <c r="V40" i="7"/>
  <c r="V44" i="7"/>
  <c r="V48" i="7"/>
  <c r="V52" i="7"/>
  <c r="V53" i="7"/>
  <c r="V57" i="7"/>
  <c r="V61" i="7"/>
  <c r="V65" i="7"/>
  <c r="V69" i="7"/>
  <c r="V73" i="7"/>
  <c r="V77" i="7"/>
  <c r="V6" i="7"/>
  <c r="V10" i="7"/>
  <c r="V14" i="7"/>
  <c r="V18" i="7"/>
  <c r="V22" i="7"/>
  <c r="V26" i="7"/>
  <c r="V30" i="7"/>
  <c r="V34" i="7"/>
  <c r="V38" i="7"/>
  <c r="V42" i="7"/>
  <c r="V46" i="7"/>
  <c r="V50" i="7"/>
  <c r="V17" i="7"/>
  <c r="V13" i="7"/>
  <c r="V49" i="7"/>
  <c r="V56" i="7"/>
  <c r="V64" i="7"/>
  <c r="V3" i="7"/>
  <c r="V25" i="7"/>
  <c r="V72" i="7"/>
  <c r="V41" i="7"/>
  <c r="V33" i="7"/>
  <c r="V5" i="7"/>
  <c r="V60" i="7"/>
  <c r="V76" i="7"/>
  <c r="V29" i="7"/>
  <c r="V45" i="7"/>
  <c r="V21" i="7"/>
  <c r="V37" i="7"/>
  <c r="V9" i="7"/>
  <c r="V68" i="7"/>
  <c r="J6" i="9"/>
  <c r="I6" i="9"/>
  <c r="S55" i="7"/>
  <c r="S59" i="7"/>
  <c r="S63" i="7"/>
  <c r="S67" i="7"/>
  <c r="S71" i="7"/>
  <c r="S75" i="7"/>
  <c r="S4" i="7"/>
  <c r="S8" i="7"/>
  <c r="S12" i="7"/>
  <c r="S16" i="7"/>
  <c r="S20" i="7"/>
  <c r="S24" i="7"/>
  <c r="S28" i="7"/>
  <c r="S32" i="7"/>
  <c r="S36" i="7"/>
  <c r="S40" i="7"/>
  <c r="S44" i="7"/>
  <c r="S48" i="7"/>
  <c r="S52" i="7"/>
  <c r="S56" i="7"/>
  <c r="S60" i="7"/>
  <c r="S64" i="7"/>
  <c r="S68" i="7"/>
  <c r="S72" i="7"/>
  <c r="S76" i="7"/>
  <c r="S5" i="7"/>
  <c r="S9" i="7"/>
  <c r="S13" i="7"/>
  <c r="S17" i="7"/>
  <c r="S21" i="7"/>
  <c r="S25" i="7"/>
  <c r="S29" i="7"/>
  <c r="S33" i="7"/>
  <c r="S37" i="7"/>
  <c r="S41" i="7"/>
  <c r="S45" i="7"/>
  <c r="S49" i="7"/>
  <c r="S3" i="7"/>
  <c r="S78" i="7"/>
  <c r="S46" i="7"/>
  <c r="S47" i="7"/>
  <c r="S42" i="7"/>
  <c r="S35" i="7"/>
  <c r="S18" i="7"/>
  <c r="S39" i="7"/>
  <c r="S26" i="7"/>
  <c r="S74" i="7"/>
  <c r="S14" i="7"/>
  <c r="S57" i="7"/>
  <c r="S65" i="7"/>
  <c r="S11" i="7"/>
  <c r="S73" i="7"/>
  <c r="S19" i="7"/>
  <c r="S58" i="7"/>
  <c r="S66" i="7"/>
  <c r="S34" i="7"/>
  <c r="S6" i="7"/>
  <c r="S27" i="7"/>
  <c r="S50" i="7"/>
  <c r="S31" i="7"/>
  <c r="S61" i="7"/>
  <c r="S22" i="7"/>
  <c r="S23" i="7"/>
  <c r="S69" i="7"/>
  <c r="S53" i="7"/>
  <c r="S15" i="7"/>
  <c r="S77" i="7"/>
  <c r="S51" i="7"/>
  <c r="S62" i="7"/>
  <c r="S7" i="7"/>
  <c r="S38" i="7"/>
  <c r="S54" i="7"/>
  <c r="S30" i="7"/>
  <c r="S43" i="7"/>
  <c r="S70" i="7"/>
  <c r="S10" i="7"/>
  <c r="T170" i="2"/>
  <c r="T171" i="2" s="1" a="1"/>
  <c r="T171" i="2" s="1"/>
  <c r="T173" i="2" s="1"/>
  <c r="F6" i="9"/>
  <c r="W170" i="2"/>
  <c r="W171" i="2" s="1" a="1"/>
  <c r="W171" i="2" s="1"/>
  <c r="W173" i="2" s="1"/>
  <c r="V170" i="2"/>
  <c r="V171" i="2" s="1" a="1"/>
  <c r="V171" i="2" s="1"/>
  <c r="V173" i="2" s="1"/>
  <c r="R6" i="9"/>
  <c r="S5" i="9"/>
  <c r="O6" i="9"/>
  <c r="C6" i="9"/>
  <c r="E6" i="9"/>
  <c r="D6" i="9"/>
  <c r="N6" i="9"/>
  <c r="P6" i="9"/>
  <c r="H6" i="9"/>
  <c r="G6" i="9"/>
  <c r="B6" i="9"/>
  <c r="M6" i="9"/>
  <c r="J10" i="7"/>
  <c r="L6" i="9"/>
  <c r="U54" i="7"/>
  <c r="U58" i="7"/>
  <c r="U62" i="7"/>
  <c r="U66" i="7"/>
  <c r="U70" i="7"/>
  <c r="U74" i="7"/>
  <c r="U78" i="7"/>
  <c r="U7" i="7"/>
  <c r="U11" i="7"/>
  <c r="U15" i="7"/>
  <c r="U19" i="7"/>
  <c r="U23" i="7"/>
  <c r="U27" i="7"/>
  <c r="U31" i="7"/>
  <c r="U35" i="7"/>
  <c r="U39" i="7"/>
  <c r="U43" i="7"/>
  <c r="U47" i="7"/>
  <c r="U51" i="7"/>
  <c r="U55" i="7"/>
  <c r="U59" i="7"/>
  <c r="U63" i="7"/>
  <c r="U67" i="7"/>
  <c r="U71" i="7"/>
  <c r="U75" i="7"/>
  <c r="U4" i="7"/>
  <c r="U8" i="7"/>
  <c r="U12" i="7"/>
  <c r="U16" i="7"/>
  <c r="U20" i="7"/>
  <c r="U24" i="7"/>
  <c r="U28" i="7"/>
  <c r="U32" i="7"/>
  <c r="U36" i="7"/>
  <c r="U40" i="7"/>
  <c r="U44" i="7"/>
  <c r="U48" i="7"/>
  <c r="U52" i="7"/>
  <c r="U56" i="7"/>
  <c r="U64" i="7"/>
  <c r="U38" i="7"/>
  <c r="U3" i="7"/>
  <c r="U18" i="7"/>
  <c r="U33" i="7"/>
  <c r="U34" i="7"/>
  <c r="U60" i="7"/>
  <c r="U6" i="7"/>
  <c r="U21" i="7"/>
  <c r="U10" i="7"/>
  <c r="U25" i="7"/>
  <c r="U73" i="7"/>
  <c r="U72" i="7"/>
  <c r="U46" i="7"/>
  <c r="U13" i="7"/>
  <c r="U49" i="7"/>
  <c r="U57" i="7"/>
  <c r="U65" i="7"/>
  <c r="U5" i="7"/>
  <c r="U26" i="7"/>
  <c r="U41" i="7"/>
  <c r="U30" i="7"/>
  <c r="U69" i="7"/>
  <c r="U29" i="7"/>
  <c r="U45" i="7"/>
  <c r="U76" i="7"/>
  <c r="U50" i="7"/>
  <c r="U22" i="7"/>
  <c r="U42" i="7"/>
  <c r="U17" i="7"/>
  <c r="U61" i="7"/>
  <c r="U77" i="7"/>
  <c r="U37" i="7"/>
  <c r="U68" i="7"/>
  <c r="U14" i="7"/>
  <c r="U9" i="7"/>
  <c r="U53" i="7"/>
  <c r="K6" i="9"/>
  <c r="T55" i="7"/>
  <c r="T59" i="7"/>
  <c r="T63" i="7"/>
  <c r="T71" i="7"/>
  <c r="T10" i="7"/>
  <c r="T25" i="7"/>
  <c r="T31" i="7"/>
  <c r="T31" i="8" s="1"/>
  <c r="T65" i="7"/>
  <c r="T65" i="8" s="1"/>
  <c r="T5" i="7"/>
  <c r="T5" i="8" s="1"/>
  <c r="T11" i="7"/>
  <c r="T11" i="8" s="1"/>
  <c r="T58" i="7"/>
  <c r="T21" i="7"/>
  <c r="T27" i="7"/>
  <c r="T74" i="7"/>
  <c r="T28" i="7"/>
  <c r="T42" i="7"/>
  <c r="T72" i="7"/>
  <c r="T78" i="7"/>
  <c r="T32" i="7"/>
  <c r="T46" i="7"/>
  <c r="T57" i="7"/>
  <c r="T57" i="8" s="1"/>
  <c r="T34" i="7"/>
  <c r="T34" i="8" s="1"/>
  <c r="T4" i="7"/>
  <c r="T4" i="8" s="1"/>
  <c r="T18" i="7"/>
  <c r="T18" i="8" s="1"/>
  <c r="T33" i="7"/>
  <c r="T39" i="7"/>
  <c r="T39" i="8" s="1"/>
  <c r="T40" i="7"/>
  <c r="T6" i="7"/>
  <c r="T66" i="7"/>
  <c r="T12" i="7"/>
  <c r="T26" i="7"/>
  <c r="T41" i="7"/>
  <c r="T47" i="7"/>
  <c r="T73" i="7"/>
  <c r="T13" i="7"/>
  <c r="T19" i="7"/>
  <c r="T48" i="7"/>
  <c r="T20" i="7"/>
  <c r="T49" i="7"/>
  <c r="T67" i="7"/>
  <c r="T68" i="7"/>
  <c r="T68" i="8" s="1"/>
  <c r="T60" i="7"/>
  <c r="T60" i="8" s="1"/>
  <c r="T56" i="7"/>
  <c r="T76" i="7"/>
  <c r="T15" i="7"/>
  <c r="T44" i="7"/>
  <c r="T45" i="7"/>
  <c r="T16" i="7"/>
  <c r="T50" i="7"/>
  <c r="T17" i="7"/>
  <c r="T35" i="7"/>
  <c r="T51" i="7"/>
  <c r="T22" i="7"/>
  <c r="T43" i="7"/>
  <c r="T70" i="7"/>
  <c r="T54" i="7"/>
  <c r="T54" i="8" s="1"/>
  <c r="T53" i="7"/>
  <c r="T53" i="8" s="1"/>
  <c r="T61" i="7"/>
  <c r="T61" i="8" s="1"/>
  <c r="T36" i="7"/>
  <c r="T77" i="7"/>
  <c r="T37" i="7"/>
  <c r="T3" i="7"/>
  <c r="T64" i="7"/>
  <c r="T9" i="7"/>
  <c r="T24" i="7"/>
  <c r="T69" i="7"/>
  <c r="T30" i="7"/>
  <c r="T62" i="7"/>
  <c r="T7" i="7"/>
  <c r="T8" i="7"/>
  <c r="T8" i="8" s="1"/>
  <c r="T75" i="7"/>
  <c r="T75" i="8" s="1"/>
  <c r="T52" i="7"/>
  <c r="T38" i="7"/>
  <c r="T38" i="8" s="1"/>
  <c r="T23" i="7"/>
  <c r="T23" i="8" s="1"/>
  <c r="T29" i="7"/>
  <c r="T14" i="7"/>
  <c r="Q6" i="9"/>
  <c r="J39" i="7"/>
  <c r="J15" i="7"/>
  <c r="J25" i="7"/>
  <c r="J68" i="7"/>
  <c r="L47" i="7"/>
  <c r="G44" i="7"/>
  <c r="G19" i="7"/>
  <c r="L29" i="7"/>
  <c r="G37" i="7"/>
  <c r="D43" i="7"/>
  <c r="D14" i="7"/>
  <c r="L33" i="7"/>
  <c r="J14" i="7"/>
  <c r="J20" i="7"/>
  <c r="L19" i="7"/>
  <c r="J70" i="7"/>
  <c r="G46" i="7"/>
  <c r="J78" i="7"/>
  <c r="G38" i="7"/>
  <c r="E14" i="7"/>
  <c r="L13" i="7"/>
  <c r="J3" i="7"/>
  <c r="J9" i="7"/>
  <c r="L59" i="7"/>
  <c r="J37" i="7"/>
  <c r="J30" i="7"/>
  <c r="J17" i="7"/>
  <c r="J73" i="7"/>
  <c r="J66" i="7"/>
  <c r="J52" i="7"/>
  <c r="J71" i="7"/>
  <c r="J51" i="7"/>
  <c r="J19" i="7"/>
  <c r="J41" i="7"/>
  <c r="J44" i="7"/>
  <c r="J46" i="7"/>
  <c r="L31" i="7"/>
  <c r="J40" i="7"/>
  <c r="J60" i="7"/>
  <c r="L76" i="7"/>
  <c r="J67" i="7"/>
  <c r="J48" i="7"/>
  <c r="J33" i="7"/>
  <c r="L4" i="7"/>
  <c r="L37" i="7"/>
  <c r="J5" i="7"/>
  <c r="J36" i="7"/>
  <c r="J26" i="7"/>
  <c r="E24" i="7"/>
  <c r="L10" i="7"/>
  <c r="J35" i="7"/>
  <c r="J74" i="7"/>
  <c r="J49" i="7"/>
  <c r="I52" i="7"/>
  <c r="L16" i="7"/>
  <c r="J27" i="7"/>
  <c r="J56" i="7"/>
  <c r="G64" i="7"/>
  <c r="J64" i="7"/>
  <c r="J29" i="7"/>
  <c r="J42" i="7"/>
  <c r="J59" i="7"/>
  <c r="J11" i="7"/>
  <c r="J65" i="7"/>
  <c r="J22" i="7"/>
  <c r="J61" i="7"/>
  <c r="J7" i="7"/>
  <c r="D59" i="7"/>
  <c r="D75" i="7"/>
  <c r="G23" i="7"/>
  <c r="D7" i="7"/>
  <c r="G55" i="7"/>
  <c r="G70" i="7"/>
  <c r="L24" i="7"/>
  <c r="G54" i="7"/>
  <c r="J58" i="7"/>
  <c r="J23" i="7"/>
  <c r="J24" i="7"/>
  <c r="J72" i="7"/>
  <c r="L41" i="7"/>
  <c r="G62" i="7"/>
  <c r="L61" i="7"/>
  <c r="L72" i="7"/>
  <c r="E59" i="7"/>
  <c r="G17" i="7"/>
  <c r="L75" i="7"/>
  <c r="L23" i="7"/>
  <c r="G49" i="7"/>
  <c r="L44" i="7"/>
  <c r="M75" i="7"/>
  <c r="L9" i="7"/>
  <c r="L36" i="7"/>
  <c r="J53" i="7"/>
  <c r="J76" i="7"/>
  <c r="J32" i="7"/>
  <c r="L67" i="7"/>
  <c r="G48" i="7"/>
  <c r="G78" i="7"/>
  <c r="J31" i="7"/>
  <c r="J45" i="7"/>
  <c r="J77" i="7"/>
  <c r="J13" i="7"/>
  <c r="G56" i="7"/>
  <c r="J4" i="7"/>
  <c r="J47" i="7"/>
  <c r="J57" i="7"/>
  <c r="J16" i="7"/>
  <c r="R170" i="2"/>
  <c r="R171" i="2" s="1" a="1"/>
  <c r="R171" i="2" s="1"/>
  <c r="R173" i="2" s="1"/>
  <c r="P170" i="2"/>
  <c r="P171" i="2" s="1" a="1"/>
  <c r="P171" i="2" s="1"/>
  <c r="P173" i="2" s="1"/>
  <c r="I35" i="7"/>
  <c r="E28" i="7"/>
  <c r="O5" i="7"/>
  <c r="O9" i="7"/>
  <c r="O13" i="7"/>
  <c r="O17" i="7"/>
  <c r="O21" i="7"/>
  <c r="O25" i="7"/>
  <c r="O29" i="7"/>
  <c r="O33" i="7"/>
  <c r="O37" i="7"/>
  <c r="O41" i="7"/>
  <c r="O45" i="7"/>
  <c r="O49" i="7"/>
  <c r="O53" i="7"/>
  <c r="O57" i="7"/>
  <c r="O61" i="7"/>
  <c r="O65" i="7"/>
  <c r="O69" i="7"/>
  <c r="O73" i="7"/>
  <c r="O77" i="7"/>
  <c r="O10" i="7"/>
  <c r="O30" i="7"/>
  <c r="O46" i="7"/>
  <c r="O62" i="7"/>
  <c r="O74" i="7"/>
  <c r="O14" i="7"/>
  <c r="O38" i="7"/>
  <c r="O58" i="7"/>
  <c r="O70" i="7"/>
  <c r="O6" i="7"/>
  <c r="O18" i="7"/>
  <c r="O22" i="7"/>
  <c r="O26" i="7"/>
  <c r="O34" i="7"/>
  <c r="O42" i="7"/>
  <c r="O50" i="7"/>
  <c r="O54" i="7"/>
  <c r="O66" i="7"/>
  <c r="O78" i="7"/>
  <c r="O8" i="7"/>
  <c r="O16" i="7"/>
  <c r="O31" i="7"/>
  <c r="O64" i="7"/>
  <c r="O71" i="7"/>
  <c r="O24" i="7"/>
  <c r="O39" i="7"/>
  <c r="O52" i="7"/>
  <c r="O59" i="7"/>
  <c r="O4" i="7"/>
  <c r="O19" i="7"/>
  <c r="O40" i="7"/>
  <c r="O60" i="7"/>
  <c r="O67" i="7"/>
  <c r="O55" i="7"/>
  <c r="O20" i="7"/>
  <c r="O35" i="7"/>
  <c r="O7" i="7"/>
  <c r="O28" i="7"/>
  <c r="O43" i="7"/>
  <c r="O63" i="7"/>
  <c r="O11" i="7"/>
  <c r="O32" i="7"/>
  <c r="O47" i="7"/>
  <c r="O72" i="7"/>
  <c r="O3" i="7"/>
  <c r="O12" i="7"/>
  <c r="O27" i="7"/>
  <c r="O48" i="7"/>
  <c r="O75" i="7"/>
  <c r="O15" i="7"/>
  <c r="O56" i="7"/>
  <c r="O51" i="7"/>
  <c r="O68" i="7"/>
  <c r="O36" i="7"/>
  <c r="O23" i="7"/>
  <c r="O76" i="7"/>
  <c r="O44" i="7"/>
  <c r="G35" i="7"/>
  <c r="I34" i="7"/>
  <c r="M67" i="7"/>
  <c r="P4" i="7"/>
  <c r="P8" i="7"/>
  <c r="P12" i="7"/>
  <c r="P16" i="7"/>
  <c r="P20" i="7"/>
  <c r="P24" i="7"/>
  <c r="P28" i="7"/>
  <c r="P32" i="7"/>
  <c r="P36" i="7"/>
  <c r="P40" i="7"/>
  <c r="P44" i="7"/>
  <c r="P48" i="7"/>
  <c r="P52" i="7"/>
  <c r="P56" i="7"/>
  <c r="P60" i="7"/>
  <c r="P64" i="7"/>
  <c r="P68" i="7"/>
  <c r="P72" i="7"/>
  <c r="P76" i="7"/>
  <c r="P45" i="7"/>
  <c r="P57" i="7"/>
  <c r="P65" i="7"/>
  <c r="P69" i="7"/>
  <c r="P77" i="7"/>
  <c r="P6" i="7"/>
  <c r="P14" i="7"/>
  <c r="P18" i="7"/>
  <c r="P26" i="7"/>
  <c r="P38" i="7"/>
  <c r="P42" i="7"/>
  <c r="P5" i="7"/>
  <c r="P9" i="7"/>
  <c r="P13" i="7"/>
  <c r="P17" i="7"/>
  <c r="P21" i="7"/>
  <c r="P25" i="7"/>
  <c r="P29" i="7"/>
  <c r="P33" i="7"/>
  <c r="P37" i="7"/>
  <c r="P41" i="7"/>
  <c r="P49" i="7"/>
  <c r="P53" i="7"/>
  <c r="P61" i="7"/>
  <c r="P73" i="7"/>
  <c r="P10" i="7"/>
  <c r="P22" i="7"/>
  <c r="P34" i="7"/>
  <c r="P46" i="7"/>
  <c r="P30" i="7"/>
  <c r="P31" i="7"/>
  <c r="P71" i="7"/>
  <c r="P78" i="7"/>
  <c r="P47" i="7"/>
  <c r="P54" i="7"/>
  <c r="P3" i="7"/>
  <c r="P19" i="7"/>
  <c r="P74" i="7"/>
  <c r="P27" i="7"/>
  <c r="P55" i="7"/>
  <c r="P7" i="7"/>
  <c r="P50" i="7"/>
  <c r="P70" i="7"/>
  <c r="P39" i="7"/>
  <c r="P59" i="7"/>
  <c r="P66" i="7"/>
  <c r="P11" i="7"/>
  <c r="P67" i="7"/>
  <c r="P62" i="7"/>
  <c r="P75" i="7"/>
  <c r="P43" i="7"/>
  <c r="P35" i="7"/>
  <c r="P15" i="7"/>
  <c r="P63" i="7"/>
  <c r="P23" i="7"/>
  <c r="P51" i="7"/>
  <c r="P58" i="7"/>
  <c r="Q170" i="2"/>
  <c r="Q171" i="2" s="1" a="1"/>
  <c r="Q171" i="2" s="1"/>
  <c r="Q173" i="2" s="1"/>
  <c r="D71" i="7"/>
  <c r="I9" i="7"/>
  <c r="G15" i="7"/>
  <c r="G21" i="7"/>
  <c r="G39" i="7"/>
  <c r="D26" i="7"/>
  <c r="G61" i="7"/>
  <c r="R9" i="7"/>
  <c r="R25" i="7"/>
  <c r="R33" i="7"/>
  <c r="R45" i="7"/>
  <c r="R57" i="7"/>
  <c r="R65" i="7"/>
  <c r="R73" i="7"/>
  <c r="R5" i="7"/>
  <c r="R13" i="7"/>
  <c r="R21" i="7"/>
  <c r="R29" i="7"/>
  <c r="R37" i="7"/>
  <c r="R41" i="7"/>
  <c r="R49" i="7"/>
  <c r="R53" i="7"/>
  <c r="R61" i="7"/>
  <c r="R69" i="7"/>
  <c r="R77" i="7"/>
  <c r="R17" i="7"/>
  <c r="R8" i="7"/>
  <c r="R76" i="7"/>
  <c r="R23" i="7"/>
  <c r="R38" i="7"/>
  <c r="R44" i="7"/>
  <c r="R58" i="7"/>
  <c r="R10" i="7"/>
  <c r="R16" i="7"/>
  <c r="R31" i="7"/>
  <c r="R71" i="7"/>
  <c r="R52" i="7"/>
  <c r="R39" i="7"/>
  <c r="R59" i="7"/>
  <c r="R11" i="7"/>
  <c r="R26" i="7"/>
  <c r="R32" i="7"/>
  <c r="R72" i="7"/>
  <c r="R4" i="7"/>
  <c r="R47" i="7"/>
  <c r="R40" i="7"/>
  <c r="R6" i="7"/>
  <c r="R12" i="7"/>
  <c r="R67" i="7"/>
  <c r="R27" i="7"/>
  <c r="R48" i="7"/>
  <c r="R20" i="7"/>
  <c r="R62" i="7"/>
  <c r="R35" i="7"/>
  <c r="R7" i="7"/>
  <c r="R56" i="7"/>
  <c r="R51" i="7"/>
  <c r="R64" i="7"/>
  <c r="R46" i="7"/>
  <c r="R78" i="7"/>
  <c r="R18" i="7"/>
  <c r="R24" i="7"/>
  <c r="R66" i="7"/>
  <c r="R54" i="7"/>
  <c r="R3" i="7"/>
  <c r="R19" i="7"/>
  <c r="R34" i="7"/>
  <c r="R60" i="7"/>
  <c r="R74" i="7"/>
  <c r="R42" i="7"/>
  <c r="R68" i="7"/>
  <c r="R14" i="7"/>
  <c r="R55" i="7"/>
  <c r="R22" i="7"/>
  <c r="R28" i="7"/>
  <c r="R50" i="7"/>
  <c r="R75" i="7"/>
  <c r="R43" i="7"/>
  <c r="R36" i="7"/>
  <c r="R15" i="7"/>
  <c r="R70" i="7"/>
  <c r="R30" i="7"/>
  <c r="R63" i="7"/>
  <c r="G73" i="7"/>
  <c r="D20" i="7"/>
  <c r="I51" i="7"/>
  <c r="D10" i="7"/>
  <c r="D42" i="7"/>
  <c r="I67" i="7"/>
  <c r="L43" i="7"/>
  <c r="D9" i="7"/>
  <c r="D6" i="7"/>
  <c r="G6" i="7"/>
  <c r="I21" i="7"/>
  <c r="E47" i="7"/>
  <c r="G77" i="7"/>
  <c r="G47" i="7"/>
  <c r="E50" i="7"/>
  <c r="I27" i="7"/>
  <c r="G67" i="7"/>
  <c r="D65" i="7"/>
  <c r="D4" i="7"/>
  <c r="G7" i="7"/>
  <c r="I65" i="7"/>
  <c r="G52" i="7"/>
  <c r="G24" i="7"/>
  <c r="L54" i="7"/>
  <c r="L57" i="7"/>
  <c r="D78" i="7"/>
  <c r="D22" i="7"/>
  <c r="G22" i="7"/>
  <c r="L73" i="7"/>
  <c r="M23" i="7"/>
  <c r="I10" i="7"/>
  <c r="Q9" i="7"/>
  <c r="Q17" i="7"/>
  <c r="Q25" i="7"/>
  <c r="Q33" i="7"/>
  <c r="Q41" i="7"/>
  <c r="Q49" i="7"/>
  <c r="Q57" i="7"/>
  <c r="Q65" i="7"/>
  <c r="Q73" i="7"/>
  <c r="Q5" i="7"/>
  <c r="Q13" i="7"/>
  <c r="Q21" i="7"/>
  <c r="Q29" i="7"/>
  <c r="Q37" i="7"/>
  <c r="Q45" i="7"/>
  <c r="Q53" i="7"/>
  <c r="Q61" i="7"/>
  <c r="Q69" i="7"/>
  <c r="Q77" i="7"/>
  <c r="Q7" i="7"/>
  <c r="Q15" i="7"/>
  <c r="Q30" i="7"/>
  <c r="Q63" i="7"/>
  <c r="Q23" i="7"/>
  <c r="Q38" i="7"/>
  <c r="Q44" i="7"/>
  <c r="Q51" i="7"/>
  <c r="Q58" i="7"/>
  <c r="Q10" i="7"/>
  <c r="Q64" i="7"/>
  <c r="Q31" i="7"/>
  <c r="Q46" i="7"/>
  <c r="Q71" i="7"/>
  <c r="Q78" i="7"/>
  <c r="Q52" i="7"/>
  <c r="Q11" i="7"/>
  <c r="Q26" i="7"/>
  <c r="Q72" i="7"/>
  <c r="Q54" i="7"/>
  <c r="Q19" i="7"/>
  <c r="Q34" i="7"/>
  <c r="Q60" i="7"/>
  <c r="Q6" i="7"/>
  <c r="Q67" i="7"/>
  <c r="Q74" i="7"/>
  <c r="Q42" i="7"/>
  <c r="Q62" i="7"/>
  <c r="Q35" i="7"/>
  <c r="Q68" i="7"/>
  <c r="Q22" i="7"/>
  <c r="Q50" i="7"/>
  <c r="Q75" i="7"/>
  <c r="Q43" i="7"/>
  <c r="Q36" i="7"/>
  <c r="Q16" i="7"/>
  <c r="Q18" i="7"/>
  <c r="Q24" i="7"/>
  <c r="Q39" i="7"/>
  <c r="Q59" i="7"/>
  <c r="Q66" i="7"/>
  <c r="Q32" i="7"/>
  <c r="Q4" i="7"/>
  <c r="Q47" i="7"/>
  <c r="Q3" i="7"/>
  <c r="Q40" i="7"/>
  <c r="Q12" i="7"/>
  <c r="Q27" i="7"/>
  <c r="Q14" i="7"/>
  <c r="Q20" i="7"/>
  <c r="Q55" i="7"/>
  <c r="Q28" i="7"/>
  <c r="Q56" i="7"/>
  <c r="Q70" i="7"/>
  <c r="Q48" i="7"/>
  <c r="Q8" i="7"/>
  <c r="Q76" i="7"/>
  <c r="D69" i="7"/>
  <c r="G72" i="7"/>
  <c r="E18" i="7"/>
  <c r="G18" i="7"/>
  <c r="G58" i="7"/>
  <c r="G43" i="7"/>
  <c r="I31" i="7"/>
  <c r="G53" i="7"/>
  <c r="S170" i="2"/>
  <c r="S171" i="2" s="1" a="1"/>
  <c r="S171" i="2" s="1"/>
  <c r="S173" i="2" s="1"/>
  <c r="G3" i="7"/>
  <c r="L27" i="7"/>
  <c r="M46" i="7"/>
  <c r="E37" i="7"/>
  <c r="M25" i="7"/>
  <c r="M69" i="7"/>
  <c r="I170" i="2"/>
  <c r="I171" i="2" s="1" a="1"/>
  <c r="I171" i="2" s="1"/>
  <c r="I173" i="2" s="1"/>
  <c r="M41" i="7"/>
  <c r="N170" i="2"/>
  <c r="N171" i="2" s="1" a="1"/>
  <c r="N171" i="2" s="1"/>
  <c r="N173" i="2" s="1"/>
  <c r="J170" i="2"/>
  <c r="J171" i="2" s="1" a="1"/>
  <c r="J171" i="2" s="1"/>
  <c r="J173" i="2" s="1"/>
  <c r="M8" i="7"/>
  <c r="M50" i="7"/>
  <c r="M4" i="7"/>
  <c r="M18" i="7"/>
  <c r="M30" i="7"/>
  <c r="M14" i="7"/>
  <c r="M53" i="7"/>
  <c r="M49" i="7"/>
  <c r="M32" i="7"/>
  <c r="M5" i="7"/>
  <c r="M60" i="7"/>
  <c r="M27" i="7"/>
  <c r="M22" i="7"/>
  <c r="M57" i="7"/>
  <c r="M54" i="7"/>
  <c r="M59" i="7"/>
  <c r="M20" i="7"/>
  <c r="M37" i="7"/>
  <c r="M66" i="7"/>
  <c r="M11" i="7"/>
  <c r="M3" i="7"/>
  <c r="M34" i="7"/>
  <c r="M45" i="7"/>
  <c r="M31" i="7"/>
  <c r="M65" i="7"/>
  <c r="M26" i="7"/>
  <c r="M39" i="7"/>
  <c r="M40" i="7"/>
  <c r="M17" i="7"/>
  <c r="M38" i="7"/>
  <c r="M74" i="7"/>
  <c r="M51" i="7"/>
  <c r="M13" i="7"/>
  <c r="M43" i="7"/>
  <c r="M12" i="7"/>
  <c r="M21" i="7"/>
  <c r="O170" i="2"/>
  <c r="O171" i="2" s="1" a="1"/>
  <c r="O171" i="2" s="1"/>
  <c r="O173" i="2" s="1"/>
  <c r="M68" i="7"/>
  <c r="M61" i="7"/>
  <c r="K170" i="2"/>
  <c r="K171" i="2" s="1" a="1"/>
  <c r="K171" i="2" s="1"/>
  <c r="K173" i="2" s="1"/>
  <c r="G170" i="2"/>
  <c r="G171" i="2" s="1" a="1"/>
  <c r="G171" i="2" s="1"/>
  <c r="G173" i="2" s="1"/>
  <c r="H170" i="2"/>
  <c r="H171" i="2" s="1" a="1"/>
  <c r="H171" i="2" s="1"/>
  <c r="H173" i="2" s="1"/>
  <c r="M48" i="7"/>
  <c r="M76" i="7"/>
  <c r="C2" i="7"/>
  <c r="C43" i="7" s="1"/>
  <c r="D3" i="7"/>
  <c r="D40" i="7"/>
  <c r="D17" i="7"/>
  <c r="D51" i="7"/>
  <c r="D15" i="7"/>
  <c r="D76" i="7"/>
  <c r="D63" i="7"/>
  <c r="D53" i="7"/>
  <c r="D24" i="7"/>
  <c r="D52" i="7"/>
  <c r="D45" i="7"/>
  <c r="D33" i="7"/>
  <c r="D47" i="7"/>
  <c r="D29" i="7"/>
  <c r="D18" i="7"/>
  <c r="D39" i="7"/>
  <c r="D56" i="7"/>
  <c r="D73" i="7"/>
  <c r="D44" i="7"/>
  <c r="D25" i="7"/>
  <c r="D57" i="7"/>
  <c r="D5" i="7"/>
  <c r="D41" i="7"/>
  <c r="D48" i="7"/>
  <c r="H2" i="7"/>
  <c r="H46" i="7" s="1"/>
  <c r="I55" i="7"/>
  <c r="I77" i="7"/>
  <c r="M73" i="7"/>
  <c r="E62" i="7"/>
  <c r="E8" i="7"/>
  <c r="E48" i="7"/>
  <c r="E65" i="7"/>
  <c r="E6" i="7"/>
  <c r="E38" i="7"/>
  <c r="E78" i="7"/>
  <c r="E10" i="7"/>
  <c r="E35" i="7"/>
  <c r="E63" i="7"/>
  <c r="E75" i="7"/>
  <c r="E66" i="7"/>
  <c r="E61" i="7"/>
  <c r="E9" i="7"/>
  <c r="E45" i="7"/>
  <c r="E11" i="7"/>
  <c r="E58" i="7"/>
  <c r="E23" i="7"/>
  <c r="F167" i="2" a="1"/>
  <c r="F167" i="2" s="1"/>
  <c r="F168" i="2" s="1"/>
  <c r="F170" i="2" s="1"/>
  <c r="F171" i="2" s="1" a="1"/>
  <c r="F171" i="2" s="1"/>
  <c r="M170" i="2"/>
  <c r="M171" i="2" s="1" a="1"/>
  <c r="M171" i="2" s="1"/>
  <c r="M173" i="2" s="1"/>
  <c r="E64" i="7"/>
  <c r="M77" i="7"/>
  <c r="K2" i="7"/>
  <c r="K3" i="7" s="1"/>
  <c r="L11" i="7"/>
  <c r="L50" i="7"/>
  <c r="L17" i="7"/>
  <c r="L34" i="7"/>
  <c r="L25" i="7"/>
  <c r="L5" i="7"/>
  <c r="L65" i="7"/>
  <c r="L38" i="7"/>
  <c r="L68" i="7"/>
  <c r="L49" i="7"/>
  <c r="L40" i="7"/>
  <c r="G63" i="7"/>
  <c r="L53" i="7"/>
  <c r="G71" i="7"/>
  <c r="I26" i="7"/>
  <c r="I41" i="7"/>
  <c r="I30" i="7"/>
  <c r="L52" i="7"/>
  <c r="G68" i="7"/>
  <c r="L15" i="7"/>
  <c r="I75" i="7"/>
  <c r="L18" i="7"/>
  <c r="G36" i="7"/>
  <c r="I59" i="7"/>
  <c r="I71" i="7"/>
  <c r="I73" i="7"/>
  <c r="I13" i="7"/>
  <c r="L22" i="7"/>
  <c r="I62" i="7"/>
  <c r="L66" i="7"/>
  <c r="I46" i="7"/>
  <c r="I43" i="7"/>
  <c r="I16" i="7"/>
  <c r="I12" i="7"/>
  <c r="L58" i="7"/>
  <c r="G60" i="7"/>
  <c r="I60" i="7"/>
  <c r="I66" i="7"/>
  <c r="I56" i="7"/>
  <c r="L63" i="7"/>
  <c r="D64" i="7"/>
  <c r="L21" i="7"/>
  <c r="G14" i="7"/>
  <c r="L62" i="7"/>
  <c r="G16" i="7"/>
  <c r="G8" i="7"/>
  <c r="G40" i="7"/>
  <c r="I78" i="7"/>
  <c r="L39" i="7"/>
  <c r="G30" i="7"/>
  <c r="L30" i="7"/>
  <c r="G32" i="7"/>
  <c r="L45" i="7"/>
  <c r="G76" i="7"/>
  <c r="I17" i="7"/>
  <c r="L3" i="7"/>
  <c r="G45" i="7"/>
  <c r="I74" i="7"/>
  <c r="I4" i="7"/>
  <c r="L14" i="7"/>
  <c r="N4" i="7"/>
  <c r="N20" i="7"/>
  <c r="N36" i="7"/>
  <c r="N52" i="7"/>
  <c r="N68" i="7"/>
  <c r="N5" i="7"/>
  <c r="N21" i="7"/>
  <c r="N37" i="7"/>
  <c r="N53" i="7"/>
  <c r="N69" i="7"/>
  <c r="N22" i="7"/>
  <c r="N38" i="7"/>
  <c r="N54" i="7"/>
  <c r="N70" i="7"/>
  <c r="N7" i="7"/>
  <c r="N23" i="7"/>
  <c r="N39" i="7"/>
  <c r="N55" i="7"/>
  <c r="N71" i="7"/>
  <c r="N8" i="7"/>
  <c r="N24" i="7"/>
  <c r="N40" i="7"/>
  <c r="N56" i="7"/>
  <c r="N72" i="7"/>
  <c r="N9" i="7"/>
  <c r="N25" i="7"/>
  <c r="N41" i="7"/>
  <c r="N57" i="7"/>
  <c r="N73" i="7"/>
  <c r="N10" i="7"/>
  <c r="N26" i="7"/>
  <c r="N42" i="7"/>
  <c r="N58" i="7"/>
  <c r="N74" i="7"/>
  <c r="N27" i="7"/>
  <c r="N43" i="7"/>
  <c r="N75" i="7"/>
  <c r="N12" i="7"/>
  <c r="N44" i="7"/>
  <c r="N76" i="7"/>
  <c r="N29" i="7"/>
  <c r="N45" i="7"/>
  <c r="N77" i="7"/>
  <c r="N30" i="7"/>
  <c r="N46" i="7"/>
  <c r="N78" i="7"/>
  <c r="N31" i="7"/>
  <c r="N47" i="7"/>
  <c r="N16" i="7"/>
  <c r="N48" i="7"/>
  <c r="N3" i="7"/>
  <c r="N33" i="7"/>
  <c r="N49" i="7"/>
  <c r="N18" i="7"/>
  <c r="N50" i="7"/>
  <c r="N19" i="7"/>
  <c r="N51" i="7"/>
  <c r="N6" i="7"/>
  <c r="N11" i="7"/>
  <c r="N59" i="7"/>
  <c r="N28" i="7"/>
  <c r="N60" i="7"/>
  <c r="N13" i="7"/>
  <c r="N61" i="7"/>
  <c r="N14" i="7"/>
  <c r="N62" i="7"/>
  <c r="N15" i="7"/>
  <c r="N63" i="7"/>
  <c r="N32" i="7"/>
  <c r="N64" i="7"/>
  <c r="N17" i="7"/>
  <c r="N65" i="7"/>
  <c r="N34" i="7"/>
  <c r="N66" i="7"/>
  <c r="N35" i="7"/>
  <c r="N67" i="7"/>
  <c r="I22" i="7"/>
  <c r="I76" i="7"/>
  <c r="I7" i="7"/>
  <c r="I47" i="7"/>
  <c r="L170" i="2"/>
  <c r="L171" i="2" s="1" a="1"/>
  <c r="L171" i="2" s="1"/>
  <c r="L173" i="2" s="1"/>
  <c r="L78" i="7"/>
  <c r="L55" i="7"/>
  <c r="L70" i="7"/>
  <c r="I39" i="7"/>
  <c r="I5" i="7"/>
  <c r="I48" i="7"/>
  <c r="L74" i="7"/>
  <c r="L71" i="7"/>
  <c r="G29" i="7"/>
  <c r="I37" i="7"/>
  <c r="I42" i="7"/>
  <c r="I49" i="7"/>
  <c r="L6" i="7"/>
  <c r="E36" i="7"/>
  <c r="E54" i="7"/>
  <c r="E42" i="7"/>
  <c r="E72" i="7"/>
  <c r="E46" i="7"/>
  <c r="E17" i="7"/>
  <c r="E20" i="7"/>
  <c r="E5" i="7"/>
  <c r="E53" i="7"/>
  <c r="E4" i="7"/>
  <c r="E29" i="7"/>
  <c r="E27" i="7"/>
  <c r="E44" i="7"/>
  <c r="E69" i="7"/>
  <c r="E76" i="7"/>
  <c r="E3" i="7"/>
  <c r="E67" i="7"/>
  <c r="E51" i="7"/>
  <c r="E57" i="7"/>
  <c r="E39" i="7"/>
  <c r="E12" i="7"/>
  <c r="E55" i="7"/>
  <c r="E26" i="7"/>
  <c r="E68" i="7"/>
  <c r="E77" i="7"/>
  <c r="E34" i="7"/>
  <c r="E43" i="7"/>
  <c r="E60" i="7"/>
  <c r="E15" i="7"/>
  <c r="E73" i="7"/>
  <c r="E71" i="7"/>
  <c r="E7" i="7"/>
  <c r="E49" i="7"/>
  <c r="E33" i="7"/>
  <c r="E40" i="7"/>
  <c r="E30" i="7"/>
  <c r="E32" i="7"/>
  <c r="E22" i="7"/>
  <c r="E21" i="7"/>
  <c r="E19" i="7"/>
  <c r="E70" i="7"/>
  <c r="E52" i="7"/>
  <c r="E25" i="7"/>
  <c r="E13" i="7"/>
  <c r="E56" i="7"/>
  <c r="E41" i="7"/>
  <c r="I50" i="7"/>
  <c r="I36" i="7"/>
  <c r="I11" i="7"/>
  <c r="I44" i="7"/>
  <c r="I6" i="7"/>
  <c r="I14" i="7"/>
  <c r="I25" i="7"/>
  <c r="I24" i="7"/>
  <c r="I40" i="7"/>
  <c r="I64" i="7"/>
  <c r="I53" i="7"/>
  <c r="I18" i="7"/>
  <c r="I45" i="7"/>
  <c r="I68" i="7"/>
  <c r="I58" i="7"/>
  <c r="I15" i="7"/>
  <c r="I20" i="7"/>
  <c r="I33" i="7"/>
  <c r="I63" i="7"/>
  <c r="I8" i="7"/>
  <c r="I19" i="7"/>
  <c r="I32" i="7"/>
  <c r="I23" i="7"/>
  <c r="I57" i="7"/>
  <c r="I70" i="7"/>
  <c r="I61" i="7"/>
  <c r="I3" i="7"/>
  <c r="I69" i="7"/>
  <c r="I29" i="7"/>
  <c r="I38" i="7"/>
  <c r="D74" i="7"/>
  <c r="D70" i="7"/>
  <c r="I28" i="7"/>
  <c r="I54" i="7"/>
  <c r="E16" i="7"/>
  <c r="D66" i="7"/>
  <c r="D21" i="7"/>
  <c r="D28" i="7"/>
  <c r="D54" i="7"/>
  <c r="D32" i="7"/>
  <c r="D77" i="7"/>
  <c r="D50" i="7"/>
  <c r="D34" i="7"/>
  <c r="D12" i="7"/>
  <c r="D37" i="7"/>
  <c r="D58" i="7"/>
  <c r="D61" i="7"/>
  <c r="D27" i="7"/>
  <c r="D72" i="7"/>
  <c r="D23" i="7"/>
  <c r="D67" i="7"/>
  <c r="D19" i="7"/>
  <c r="D13" i="7"/>
  <c r="D8" i="7"/>
  <c r="D68" i="7"/>
  <c r="D36" i="7"/>
  <c r="D30" i="7"/>
  <c r="D62" i="7"/>
  <c r="D11" i="7"/>
  <c r="D46" i="7"/>
  <c r="D16" i="7"/>
  <c r="D55" i="7"/>
  <c r="I72" i="7"/>
  <c r="F2" i="7"/>
  <c r="G69" i="7"/>
  <c r="G65" i="7"/>
  <c r="G41" i="7"/>
  <c r="G5" i="7"/>
  <c r="G20" i="7"/>
  <c r="G11" i="7"/>
  <c r="G28" i="7"/>
  <c r="G25" i="7"/>
  <c r="G12" i="7"/>
  <c r="G51" i="7"/>
  <c r="G9" i="7"/>
  <c r="G75" i="7"/>
  <c r="G31" i="7"/>
  <c r="G66" i="7"/>
  <c r="G74" i="7"/>
  <c r="G42" i="7"/>
  <c r="G26" i="7"/>
  <c r="G57" i="7"/>
  <c r="G50" i="7"/>
  <c r="G59" i="7"/>
  <c r="G10" i="7"/>
  <c r="G33" i="7"/>
  <c r="G34" i="7"/>
  <c r="G13" i="7"/>
  <c r="M29" i="7"/>
  <c r="L64" i="7"/>
  <c r="M42" i="7"/>
  <c r="M62" i="7"/>
  <c r="M47" i="7"/>
  <c r="L26" i="7"/>
  <c r="L42" i="7"/>
  <c r="L56" i="7"/>
  <c r="L8" i="7"/>
  <c r="J50" i="7"/>
  <c r="J28" i="7"/>
  <c r="J21" i="7"/>
  <c r="L77" i="7"/>
  <c r="M63" i="7"/>
  <c r="J43" i="7"/>
  <c r="M16" i="7"/>
  <c r="M71" i="7"/>
  <c r="L46" i="7"/>
  <c r="L32" i="7"/>
  <c r="M78" i="7"/>
  <c r="J75" i="7"/>
  <c r="M9" i="7"/>
  <c r="M52" i="7"/>
  <c r="L12" i="7"/>
  <c r="M72" i="7"/>
  <c r="M58" i="7"/>
  <c r="M6" i="7"/>
  <c r="L35" i="7"/>
  <c r="L7" i="7"/>
  <c r="J6" i="7"/>
  <c r="J69" i="7"/>
  <c r="J34" i="7"/>
  <c r="J63" i="7"/>
  <c r="J18" i="7"/>
  <c r="M10" i="7"/>
  <c r="M64" i="7"/>
  <c r="J8" i="7"/>
  <c r="M55" i="7"/>
  <c r="M35" i="7"/>
  <c r="L69" i="7"/>
  <c r="L51" i="7"/>
  <c r="L20" i="7"/>
  <c r="L60" i="7"/>
  <c r="J12" i="7"/>
  <c r="L48" i="7"/>
  <c r="L28" i="7"/>
  <c r="J38" i="7"/>
  <c r="J55" i="7"/>
  <c r="J54" i="7"/>
  <c r="J62" i="7"/>
  <c r="M19" i="7"/>
  <c r="M70" i="7"/>
  <c r="M7" i="7"/>
  <c r="M33" i="7"/>
  <c r="M56" i="7"/>
  <c r="M15" i="7"/>
  <c r="M28" i="7"/>
  <c r="M36" i="7"/>
  <c r="D35" i="7"/>
  <c r="D38" i="7"/>
  <c r="B7" i="7"/>
  <c r="B23" i="7"/>
  <c r="B39" i="7"/>
  <c r="B55" i="7"/>
  <c r="B71" i="7"/>
  <c r="B26" i="7"/>
  <c r="B62" i="7"/>
  <c r="B8" i="7"/>
  <c r="B24" i="7"/>
  <c r="B40" i="7"/>
  <c r="B56" i="7"/>
  <c r="B72" i="7"/>
  <c r="B22" i="7"/>
  <c r="B54" i="7"/>
  <c r="B5" i="7"/>
  <c r="B21" i="7"/>
  <c r="B37" i="7"/>
  <c r="B53" i="7"/>
  <c r="B69" i="7"/>
  <c r="B11" i="7"/>
  <c r="B27" i="7"/>
  <c r="B43" i="7"/>
  <c r="B59" i="7"/>
  <c r="B75" i="7"/>
  <c r="B34" i="7"/>
  <c r="B70" i="7"/>
  <c r="B12" i="7"/>
  <c r="B28" i="7"/>
  <c r="B44" i="7"/>
  <c r="B60" i="7"/>
  <c r="B76" i="7"/>
  <c r="B30" i="7"/>
  <c r="B66" i="7"/>
  <c r="B9" i="7"/>
  <c r="B25" i="7"/>
  <c r="B41" i="7"/>
  <c r="B57" i="7"/>
  <c r="B73" i="7"/>
  <c r="B15" i="7"/>
  <c r="B31" i="7"/>
  <c r="B47" i="7"/>
  <c r="B63" i="7"/>
  <c r="B10" i="7"/>
  <c r="B42" i="7"/>
  <c r="B3" i="7"/>
  <c r="B16" i="7"/>
  <c r="B32" i="7"/>
  <c r="B48" i="7"/>
  <c r="B64" i="7"/>
  <c r="B6" i="7"/>
  <c r="B38" i="7"/>
  <c r="B74" i="7"/>
  <c r="B13" i="7"/>
  <c r="B29" i="7"/>
  <c r="B45" i="7"/>
  <c r="B61" i="7"/>
  <c r="B77" i="7"/>
  <c r="B19" i="7"/>
  <c r="B35" i="7"/>
  <c r="B51" i="7"/>
  <c r="B67" i="7"/>
  <c r="B18" i="7"/>
  <c r="B50" i="7"/>
  <c r="B4" i="7"/>
  <c r="B20" i="7"/>
  <c r="B36" i="7"/>
  <c r="B52" i="7"/>
  <c r="B68" i="7"/>
  <c r="B14" i="7"/>
  <c r="B46" i="7"/>
  <c r="B78" i="7"/>
  <c r="B17" i="7"/>
  <c r="B33" i="7"/>
  <c r="B49" i="7"/>
  <c r="B65" i="7"/>
  <c r="B58" i="7"/>
  <c r="M24" i="7"/>
  <c r="D60" i="7"/>
  <c r="E31" i="7"/>
  <c r="M44" i="7"/>
  <c r="D31" i="7"/>
  <c r="B1" i="9"/>
  <c r="C1" i="8"/>
  <c r="B2" i="8"/>
  <c r="E74" i="7"/>
  <c r="C1" i="4"/>
  <c r="N56" i="4"/>
  <c r="K2" i="4"/>
  <c r="D3" i="4"/>
  <c r="C4" i="4"/>
  <c r="T67" i="8" l="1"/>
  <c r="T70" i="8"/>
  <c r="T43" i="8"/>
  <c r="T25" i="8"/>
  <c r="T51" i="8"/>
  <c r="T71" i="8"/>
  <c r="T30" i="8"/>
  <c r="T13" i="8"/>
  <c r="T78" i="8"/>
  <c r="T24" i="8"/>
  <c r="T9" i="8"/>
  <c r="T42" i="8"/>
  <c r="T45" i="8"/>
  <c r="T3" i="8"/>
  <c r="T13" i="9" s="1"/>
  <c r="T44" i="8"/>
  <c r="T37" i="8"/>
  <c r="T15" i="8"/>
  <c r="T66" i="8"/>
  <c r="T27" i="8"/>
  <c r="T49" i="8"/>
  <c r="T7" i="8"/>
  <c r="T22" i="8"/>
  <c r="T10" i="8"/>
  <c r="T46" i="8"/>
  <c r="T35" i="8"/>
  <c r="T32" i="8"/>
  <c r="T17" i="8"/>
  <c r="T59" i="8"/>
  <c r="T47" i="8"/>
  <c r="T72" i="8"/>
  <c r="T16" i="8"/>
  <c r="T26" i="8"/>
  <c r="T12" i="8"/>
  <c r="T14" i="8"/>
  <c r="T77" i="8"/>
  <c r="T76" i="8"/>
  <c r="T6" i="8"/>
  <c r="T21" i="8"/>
  <c r="T33" i="8"/>
  <c r="T52" i="8"/>
  <c r="T20" i="8"/>
  <c r="T48" i="8"/>
  <c r="T62" i="8"/>
  <c r="T19" i="8"/>
  <c r="T63" i="8"/>
  <c r="T69" i="8"/>
  <c r="T73" i="8"/>
  <c r="T50" i="8"/>
  <c r="T55" i="8"/>
  <c r="T41" i="8"/>
  <c r="T64" i="8"/>
  <c r="T28" i="8"/>
  <c r="T74" i="8"/>
  <c r="C38" i="4"/>
  <c r="C33" i="4"/>
  <c r="C29" i="4"/>
  <c r="C21" i="4"/>
  <c r="C22" i="4" s="1"/>
  <c r="C17" i="4"/>
  <c r="C18" i="4" s="1"/>
  <c r="C13" i="4"/>
  <c r="C14" i="4" s="1"/>
  <c r="C9" i="4"/>
  <c r="C10" i="4" s="1"/>
  <c r="C5" i="4"/>
  <c r="C6" i="4" s="1"/>
  <c r="C25" i="4"/>
  <c r="C26" i="4" s="1"/>
  <c r="C19" i="4"/>
  <c r="C20" i="4" s="1"/>
  <c r="C39" i="4"/>
  <c r="C7" i="4"/>
  <c r="C27" i="4"/>
  <c r="C11" i="4"/>
  <c r="C15" i="4"/>
  <c r="C31" i="4"/>
  <c r="C35" i="4"/>
  <c r="C23" i="4"/>
  <c r="C24" i="4" s="1"/>
  <c r="T29" i="8"/>
  <c r="T36" i="8"/>
  <c r="T56" i="8"/>
  <c r="T40" i="8"/>
  <c r="T58" i="8"/>
  <c r="W79" i="7"/>
  <c r="Q40" i="8"/>
  <c r="P64" i="8"/>
  <c r="Q25" i="8"/>
  <c r="B79" i="7"/>
  <c r="S9" i="9"/>
  <c r="U50" i="9" s="1"/>
  <c r="C34" i="7"/>
  <c r="P5" i="8"/>
  <c r="C29" i="7"/>
  <c r="C71" i="7"/>
  <c r="R42" i="8"/>
  <c r="R35" i="8"/>
  <c r="R20" i="8"/>
  <c r="R31" i="8"/>
  <c r="R10" i="8"/>
  <c r="R29" i="8"/>
  <c r="R43" i="8"/>
  <c r="Q9" i="8"/>
  <c r="Q68" i="8"/>
  <c r="Q61" i="8"/>
  <c r="P46" i="8"/>
  <c r="R74" i="8"/>
  <c r="S73" i="8"/>
  <c r="R34" i="8"/>
  <c r="Q3" i="8"/>
  <c r="Q13" i="9" s="1"/>
  <c r="R16" i="8"/>
  <c r="R3" i="8"/>
  <c r="R13" i="9" s="1"/>
  <c r="Q14" i="8"/>
  <c r="Q75" i="8"/>
  <c r="Q11" i="8"/>
  <c r="Q7" i="8"/>
  <c r="Q33" i="8"/>
  <c r="R39" i="8"/>
  <c r="R53" i="8"/>
  <c r="P67" i="8"/>
  <c r="P71" i="8"/>
  <c r="P21" i="8"/>
  <c r="P76" i="8"/>
  <c r="P12" i="8"/>
  <c r="V79" i="7"/>
  <c r="Q27" i="8"/>
  <c r="Q50" i="8"/>
  <c r="Q77" i="8"/>
  <c r="R52" i="8"/>
  <c r="P31" i="8"/>
  <c r="P17" i="8"/>
  <c r="P72" i="8"/>
  <c r="P8" i="8"/>
  <c r="S41" i="8"/>
  <c r="Q12" i="8"/>
  <c r="Q22" i="8"/>
  <c r="Q78" i="8"/>
  <c r="Q69" i="8"/>
  <c r="Q17" i="8"/>
  <c r="R60" i="8"/>
  <c r="P66" i="8"/>
  <c r="P30" i="8"/>
  <c r="P13" i="8"/>
  <c r="P68" i="8"/>
  <c r="P4" i="8"/>
  <c r="Q66" i="8"/>
  <c r="R54" i="8"/>
  <c r="Q8" i="8"/>
  <c r="Q6" i="8"/>
  <c r="R75" i="8"/>
  <c r="R18" i="8"/>
  <c r="S15" i="8"/>
  <c r="S65" i="8"/>
  <c r="S37" i="8"/>
  <c r="S48" i="8"/>
  <c r="S45" i="8"/>
  <c r="C74" i="7"/>
  <c r="B74" i="8" s="1"/>
  <c r="C47" i="7"/>
  <c r="Q5" i="8"/>
  <c r="R4" i="8"/>
  <c r="R76" i="8"/>
  <c r="S53" i="8"/>
  <c r="S57" i="8"/>
  <c r="S33" i="8"/>
  <c r="S55" i="8"/>
  <c r="R12" i="8"/>
  <c r="Q58" i="8"/>
  <c r="C38" i="7"/>
  <c r="B38" i="8" s="1"/>
  <c r="C55" i="7"/>
  <c r="B55" i="8" s="1"/>
  <c r="Q38" i="8"/>
  <c r="R8" i="8"/>
  <c r="S14" i="8"/>
  <c r="S29" i="8"/>
  <c r="S40" i="8"/>
  <c r="R27" i="8"/>
  <c r="R5" i="8"/>
  <c r="C13" i="7"/>
  <c r="B13" i="8" s="1"/>
  <c r="Q18" i="8"/>
  <c r="R21" i="8"/>
  <c r="Q54" i="8"/>
  <c r="R6" i="8"/>
  <c r="Q76" i="8"/>
  <c r="S52" i="8"/>
  <c r="S67" i="8"/>
  <c r="R38" i="8"/>
  <c r="S11" i="8"/>
  <c r="Q43" i="8"/>
  <c r="R68" i="8"/>
  <c r="R7" i="8"/>
  <c r="Q52" i="8"/>
  <c r="P11" i="8"/>
  <c r="Q71" i="8"/>
  <c r="P39" i="8"/>
  <c r="Q28" i="8"/>
  <c r="Q16" i="8"/>
  <c r="Q63" i="8"/>
  <c r="Q57" i="8"/>
  <c r="R55" i="8"/>
  <c r="R51" i="8"/>
  <c r="R26" i="8"/>
  <c r="R77" i="8"/>
  <c r="R25" i="8"/>
  <c r="P43" i="8"/>
  <c r="P54" i="8"/>
  <c r="P33" i="8"/>
  <c r="P65" i="8"/>
  <c r="P24" i="8"/>
  <c r="S38" i="8"/>
  <c r="S66" i="8"/>
  <c r="S78" i="8"/>
  <c r="S68" i="8"/>
  <c r="S4" i="8"/>
  <c r="S59" i="8"/>
  <c r="Q55" i="8"/>
  <c r="Q36" i="8"/>
  <c r="Q72" i="8"/>
  <c r="Q30" i="8"/>
  <c r="Q49" i="8"/>
  <c r="R14" i="8"/>
  <c r="R56" i="8"/>
  <c r="R11" i="8"/>
  <c r="R69" i="8"/>
  <c r="R9" i="8"/>
  <c r="P75" i="8"/>
  <c r="P47" i="8"/>
  <c r="P29" i="8"/>
  <c r="P57" i="8"/>
  <c r="P20" i="8"/>
  <c r="S7" i="8"/>
  <c r="S58" i="8"/>
  <c r="S3" i="8"/>
  <c r="S64" i="8"/>
  <c r="S75" i="8"/>
  <c r="S77" i="8"/>
  <c r="R41" i="8"/>
  <c r="R37" i="8"/>
  <c r="Q46" i="8"/>
  <c r="P60" i="8"/>
  <c r="Q20" i="8"/>
  <c r="Q26" i="8"/>
  <c r="Q15" i="8"/>
  <c r="Q41" i="8"/>
  <c r="R59" i="8"/>
  <c r="R61" i="8"/>
  <c r="P62" i="8"/>
  <c r="P78" i="8"/>
  <c r="P25" i="8"/>
  <c r="P45" i="8"/>
  <c r="P16" i="8"/>
  <c r="S62" i="8"/>
  <c r="S19" i="8"/>
  <c r="S49" i="8"/>
  <c r="S60" i="8"/>
  <c r="S71" i="8"/>
  <c r="S63" i="8"/>
  <c r="S69" i="8"/>
  <c r="Q62" i="8"/>
  <c r="S56" i="8"/>
  <c r="R71" i="8"/>
  <c r="R63" i="8"/>
  <c r="P59" i="8"/>
  <c r="S44" i="8"/>
  <c r="Q53" i="8"/>
  <c r="Q45" i="8"/>
  <c r="R70" i="8"/>
  <c r="R67" i="8"/>
  <c r="P70" i="8"/>
  <c r="P22" i="8"/>
  <c r="P42" i="8"/>
  <c r="P56" i="8"/>
  <c r="S23" i="8"/>
  <c r="S74" i="8"/>
  <c r="S25" i="8"/>
  <c r="S36" i="8"/>
  <c r="Q4" i="8"/>
  <c r="Q42" i="8"/>
  <c r="Q64" i="8"/>
  <c r="Q37" i="8"/>
  <c r="R15" i="8"/>
  <c r="R58" i="8"/>
  <c r="R13" i="8"/>
  <c r="P50" i="8"/>
  <c r="P10" i="8"/>
  <c r="P38" i="8"/>
  <c r="P52" i="8"/>
  <c r="T79" i="7"/>
  <c r="S22" i="8"/>
  <c r="S26" i="8"/>
  <c r="S21" i="8"/>
  <c r="S32" i="8"/>
  <c r="R49" i="8"/>
  <c r="P9" i="8"/>
  <c r="Q32" i="8"/>
  <c r="Q74" i="8"/>
  <c r="Q10" i="8"/>
  <c r="Q29" i="8"/>
  <c r="R36" i="8"/>
  <c r="R66" i="8"/>
  <c r="R44" i="8"/>
  <c r="P58" i="8"/>
  <c r="P7" i="8"/>
  <c r="P73" i="8"/>
  <c r="P26" i="8"/>
  <c r="P48" i="8"/>
  <c r="S61" i="8"/>
  <c r="S39" i="8"/>
  <c r="S17" i="8"/>
  <c r="S28" i="8"/>
  <c r="S51" i="8"/>
  <c r="R48" i="8"/>
  <c r="R19" i="8"/>
  <c r="Q67" i="8"/>
  <c r="Q21" i="8"/>
  <c r="R24" i="8"/>
  <c r="R40" i="8"/>
  <c r="R73" i="8"/>
  <c r="P51" i="8"/>
  <c r="P55" i="8"/>
  <c r="P61" i="8"/>
  <c r="P18" i="8"/>
  <c r="P44" i="8"/>
  <c r="S6" i="9"/>
  <c r="S10" i="8"/>
  <c r="S31" i="8"/>
  <c r="S18" i="8"/>
  <c r="S13" i="8"/>
  <c r="S24" i="8"/>
  <c r="Q47" i="8"/>
  <c r="Q59" i="8"/>
  <c r="Q51" i="8"/>
  <c r="Q13" i="8"/>
  <c r="R47" i="8"/>
  <c r="R23" i="8"/>
  <c r="R65" i="8"/>
  <c r="P23" i="8"/>
  <c r="P27" i="8"/>
  <c r="P53" i="8"/>
  <c r="P14" i="8"/>
  <c r="P40" i="8"/>
  <c r="S70" i="8"/>
  <c r="S50" i="8"/>
  <c r="S35" i="8"/>
  <c r="S9" i="8"/>
  <c r="S20" i="8"/>
  <c r="S14" i="9" s="1"/>
  <c r="R62" i="8"/>
  <c r="Q35" i="8"/>
  <c r="P34" i="8"/>
  <c r="A56" i="4"/>
  <c r="Q48" i="8"/>
  <c r="Q39" i="8"/>
  <c r="Q60" i="8"/>
  <c r="Q44" i="8"/>
  <c r="R50" i="8"/>
  <c r="R78" i="8"/>
  <c r="R57" i="8"/>
  <c r="P63" i="8"/>
  <c r="P74" i="8"/>
  <c r="P49" i="8"/>
  <c r="P6" i="8"/>
  <c r="P36" i="8"/>
  <c r="S43" i="8"/>
  <c r="S27" i="8"/>
  <c r="S42" i="8"/>
  <c r="S5" i="8"/>
  <c r="S16" i="8"/>
  <c r="R30" i="8"/>
  <c r="Q70" i="8"/>
  <c r="Q24" i="8"/>
  <c r="Q34" i="8"/>
  <c r="Q73" i="8"/>
  <c r="R28" i="8"/>
  <c r="R46" i="8"/>
  <c r="R72" i="8"/>
  <c r="R45" i="8"/>
  <c r="P15" i="8"/>
  <c r="P19" i="8"/>
  <c r="P41" i="8"/>
  <c r="P77" i="8"/>
  <c r="P32" i="8"/>
  <c r="U79" i="7"/>
  <c r="S30" i="8"/>
  <c r="S6" i="8"/>
  <c r="S47" i="8"/>
  <c r="S76" i="8"/>
  <c r="S12" i="8"/>
  <c r="S79" i="7"/>
  <c r="Q31" i="8"/>
  <c r="Q56" i="8"/>
  <c r="Q19" i="8"/>
  <c r="Q23" i="8"/>
  <c r="Q65" i="8"/>
  <c r="R22" i="8"/>
  <c r="R64" i="8"/>
  <c r="R32" i="8"/>
  <c r="R17" i="8"/>
  <c r="R33" i="8"/>
  <c r="P35" i="8"/>
  <c r="P3" i="8"/>
  <c r="P13" i="9" s="1"/>
  <c r="P37" i="8"/>
  <c r="P69" i="8"/>
  <c r="P28" i="8"/>
  <c r="S54" i="8"/>
  <c r="S34" i="8"/>
  <c r="S46" i="8"/>
  <c r="S72" i="8"/>
  <c r="S8" i="8"/>
  <c r="C41" i="7"/>
  <c r="B41" i="8" s="1"/>
  <c r="C75" i="7"/>
  <c r="B75" i="8" s="1"/>
  <c r="C11" i="7"/>
  <c r="B11" i="8" s="1"/>
  <c r="O67" i="8"/>
  <c r="C39" i="7"/>
  <c r="B39" i="8" s="1"/>
  <c r="N9" i="8"/>
  <c r="C69" i="7"/>
  <c r="B69" i="8" s="1"/>
  <c r="H76" i="7"/>
  <c r="G76" i="8" s="1"/>
  <c r="C60" i="7"/>
  <c r="B60" i="8" s="1"/>
  <c r="C45" i="7"/>
  <c r="B45" i="8" s="1"/>
  <c r="C33" i="7"/>
  <c r="B33" i="8" s="1"/>
  <c r="C46" i="7"/>
  <c r="B46" i="8" s="1"/>
  <c r="C26" i="7"/>
  <c r="B26" i="8" s="1"/>
  <c r="C16" i="7"/>
  <c r="B16" i="8" s="1"/>
  <c r="J79" i="7"/>
  <c r="M7" i="8"/>
  <c r="H61" i="7"/>
  <c r="G61" i="8" s="1"/>
  <c r="H43" i="7"/>
  <c r="G43" i="8" s="1"/>
  <c r="H3" i="7"/>
  <c r="H3" i="8" s="1"/>
  <c r="H13" i="9" s="1"/>
  <c r="H49" i="7"/>
  <c r="G49" i="8" s="1"/>
  <c r="O44" i="8"/>
  <c r="H22" i="7"/>
  <c r="G22" i="8" s="1"/>
  <c r="H7" i="7"/>
  <c r="G7" i="8" s="1"/>
  <c r="O3" i="8"/>
  <c r="O13" i="9" s="1"/>
  <c r="H66" i="7"/>
  <c r="G66" i="8" s="1"/>
  <c r="H6" i="7"/>
  <c r="G6" i="8" s="1"/>
  <c r="N28" i="8"/>
  <c r="H14" i="7"/>
  <c r="G14" i="8" s="1"/>
  <c r="N15" i="8"/>
  <c r="O24" i="8"/>
  <c r="O49" i="8"/>
  <c r="K56" i="7"/>
  <c r="I56" i="8" s="1"/>
  <c r="C24" i="7"/>
  <c r="B24" i="8" s="1"/>
  <c r="N42" i="8"/>
  <c r="O76" i="8"/>
  <c r="O63" i="8"/>
  <c r="O71" i="8"/>
  <c r="O45" i="8"/>
  <c r="N17" i="8"/>
  <c r="N3" i="8"/>
  <c r="N13" i="9" s="1"/>
  <c r="R79" i="7"/>
  <c r="O11" i="8"/>
  <c r="O70" i="8"/>
  <c r="C20" i="7"/>
  <c r="B20" i="8" s="1"/>
  <c r="N13" i="8"/>
  <c r="N31" i="8"/>
  <c r="N26" i="8"/>
  <c r="N7" i="8"/>
  <c r="O23" i="8"/>
  <c r="O64" i="8"/>
  <c r="O41" i="8"/>
  <c r="N60" i="8"/>
  <c r="N78" i="8"/>
  <c r="O28" i="8"/>
  <c r="O31" i="8"/>
  <c r="O37" i="8"/>
  <c r="O68" i="8"/>
  <c r="O33" i="8"/>
  <c r="N46" i="8"/>
  <c r="N67" i="8"/>
  <c r="N30" i="8"/>
  <c r="N57" i="8"/>
  <c r="O35" i="8"/>
  <c r="O29" i="8"/>
  <c r="C5" i="7"/>
  <c r="B5" i="8" s="1"/>
  <c r="N77" i="8"/>
  <c r="O25" i="8"/>
  <c r="N54" i="8"/>
  <c r="L42" i="8"/>
  <c r="N35" i="8"/>
  <c r="N22" i="8"/>
  <c r="C25" i="7"/>
  <c r="B25" i="8" s="1"/>
  <c r="C62" i="7"/>
  <c r="B62" i="8" s="1"/>
  <c r="N66" i="8"/>
  <c r="N25" i="8"/>
  <c r="N69" i="8"/>
  <c r="O21" i="8"/>
  <c r="N73" i="8"/>
  <c r="N59" i="8"/>
  <c r="O36" i="8"/>
  <c r="O7" i="8"/>
  <c r="O74" i="8"/>
  <c r="N45" i="8"/>
  <c r="H70" i="7"/>
  <c r="H55" i="7"/>
  <c r="G55" i="8" s="1"/>
  <c r="N51" i="8"/>
  <c r="O46" i="8"/>
  <c r="N65" i="8"/>
  <c r="N72" i="8"/>
  <c r="O66" i="8"/>
  <c r="N50" i="8"/>
  <c r="N44" i="8"/>
  <c r="N21" i="8"/>
  <c r="O54" i="8"/>
  <c r="N64" i="8"/>
  <c r="N5" i="8"/>
  <c r="Q79" i="7"/>
  <c r="O48" i="8"/>
  <c r="O60" i="8"/>
  <c r="O50" i="8"/>
  <c r="O77" i="8"/>
  <c r="O13" i="8"/>
  <c r="N38" i="8"/>
  <c r="N11" i="8"/>
  <c r="N6" i="8"/>
  <c r="O62" i="8"/>
  <c r="O78" i="8"/>
  <c r="N19" i="8"/>
  <c r="O55" i="8"/>
  <c r="H21" i="7"/>
  <c r="G21" i="8" s="1"/>
  <c r="H37" i="7"/>
  <c r="G37" i="8" s="1"/>
  <c r="N56" i="8"/>
  <c r="O75" i="8"/>
  <c r="O17" i="8"/>
  <c r="H72" i="7"/>
  <c r="G72" i="8" s="1"/>
  <c r="H53" i="7"/>
  <c r="G53" i="8" s="1"/>
  <c r="C63" i="7"/>
  <c r="B63" i="8" s="1"/>
  <c r="N18" i="8"/>
  <c r="N40" i="8"/>
  <c r="C14" i="7"/>
  <c r="B14" i="8" s="1"/>
  <c r="H59" i="7"/>
  <c r="G59" i="8" s="1"/>
  <c r="H35" i="7"/>
  <c r="G35" i="8" s="1"/>
  <c r="C17" i="7"/>
  <c r="B17" i="8" s="1"/>
  <c r="N32" i="8"/>
  <c r="N49" i="8"/>
  <c r="N75" i="8"/>
  <c r="N24" i="8"/>
  <c r="N68" i="8"/>
  <c r="P79" i="7"/>
  <c r="O27" i="8"/>
  <c r="O40" i="8"/>
  <c r="O42" i="8"/>
  <c r="O73" i="8"/>
  <c r="O9" i="8"/>
  <c r="N10" i="8"/>
  <c r="O58" i="8"/>
  <c r="M10" i="8"/>
  <c r="L46" i="8"/>
  <c r="O14" i="8"/>
  <c r="N41" i="8"/>
  <c r="O16" i="8"/>
  <c r="O51" i="8"/>
  <c r="O8" i="8"/>
  <c r="N34" i="8"/>
  <c r="N29" i="8"/>
  <c r="N53" i="8"/>
  <c r="O56" i="8"/>
  <c r="O20" i="8"/>
  <c r="H77" i="7"/>
  <c r="G77" i="8" s="1"/>
  <c r="H10" i="7"/>
  <c r="G10" i="8" s="1"/>
  <c r="N76" i="8"/>
  <c r="N37" i="8"/>
  <c r="O15" i="8"/>
  <c r="O30" i="8"/>
  <c r="O10" i="8"/>
  <c r="L36" i="8"/>
  <c r="H17" i="7"/>
  <c r="G17" i="8" s="1"/>
  <c r="C67" i="7"/>
  <c r="B67" i="8" s="1"/>
  <c r="C59" i="7"/>
  <c r="B59" i="8" s="1"/>
  <c r="L55" i="8"/>
  <c r="N63" i="8"/>
  <c r="N33" i="8"/>
  <c r="N43" i="8"/>
  <c r="N8" i="8"/>
  <c r="N52" i="8"/>
  <c r="O79" i="7"/>
  <c r="O12" i="8"/>
  <c r="O19" i="8"/>
  <c r="O34" i="8"/>
  <c r="O69" i="8"/>
  <c r="O5" i="8"/>
  <c r="N27" i="8"/>
  <c r="N36" i="8"/>
  <c r="M77" i="8"/>
  <c r="O26" i="8"/>
  <c r="M15" i="8"/>
  <c r="H11" i="7"/>
  <c r="G11" i="8" s="1"/>
  <c r="N62" i="8"/>
  <c r="N48" i="8"/>
  <c r="N74" i="8"/>
  <c r="N55" i="8"/>
  <c r="N20" i="8"/>
  <c r="M41" i="8"/>
  <c r="O72" i="8"/>
  <c r="O59" i="8"/>
  <c r="O22" i="8"/>
  <c r="O61" i="8"/>
  <c r="O43" i="8"/>
  <c r="O4" i="8"/>
  <c r="O65" i="8"/>
  <c r="M35" i="8"/>
  <c r="H75" i="7"/>
  <c r="G75" i="8" s="1"/>
  <c r="N14" i="8"/>
  <c r="N16" i="8"/>
  <c r="N58" i="8"/>
  <c r="N39" i="8"/>
  <c r="N4" i="8"/>
  <c r="O47" i="8"/>
  <c r="O52" i="8"/>
  <c r="O18" i="8"/>
  <c r="O57" i="8"/>
  <c r="N70" i="8"/>
  <c r="O38" i="8"/>
  <c r="N71" i="8"/>
  <c r="M55" i="8"/>
  <c r="N61" i="8"/>
  <c r="N47" i="8"/>
  <c r="N23" i="8"/>
  <c r="O32" i="8"/>
  <c r="O39" i="8"/>
  <c r="O6" i="8"/>
  <c r="O53" i="8"/>
  <c r="M24" i="8"/>
  <c r="M70" i="8"/>
  <c r="M78" i="8"/>
  <c r="L78" i="8"/>
  <c r="M74" i="8"/>
  <c r="M54" i="8"/>
  <c r="M6" i="8"/>
  <c r="L69" i="8"/>
  <c r="L27" i="8"/>
  <c r="M49" i="8"/>
  <c r="L25" i="8"/>
  <c r="L19" i="8"/>
  <c r="L44" i="8"/>
  <c r="M46" i="8"/>
  <c r="M42" i="8"/>
  <c r="M16" i="8"/>
  <c r="L63" i="8"/>
  <c r="M61" i="8"/>
  <c r="M63" i="8"/>
  <c r="M67" i="8"/>
  <c r="L64" i="8"/>
  <c r="L48" i="8"/>
  <c r="L74" i="8"/>
  <c r="L45" i="8"/>
  <c r="M3" i="8"/>
  <c r="M13" i="9" s="1"/>
  <c r="M30" i="8"/>
  <c r="L10" i="8"/>
  <c r="M31" i="8"/>
  <c r="E79" i="7"/>
  <c r="L15" i="8"/>
  <c r="M21" i="8"/>
  <c r="M11" i="8"/>
  <c r="M18" i="8"/>
  <c r="L7" i="8"/>
  <c r="L35" i="8"/>
  <c r="L60" i="8"/>
  <c r="L58" i="8"/>
  <c r="M66" i="8"/>
  <c r="M4" i="8"/>
  <c r="M23" i="8"/>
  <c r="M47" i="8"/>
  <c r="M58" i="8"/>
  <c r="I79" i="7"/>
  <c r="L52" i="8"/>
  <c r="M43" i="8"/>
  <c r="G79" i="7"/>
  <c r="L77" i="8"/>
  <c r="M36" i="8"/>
  <c r="L20" i="8"/>
  <c r="M28" i="8"/>
  <c r="L70" i="8"/>
  <c r="L39" i="8"/>
  <c r="M13" i="8"/>
  <c r="M20" i="8"/>
  <c r="M8" i="8"/>
  <c r="L47" i="8"/>
  <c r="L38" i="8"/>
  <c r="L29" i="8"/>
  <c r="M29" i="8"/>
  <c r="L65" i="8"/>
  <c r="M45" i="8"/>
  <c r="M53" i="8"/>
  <c r="L3" i="8"/>
  <c r="L13" i="9" s="1"/>
  <c r="M44" i="8"/>
  <c r="L28" i="8"/>
  <c r="L71" i="8"/>
  <c r="L18" i="8"/>
  <c r="L5" i="8"/>
  <c r="M68" i="8"/>
  <c r="M34" i="8"/>
  <c r="M14" i="8"/>
  <c r="M75" i="8"/>
  <c r="L13" i="8"/>
  <c r="L30" i="8"/>
  <c r="L53" i="8"/>
  <c r="M17" i="8"/>
  <c r="M22" i="8"/>
  <c r="L61" i="8"/>
  <c r="L24" i="8"/>
  <c r="L9" i="8"/>
  <c r="M37" i="8"/>
  <c r="M72" i="8"/>
  <c r="L4" i="8"/>
  <c r="L79" i="7"/>
  <c r="L12" i="8"/>
  <c r="M59" i="8"/>
  <c r="L33" i="8"/>
  <c r="M52" i="8"/>
  <c r="L56" i="8"/>
  <c r="M57" i="8"/>
  <c r="L31" i="8"/>
  <c r="M64" i="8"/>
  <c r="L26" i="8"/>
  <c r="L14" i="8"/>
  <c r="L62" i="8"/>
  <c r="L22" i="8"/>
  <c r="M76" i="8"/>
  <c r="M40" i="8"/>
  <c r="M27" i="8"/>
  <c r="L23" i="8"/>
  <c r="L34" i="8"/>
  <c r="L51" i="8"/>
  <c r="M56" i="8"/>
  <c r="L16" i="8"/>
  <c r="L6" i="8"/>
  <c r="L40" i="8"/>
  <c r="M48" i="8"/>
  <c r="M39" i="8"/>
  <c r="M60" i="8"/>
  <c r="L75" i="8"/>
  <c r="L43" i="8"/>
  <c r="L72" i="8"/>
  <c r="M12" i="8"/>
  <c r="M79" i="7"/>
  <c r="N12" i="8"/>
  <c r="N79" i="7"/>
  <c r="L50" i="8"/>
  <c r="M50" i="8"/>
  <c r="L11" i="8"/>
  <c r="L67" i="8"/>
  <c r="L8" i="8"/>
  <c r="M33" i="8"/>
  <c r="M9" i="8"/>
  <c r="M19" i="8"/>
  <c r="L32" i="8"/>
  <c r="D79" i="7"/>
  <c r="L21" i="8"/>
  <c r="L49" i="8"/>
  <c r="M26" i="8"/>
  <c r="M5" i="8"/>
  <c r="M69" i="8"/>
  <c r="L73" i="8"/>
  <c r="L54" i="8"/>
  <c r="L17" i="8"/>
  <c r="L59" i="8"/>
  <c r="L37" i="8"/>
  <c r="M51" i="8"/>
  <c r="L76" i="8"/>
  <c r="L66" i="8"/>
  <c r="M38" i="8"/>
  <c r="M62" i="8"/>
  <c r="M71" i="8"/>
  <c r="L68" i="8"/>
  <c r="M73" i="8"/>
  <c r="M65" i="8"/>
  <c r="M32" i="8"/>
  <c r="M25" i="8"/>
  <c r="L41" i="8"/>
  <c r="L57" i="8"/>
  <c r="C36" i="7"/>
  <c r="B36" i="8" s="1"/>
  <c r="K16" i="7"/>
  <c r="J16" i="8" s="1"/>
  <c r="K48" i="7"/>
  <c r="J48" i="8" s="1"/>
  <c r="K45" i="7"/>
  <c r="I45" i="8" s="1"/>
  <c r="K69" i="7"/>
  <c r="I69" i="8" s="1"/>
  <c r="K21" i="7"/>
  <c r="K21" i="8" s="1"/>
  <c r="K10" i="7"/>
  <c r="I10" i="8" s="1"/>
  <c r="K20" i="7"/>
  <c r="I20" i="8" s="1"/>
  <c r="K41" i="7"/>
  <c r="K5" i="7"/>
  <c r="K60" i="7"/>
  <c r="K60" i="8" s="1"/>
  <c r="K67" i="7"/>
  <c r="K25" i="7"/>
  <c r="I25" i="8" s="1"/>
  <c r="K12" i="7"/>
  <c r="I12" i="8" s="1"/>
  <c r="K32" i="7"/>
  <c r="J32" i="8" s="1"/>
  <c r="K57" i="7"/>
  <c r="K52" i="7"/>
  <c r="K72" i="7"/>
  <c r="K72" i="8" s="1"/>
  <c r="K71" i="7"/>
  <c r="K29" i="7"/>
  <c r="K29" i="8" s="1"/>
  <c r="K4" i="7"/>
  <c r="K55" i="7"/>
  <c r="K55" i="8" s="1"/>
  <c r="K14" i="7"/>
  <c r="K13" i="7"/>
  <c r="K62" i="7"/>
  <c r="I62" i="8" s="1"/>
  <c r="K26" i="7"/>
  <c r="I26" i="8" s="1"/>
  <c r="K58" i="7"/>
  <c r="I58" i="8" s="1"/>
  <c r="K43" i="7"/>
  <c r="K53" i="7"/>
  <c r="I53" i="8" s="1"/>
  <c r="K78" i="7"/>
  <c r="J78" i="8" s="1"/>
  <c r="K22" i="7"/>
  <c r="K6" i="7"/>
  <c r="K6" i="8" s="1"/>
  <c r="K7" i="7"/>
  <c r="K7" i="8" s="1"/>
  <c r="K34" i="7"/>
  <c r="K34" i="8" s="1"/>
  <c r="K68" i="7"/>
  <c r="K30" i="7"/>
  <c r="K11" i="7"/>
  <c r="K76" i="7"/>
  <c r="K65" i="7"/>
  <c r="K64" i="7"/>
  <c r="I64" i="8" s="1"/>
  <c r="K54" i="7"/>
  <c r="K54" i="8" s="1"/>
  <c r="K15" i="7"/>
  <c r="I15" i="8" s="1"/>
  <c r="K74" i="7"/>
  <c r="K9" i="7"/>
  <c r="I9" i="8" s="1"/>
  <c r="K33" i="7"/>
  <c r="I33" i="8" s="1"/>
  <c r="K18" i="7"/>
  <c r="K18" i="8" s="1"/>
  <c r="K51" i="7"/>
  <c r="J51" i="8" s="1"/>
  <c r="K66" i="7"/>
  <c r="K73" i="7"/>
  <c r="K23" i="7"/>
  <c r="K77" i="7"/>
  <c r="K61" i="7"/>
  <c r="K49" i="7"/>
  <c r="K31" i="7"/>
  <c r="K28" i="7"/>
  <c r="K28" i="8" s="1"/>
  <c r="K35" i="7"/>
  <c r="J35" i="8" s="1"/>
  <c r="K38" i="7"/>
  <c r="K38" i="8" s="1"/>
  <c r="K70" i="7"/>
  <c r="I70" i="8" s="1"/>
  <c r="K39" i="7"/>
  <c r="K75" i="7"/>
  <c r="K75" i="8" s="1"/>
  <c r="K59" i="7"/>
  <c r="K37" i="7"/>
  <c r="I37" i="8" s="1"/>
  <c r="K50" i="7"/>
  <c r="K50" i="8" s="1"/>
  <c r="K47" i="7"/>
  <c r="K47" i="8" s="1"/>
  <c r="K17" i="7"/>
  <c r="K24" i="7"/>
  <c r="I24" i="8" s="1"/>
  <c r="K46" i="7"/>
  <c r="I46" i="8" s="1"/>
  <c r="K19" i="7"/>
  <c r="I19" i="8" s="1"/>
  <c r="C65" i="7"/>
  <c r="B65" i="8" s="1"/>
  <c r="C57" i="7"/>
  <c r="B57" i="8" s="1"/>
  <c r="C27" i="7"/>
  <c r="B27" i="8" s="1"/>
  <c r="C6" i="7"/>
  <c r="B6" i="8" s="1"/>
  <c r="C73" i="7"/>
  <c r="B73" i="8" s="1"/>
  <c r="C56" i="7"/>
  <c r="B56" i="8" s="1"/>
  <c r="C28" i="7"/>
  <c r="B28" i="8" s="1"/>
  <c r="C72" i="7"/>
  <c r="B72" i="8" s="1"/>
  <c r="C12" i="7"/>
  <c r="C31" i="7"/>
  <c r="B31" i="8" s="1"/>
  <c r="C21" i="7"/>
  <c r="B21" i="8" s="1"/>
  <c r="C3" i="7"/>
  <c r="B3" i="8" s="1"/>
  <c r="B13" i="9" s="1"/>
  <c r="C52" i="7"/>
  <c r="B52" i="8" s="1"/>
  <c r="C68" i="7"/>
  <c r="B68" i="8" s="1"/>
  <c r="C50" i="7"/>
  <c r="B50" i="8" s="1"/>
  <c r="C42" i="7"/>
  <c r="B42" i="8" s="1"/>
  <c r="C15" i="7"/>
  <c r="B15" i="8" s="1"/>
  <c r="C44" i="7"/>
  <c r="B44" i="8" s="1"/>
  <c r="C54" i="7"/>
  <c r="B54" i="8" s="1"/>
  <c r="C22" i="7"/>
  <c r="B22" i="8" s="1"/>
  <c r="C58" i="7"/>
  <c r="B58" i="8" s="1"/>
  <c r="K44" i="7"/>
  <c r="I44" i="8" s="1"/>
  <c r="C19" i="7"/>
  <c r="B19" i="8" s="1"/>
  <c r="C64" i="7"/>
  <c r="B64" i="8" s="1"/>
  <c r="C53" i="7"/>
  <c r="B53" i="8" s="1"/>
  <c r="K3" i="8"/>
  <c r="K13" i="9" s="1"/>
  <c r="K27" i="7"/>
  <c r="J27" i="8" s="1"/>
  <c r="C8" i="7"/>
  <c r="B8" i="8" s="1"/>
  <c r="C32" i="7"/>
  <c r="B32" i="8" s="1"/>
  <c r="C18" i="7"/>
  <c r="B18" i="8" s="1"/>
  <c r="C23" i="7"/>
  <c r="B23" i="8" s="1"/>
  <c r="C49" i="7"/>
  <c r="B49" i="8" s="1"/>
  <c r="B71" i="8"/>
  <c r="K40" i="7"/>
  <c r="I40" i="8" s="1"/>
  <c r="C7" i="7"/>
  <c r="B7" i="8" s="1"/>
  <c r="K36" i="7"/>
  <c r="K36" i="8" s="1"/>
  <c r="K8" i="7"/>
  <c r="J8" i="8" s="1"/>
  <c r="C4" i="7"/>
  <c r="B4" i="8" s="1"/>
  <c r="C66" i="7"/>
  <c r="B66" i="8" s="1"/>
  <c r="C76" i="7"/>
  <c r="B76" i="8" s="1"/>
  <c r="K42" i="7"/>
  <c r="J42" i="8" s="1"/>
  <c r="C77" i="7"/>
  <c r="B77" i="8" s="1"/>
  <c r="C78" i="7"/>
  <c r="B78" i="8" s="1"/>
  <c r="C9" i="7"/>
  <c r="B9" i="8" s="1"/>
  <c r="C10" i="7"/>
  <c r="B10" i="8" s="1"/>
  <c r="C48" i="7"/>
  <c r="B48" i="8" s="1"/>
  <c r="C61" i="7"/>
  <c r="B61" i="8" s="1"/>
  <c r="C35" i="7"/>
  <c r="B35" i="8" s="1"/>
  <c r="C37" i="7"/>
  <c r="B37" i="8" s="1"/>
  <c r="C30" i="7"/>
  <c r="B30" i="8" s="1"/>
  <c r="K63" i="7"/>
  <c r="J63" i="8" s="1"/>
  <c r="C70" i="7"/>
  <c r="B70" i="8" s="1"/>
  <c r="C40" i="7"/>
  <c r="B40" i="8" s="1"/>
  <c r="B81" i="8" s="1"/>
  <c r="B7" i="9" s="1"/>
  <c r="B10" i="9" s="1"/>
  <c r="C51" i="7"/>
  <c r="B51" i="8" s="1"/>
  <c r="H29" i="7"/>
  <c r="G29" i="8" s="1"/>
  <c r="H58" i="7"/>
  <c r="H26" i="7"/>
  <c r="H60" i="7"/>
  <c r="H38" i="7"/>
  <c r="H33" i="7"/>
  <c r="H9" i="7"/>
  <c r="H28" i="7"/>
  <c r="G28" i="8" s="1"/>
  <c r="H5" i="7"/>
  <c r="H47" i="7"/>
  <c r="H52" i="7"/>
  <c r="H34" i="7"/>
  <c r="G34" i="8" s="1"/>
  <c r="H12" i="7"/>
  <c r="H68" i="7"/>
  <c r="G68" i="8" s="1"/>
  <c r="H56" i="7"/>
  <c r="G56" i="8" s="1"/>
  <c r="H48" i="7"/>
  <c r="H65" i="7"/>
  <c r="G65" i="8" s="1"/>
  <c r="H42" i="7"/>
  <c r="H44" i="7"/>
  <c r="G44" i="8" s="1"/>
  <c r="H63" i="7"/>
  <c r="G63" i="8" s="1"/>
  <c r="H30" i="7"/>
  <c r="G30" i="8" s="1"/>
  <c r="H23" i="7"/>
  <c r="G23" i="8" s="1"/>
  <c r="H64" i="7"/>
  <c r="H13" i="7"/>
  <c r="G13" i="8" s="1"/>
  <c r="H15" i="7"/>
  <c r="G15" i="8" s="1"/>
  <c r="H74" i="7"/>
  <c r="H50" i="7"/>
  <c r="H27" i="7"/>
  <c r="H41" i="7"/>
  <c r="H62" i="7"/>
  <c r="G62" i="8" s="1"/>
  <c r="H69" i="7"/>
  <c r="G69" i="8" s="1"/>
  <c r="H51" i="7"/>
  <c r="H78" i="7"/>
  <c r="H19" i="7"/>
  <c r="G19" i="8" s="1"/>
  <c r="H71" i="7"/>
  <c r="H39" i="7"/>
  <c r="H25" i="7"/>
  <c r="H18" i="7"/>
  <c r="G18" i="8" s="1"/>
  <c r="H36" i="7"/>
  <c r="G36" i="8" s="1"/>
  <c r="H20" i="7"/>
  <c r="G20" i="8" s="1"/>
  <c r="H40" i="7"/>
  <c r="G40" i="8" s="1"/>
  <c r="H73" i="7"/>
  <c r="H57" i="7"/>
  <c r="H32" i="7"/>
  <c r="H67" i="7"/>
  <c r="H54" i="7"/>
  <c r="G54" i="8" s="1"/>
  <c r="H24" i="7"/>
  <c r="H16" i="7"/>
  <c r="H4" i="7"/>
  <c r="H45" i="7"/>
  <c r="G45" i="8" s="1"/>
  <c r="H8" i="7"/>
  <c r="H31" i="7"/>
  <c r="G46" i="8"/>
  <c r="B47" i="8"/>
  <c r="J3" i="8"/>
  <c r="J13" i="9" s="1"/>
  <c r="B34" i="8"/>
  <c r="B29" i="8"/>
  <c r="B43" i="8"/>
  <c r="I3" i="8"/>
  <c r="I13" i="9" s="1"/>
  <c r="G70" i="8"/>
  <c r="F66" i="7"/>
  <c r="F60" i="7"/>
  <c r="F70" i="7"/>
  <c r="F70" i="8" s="1"/>
  <c r="F48" i="7"/>
  <c r="F17" i="7"/>
  <c r="D17" i="8" s="1"/>
  <c r="F12" i="7"/>
  <c r="F13" i="7"/>
  <c r="F77" i="7"/>
  <c r="F15" i="7"/>
  <c r="F39" i="7"/>
  <c r="F25" i="7"/>
  <c r="F11" i="7"/>
  <c r="F43" i="7"/>
  <c r="F23" i="7"/>
  <c r="F35" i="7"/>
  <c r="F14" i="7"/>
  <c r="F21" i="7"/>
  <c r="F61" i="7"/>
  <c r="F22" i="7"/>
  <c r="F63" i="7"/>
  <c r="F55" i="7"/>
  <c r="F53" i="7"/>
  <c r="F24" i="7"/>
  <c r="F38" i="7"/>
  <c r="F54" i="7"/>
  <c r="F65" i="7"/>
  <c r="F31" i="7"/>
  <c r="F33" i="7"/>
  <c r="F51" i="7"/>
  <c r="F26" i="7"/>
  <c r="F28" i="7"/>
  <c r="F19" i="7"/>
  <c r="F30" i="7"/>
  <c r="F46" i="7"/>
  <c r="F9" i="7"/>
  <c r="F76" i="7"/>
  <c r="F73" i="7"/>
  <c r="F40" i="7"/>
  <c r="F69" i="7"/>
  <c r="F32" i="7"/>
  <c r="F52" i="7"/>
  <c r="F68" i="7"/>
  <c r="F72" i="7"/>
  <c r="F62" i="7"/>
  <c r="D62" i="8" s="1"/>
  <c r="F71" i="7"/>
  <c r="F3" i="7"/>
  <c r="F18" i="7"/>
  <c r="F7" i="7"/>
  <c r="F41" i="7"/>
  <c r="F49" i="7"/>
  <c r="F67" i="7"/>
  <c r="F57" i="7"/>
  <c r="F56" i="7"/>
  <c r="F58" i="7"/>
  <c r="D58" i="8" s="1"/>
  <c r="F64" i="7"/>
  <c r="F74" i="7"/>
  <c r="F6" i="7"/>
  <c r="F75" i="7"/>
  <c r="F45" i="7"/>
  <c r="F8" i="7"/>
  <c r="F34" i="7"/>
  <c r="F47" i="7"/>
  <c r="F42" i="7"/>
  <c r="F10" i="7"/>
  <c r="F5" i="7"/>
  <c r="F16" i="7"/>
  <c r="F29" i="7"/>
  <c r="F50" i="7"/>
  <c r="F36" i="7"/>
  <c r="F59" i="7"/>
  <c r="F27" i="7"/>
  <c r="F20" i="7"/>
  <c r="F37" i="7"/>
  <c r="F78" i="7"/>
  <c r="F4" i="7"/>
  <c r="F44" i="7"/>
  <c r="F173" i="2"/>
  <c r="C30" i="4"/>
  <c r="D1" i="8"/>
  <c r="C2" i="8"/>
  <c r="I1" i="9"/>
  <c r="L1" i="9"/>
  <c r="E1" i="9"/>
  <c r="K1" i="9"/>
  <c r="R1" i="9"/>
  <c r="R2" i="9" s="1"/>
  <c r="H1" i="9"/>
  <c r="F1" i="9"/>
  <c r="G1" i="9"/>
  <c r="U1" i="9"/>
  <c r="M1" i="9"/>
  <c r="Q1" i="9"/>
  <c r="Q2" i="9" s="1"/>
  <c r="T1" i="9"/>
  <c r="T2" i="9" s="1"/>
  <c r="T18" i="9" s="1"/>
  <c r="J1" i="9"/>
  <c r="D1" i="9"/>
  <c r="N1" i="9"/>
  <c r="N2" i="9" s="1"/>
  <c r="N18" i="9" s="1"/>
  <c r="P1" i="9"/>
  <c r="P2" i="9" s="1"/>
  <c r="P18" i="9" s="1"/>
  <c r="S1" i="9"/>
  <c r="S2" i="9" s="1"/>
  <c r="O1" i="9"/>
  <c r="O2" i="9" s="1"/>
  <c r="O18" i="9" s="1"/>
  <c r="B2" i="9"/>
  <c r="B18" i="9" s="1"/>
  <c r="C1" i="9"/>
  <c r="C8" i="4"/>
  <c r="C16" i="4"/>
  <c r="D1" i="4"/>
  <c r="C12" i="4"/>
  <c r="C34" i="4"/>
  <c r="N57" i="4"/>
  <c r="L2" i="4"/>
  <c r="E3" i="4"/>
  <c r="D4" i="4"/>
  <c r="T79" i="8" l="1"/>
  <c r="T11" i="9" s="1"/>
  <c r="T12" i="9"/>
  <c r="T14" i="9"/>
  <c r="T25" i="9"/>
  <c r="J55" i="9" s="1"/>
  <c r="T24" i="9"/>
  <c r="J52" i="9" s="1"/>
  <c r="T28" i="9"/>
  <c r="J54" i="9" s="1"/>
  <c r="T26" i="9"/>
  <c r="J53" i="9" s="1"/>
  <c r="D25" i="4"/>
  <c r="D26" i="4" s="1"/>
  <c r="D38" i="4"/>
  <c r="D33" i="4"/>
  <c r="D34" i="4" s="1"/>
  <c r="D29" i="4"/>
  <c r="D30" i="4" s="1"/>
  <c r="D21" i="4"/>
  <c r="D22" i="4" s="1"/>
  <c r="D17" i="4"/>
  <c r="D13" i="4"/>
  <c r="D14" i="4" s="1"/>
  <c r="D9" i="4"/>
  <c r="D10" i="4" s="1"/>
  <c r="D5" i="4"/>
  <c r="D6" i="4" s="1"/>
  <c r="D11" i="4"/>
  <c r="D19" i="4"/>
  <c r="D39" i="4"/>
  <c r="D23" i="4"/>
  <c r="D24" i="4" s="1"/>
  <c r="D7" i="4"/>
  <c r="D27" i="4"/>
  <c r="D15" i="4"/>
  <c r="D16" i="4" s="1"/>
  <c r="D31" i="4"/>
  <c r="D32" i="4" s="1"/>
  <c r="D35" i="4"/>
  <c r="Q50" i="9"/>
  <c r="P12" i="9"/>
  <c r="P14" i="9"/>
  <c r="G12" i="9"/>
  <c r="G14" i="9"/>
  <c r="R14" i="9"/>
  <c r="R12" i="9"/>
  <c r="L12" i="9"/>
  <c r="L14" i="9"/>
  <c r="S12" i="9"/>
  <c r="O12" i="9"/>
  <c r="O14" i="9"/>
  <c r="M12" i="9"/>
  <c r="M14" i="9"/>
  <c r="S13" i="9"/>
  <c r="U53" i="9" s="1"/>
  <c r="N14" i="9"/>
  <c r="N12" i="9"/>
  <c r="B14" i="9"/>
  <c r="B12" i="9"/>
  <c r="C29" i="8"/>
  <c r="I14" i="9"/>
  <c r="I12" i="9"/>
  <c r="Q14" i="9"/>
  <c r="Q12" i="9"/>
  <c r="C75" i="8"/>
  <c r="G3" i="8"/>
  <c r="G13" i="9" s="1"/>
  <c r="H61" i="8"/>
  <c r="C55" i="8"/>
  <c r="S79" i="8"/>
  <c r="S11" i="9" s="1"/>
  <c r="U51" i="9" s="1"/>
  <c r="H59" i="8"/>
  <c r="C26" i="8"/>
  <c r="R79" i="8"/>
  <c r="R11" i="9" s="1"/>
  <c r="D12" i="4"/>
  <c r="P79" i="8"/>
  <c r="P11" i="9" s="1"/>
  <c r="Q79" i="8"/>
  <c r="Q11" i="9" s="1"/>
  <c r="A57" i="4"/>
  <c r="B25" i="9"/>
  <c r="B24" i="9"/>
  <c r="B21" i="9"/>
  <c r="B19" i="9"/>
  <c r="B16" i="9" s="1"/>
  <c r="B28" i="9"/>
  <c r="B26" i="9"/>
  <c r="N24" i="9"/>
  <c r="H43" i="9" s="1"/>
  <c r="N25" i="9"/>
  <c r="H46" i="9" s="1"/>
  <c r="N26" i="9"/>
  <c r="H44" i="9" s="1"/>
  <c r="N28" i="9"/>
  <c r="H45" i="9" s="1"/>
  <c r="O28" i="9"/>
  <c r="I45" i="9" s="1"/>
  <c r="O24" i="9"/>
  <c r="I43" i="9" s="1"/>
  <c r="O25" i="9"/>
  <c r="I46" i="9" s="1"/>
  <c r="O26" i="9"/>
  <c r="I44" i="9" s="1"/>
  <c r="P26" i="9"/>
  <c r="J44" i="9" s="1"/>
  <c r="P25" i="9"/>
  <c r="J46" i="9" s="1"/>
  <c r="P28" i="9"/>
  <c r="J45" i="9" s="1"/>
  <c r="P24" i="9"/>
  <c r="J43" i="9" s="1"/>
  <c r="S18" i="9"/>
  <c r="R18" i="9"/>
  <c r="Q18" i="9"/>
  <c r="C33" i="8"/>
  <c r="C69" i="8"/>
  <c r="F43" i="8"/>
  <c r="J56" i="8"/>
  <c r="H43" i="8"/>
  <c r="K56" i="8"/>
  <c r="J40" i="8"/>
  <c r="F22" i="8"/>
  <c r="J12" i="8"/>
  <c r="I38" i="8"/>
  <c r="J54" i="8"/>
  <c r="H14" i="8"/>
  <c r="H12" i="8"/>
  <c r="F77" i="8"/>
  <c r="H77" i="8"/>
  <c r="J9" i="8"/>
  <c r="C20" i="8"/>
  <c r="H66" i="8"/>
  <c r="C14" i="8"/>
  <c r="J26" i="8"/>
  <c r="H51" i="8"/>
  <c r="J20" i="8"/>
  <c r="J62" i="8"/>
  <c r="K62" i="8"/>
  <c r="F53" i="8"/>
  <c r="N79" i="8"/>
  <c r="N11" i="9" s="1"/>
  <c r="O79" i="8"/>
  <c r="O11" i="9" s="1"/>
  <c r="H53" i="8"/>
  <c r="E21" i="8"/>
  <c r="I18" i="8"/>
  <c r="K78" i="8"/>
  <c r="H17" i="8"/>
  <c r="I42" i="8"/>
  <c r="I43" i="8"/>
  <c r="K9" i="8"/>
  <c r="H9" i="8"/>
  <c r="F5" i="8"/>
  <c r="K32" i="8"/>
  <c r="H75" i="8"/>
  <c r="J75" i="8"/>
  <c r="C7" i="8"/>
  <c r="J36" i="8"/>
  <c r="C35" i="8"/>
  <c r="J47" i="8"/>
  <c r="H57" i="8"/>
  <c r="H50" i="8"/>
  <c r="I32" i="8"/>
  <c r="K51" i="8"/>
  <c r="H74" i="8"/>
  <c r="H23" i="8"/>
  <c r="C23" i="8"/>
  <c r="J21" i="8"/>
  <c r="I60" i="8"/>
  <c r="K58" i="8"/>
  <c r="H38" i="8"/>
  <c r="J70" i="8"/>
  <c r="J58" i="8"/>
  <c r="K15" i="8"/>
  <c r="J44" i="8"/>
  <c r="H31" i="8"/>
  <c r="H60" i="8"/>
  <c r="K44" i="8"/>
  <c r="H8" i="8"/>
  <c r="J15" i="8"/>
  <c r="J60" i="8"/>
  <c r="H5" i="8"/>
  <c r="H70" i="8"/>
  <c r="K26" i="8"/>
  <c r="I14" i="8"/>
  <c r="H58" i="8"/>
  <c r="K70" i="8"/>
  <c r="K12" i="8"/>
  <c r="H62" i="8"/>
  <c r="I63" i="8"/>
  <c r="K63" i="8"/>
  <c r="F34" i="8"/>
  <c r="H18" i="8"/>
  <c r="L79" i="8"/>
  <c r="L11" i="9" s="1"/>
  <c r="I36" i="8"/>
  <c r="G57" i="8"/>
  <c r="H33" i="8"/>
  <c r="H25" i="8"/>
  <c r="F52" i="8"/>
  <c r="F68" i="8"/>
  <c r="E74" i="8"/>
  <c r="F74" i="8"/>
  <c r="J33" i="8"/>
  <c r="H37" i="8"/>
  <c r="H71" i="8"/>
  <c r="G74" i="8"/>
  <c r="K24" i="8"/>
  <c r="K33" i="8"/>
  <c r="J38" i="8"/>
  <c r="F19" i="8"/>
  <c r="H64" i="8"/>
  <c r="I16" i="8"/>
  <c r="G25" i="8"/>
  <c r="J19" i="8"/>
  <c r="M79" i="8"/>
  <c r="M11" i="9" s="1"/>
  <c r="J24" i="8"/>
  <c r="H24" i="8"/>
  <c r="I50" i="8"/>
  <c r="K79" i="7"/>
  <c r="I78" i="8"/>
  <c r="F79" i="7"/>
  <c r="J29" i="8"/>
  <c r="I6" i="8"/>
  <c r="I51" i="8"/>
  <c r="H79" i="7"/>
  <c r="G79" i="8" s="1"/>
  <c r="G11" i="9" s="1"/>
  <c r="C4" i="8"/>
  <c r="F25" i="8"/>
  <c r="K46" i="8"/>
  <c r="J72" i="8"/>
  <c r="G38" i="8"/>
  <c r="B12" i="8"/>
  <c r="C79" i="7"/>
  <c r="B79" i="8" s="1"/>
  <c r="C36" i="8"/>
  <c r="D22" i="8"/>
  <c r="K77" i="8"/>
  <c r="G64" i="8"/>
  <c r="K40" i="8"/>
  <c r="H32" i="8"/>
  <c r="J18" i="8"/>
  <c r="I7" i="8"/>
  <c r="K42" i="8"/>
  <c r="H7" i="8"/>
  <c r="J7" i="8"/>
  <c r="H42" i="8"/>
  <c r="J34" i="8"/>
  <c r="H72" i="8"/>
  <c r="I61" i="8"/>
  <c r="H40" i="8"/>
  <c r="G33" i="8"/>
  <c r="G9" i="8"/>
  <c r="J55" i="8"/>
  <c r="K30" i="8"/>
  <c r="J30" i="8"/>
  <c r="I29" i="8"/>
  <c r="J17" i="8"/>
  <c r="I17" i="8"/>
  <c r="K17" i="8"/>
  <c r="K73" i="8"/>
  <c r="J73" i="8"/>
  <c r="I73" i="8"/>
  <c r="J52" i="8"/>
  <c r="I52" i="8"/>
  <c r="H39" i="8"/>
  <c r="G39" i="8"/>
  <c r="H10" i="8"/>
  <c r="G78" i="8"/>
  <c r="H78" i="8"/>
  <c r="G42" i="8"/>
  <c r="K11" i="8"/>
  <c r="J11" i="8"/>
  <c r="G16" i="8"/>
  <c r="H16" i="8"/>
  <c r="F31" i="8"/>
  <c r="J68" i="8"/>
  <c r="K68" i="8"/>
  <c r="G67" i="8"/>
  <c r="H67" i="8"/>
  <c r="H34" i="8"/>
  <c r="I72" i="8"/>
  <c r="H68" i="8"/>
  <c r="K22" i="8"/>
  <c r="J22" i="8"/>
  <c r="H22" i="8"/>
  <c r="I22" i="8"/>
  <c r="I47" i="8"/>
  <c r="K8" i="8"/>
  <c r="I8" i="8"/>
  <c r="H15" i="8"/>
  <c r="J50" i="8"/>
  <c r="G73" i="8"/>
  <c r="H73" i="8"/>
  <c r="G47" i="8"/>
  <c r="H47" i="8"/>
  <c r="J77" i="8"/>
  <c r="J46" i="8"/>
  <c r="K52" i="8"/>
  <c r="J37" i="8"/>
  <c r="K37" i="8"/>
  <c r="G71" i="8"/>
  <c r="G48" i="8"/>
  <c r="H48" i="8"/>
  <c r="I48" i="8"/>
  <c r="G27" i="8"/>
  <c r="H27" i="8"/>
  <c r="G8" i="8"/>
  <c r="G31" i="8"/>
  <c r="K59" i="8"/>
  <c r="J59" i="8"/>
  <c r="I59" i="8"/>
  <c r="J53" i="8"/>
  <c r="K53" i="8"/>
  <c r="J25" i="8"/>
  <c r="K25" i="8"/>
  <c r="H26" i="8"/>
  <c r="G26" i="8"/>
  <c r="H19" i="8"/>
  <c r="J57" i="8"/>
  <c r="K57" i="8"/>
  <c r="J6" i="8"/>
  <c r="K48" i="8"/>
  <c r="K43" i="8"/>
  <c r="J43" i="8"/>
  <c r="K67" i="8"/>
  <c r="I67" i="8"/>
  <c r="J67" i="8"/>
  <c r="G51" i="8"/>
  <c r="H63" i="8"/>
  <c r="I13" i="8"/>
  <c r="J13" i="8"/>
  <c r="K13" i="8"/>
  <c r="H55" i="8"/>
  <c r="I31" i="8"/>
  <c r="J31" i="8"/>
  <c r="K31" i="8"/>
  <c r="K19" i="8"/>
  <c r="H45" i="8"/>
  <c r="H65" i="8"/>
  <c r="J4" i="8"/>
  <c r="I4" i="8"/>
  <c r="K4" i="8"/>
  <c r="K45" i="8"/>
  <c r="J45" i="8"/>
  <c r="I77" i="8"/>
  <c r="H69" i="8"/>
  <c r="H35" i="8"/>
  <c r="H41" i="8"/>
  <c r="G41" i="8"/>
  <c r="K35" i="8"/>
  <c r="H29" i="8"/>
  <c r="H28" i="8"/>
  <c r="K64" i="8"/>
  <c r="I28" i="8"/>
  <c r="H36" i="8"/>
  <c r="G50" i="8"/>
  <c r="K20" i="8"/>
  <c r="H56" i="8"/>
  <c r="I21" i="8"/>
  <c r="I57" i="8"/>
  <c r="I55" i="8"/>
  <c r="G24" i="8"/>
  <c r="F29" i="8"/>
  <c r="H54" i="8"/>
  <c r="J69" i="8"/>
  <c r="I34" i="8"/>
  <c r="H11" i="8"/>
  <c r="I54" i="8"/>
  <c r="I27" i="8"/>
  <c r="K27" i="8"/>
  <c r="J39" i="8"/>
  <c r="K39" i="8"/>
  <c r="I39" i="8"/>
  <c r="J74" i="8"/>
  <c r="K74" i="8"/>
  <c r="G5" i="8"/>
  <c r="H46" i="8"/>
  <c r="I65" i="8"/>
  <c r="J65" i="8"/>
  <c r="K65" i="8"/>
  <c r="K76" i="8"/>
  <c r="J76" i="8"/>
  <c r="I76" i="8"/>
  <c r="J28" i="8"/>
  <c r="H49" i="8"/>
  <c r="K49" i="8"/>
  <c r="J49" i="8"/>
  <c r="J71" i="8"/>
  <c r="I71" i="8"/>
  <c r="K69" i="8"/>
  <c r="K16" i="8"/>
  <c r="H76" i="8"/>
  <c r="G12" i="8"/>
  <c r="H21" i="8"/>
  <c r="H44" i="8"/>
  <c r="J66" i="8"/>
  <c r="I66" i="8"/>
  <c r="K66" i="8"/>
  <c r="H20" i="8"/>
  <c r="C64" i="8"/>
  <c r="H52" i="8"/>
  <c r="G52" i="8"/>
  <c r="H13" i="8"/>
  <c r="H6" i="8"/>
  <c r="I68" i="8"/>
  <c r="J10" i="8"/>
  <c r="J64" i="8"/>
  <c r="K71" i="8"/>
  <c r="I5" i="8"/>
  <c r="K5" i="8"/>
  <c r="J5" i="8"/>
  <c r="I74" i="8"/>
  <c r="G60" i="8"/>
  <c r="I35" i="8"/>
  <c r="K14" i="8"/>
  <c r="J14" i="8"/>
  <c r="G4" i="8"/>
  <c r="H4" i="8"/>
  <c r="K61" i="8"/>
  <c r="J61" i="8"/>
  <c r="I30" i="8"/>
  <c r="G58" i="8"/>
  <c r="J23" i="8"/>
  <c r="K23" i="8"/>
  <c r="I23" i="8"/>
  <c r="K10" i="8"/>
  <c r="G32" i="8"/>
  <c r="I11" i="8"/>
  <c r="H30" i="8"/>
  <c r="K41" i="8"/>
  <c r="I41" i="8"/>
  <c r="J41" i="8"/>
  <c r="I75" i="8"/>
  <c r="I49" i="8"/>
  <c r="E53" i="8"/>
  <c r="E17" i="8"/>
  <c r="C74" i="8"/>
  <c r="D19" i="8"/>
  <c r="E20" i="8"/>
  <c r="E22" i="8"/>
  <c r="C25" i="8"/>
  <c r="C53" i="8"/>
  <c r="C70" i="8"/>
  <c r="C22" i="8"/>
  <c r="D74" i="8"/>
  <c r="E70" i="8"/>
  <c r="D53" i="8"/>
  <c r="E29" i="8"/>
  <c r="D49" i="8"/>
  <c r="F49" i="8"/>
  <c r="E49" i="8"/>
  <c r="F60" i="8"/>
  <c r="E60" i="8"/>
  <c r="E46" i="8"/>
  <c r="F46" i="8"/>
  <c r="C46" i="8"/>
  <c r="D46" i="8"/>
  <c r="D41" i="8"/>
  <c r="F41" i="8"/>
  <c r="C41" i="8"/>
  <c r="E41" i="8"/>
  <c r="F30" i="8"/>
  <c r="D30" i="8"/>
  <c r="E30" i="8"/>
  <c r="F21" i="8"/>
  <c r="C21" i="8"/>
  <c r="E66" i="8"/>
  <c r="D66" i="8"/>
  <c r="F66" i="8"/>
  <c r="C66" i="8"/>
  <c r="C16" i="8"/>
  <c r="E16" i="8"/>
  <c r="F16" i="8"/>
  <c r="E61" i="8"/>
  <c r="F61" i="8"/>
  <c r="C10" i="8"/>
  <c r="F10" i="8"/>
  <c r="E10" i="8"/>
  <c r="D10" i="8"/>
  <c r="D7" i="8"/>
  <c r="E7" i="8"/>
  <c r="F7" i="8"/>
  <c r="E14" i="8"/>
  <c r="F14" i="8"/>
  <c r="D14" i="8"/>
  <c r="C30" i="8"/>
  <c r="D21" i="8"/>
  <c r="E28" i="8"/>
  <c r="F28" i="8"/>
  <c r="C28" i="8"/>
  <c r="D28" i="8"/>
  <c r="F26" i="8"/>
  <c r="D26" i="8"/>
  <c r="C34" i="8"/>
  <c r="E11" i="8"/>
  <c r="D11" i="8"/>
  <c r="F11" i="8"/>
  <c r="F45" i="8"/>
  <c r="C45" i="8"/>
  <c r="E45" i="8"/>
  <c r="D45" i="8"/>
  <c r="C39" i="8"/>
  <c r="F39" i="8"/>
  <c r="E39" i="8"/>
  <c r="D39" i="8"/>
  <c r="E19" i="8"/>
  <c r="E54" i="8"/>
  <c r="D54" i="8"/>
  <c r="F54" i="8"/>
  <c r="C15" i="8"/>
  <c r="E15" i="8"/>
  <c r="D15" i="8"/>
  <c r="F15" i="8"/>
  <c r="C52" i="8"/>
  <c r="C11" i="8"/>
  <c r="D20" i="8"/>
  <c r="F20" i="8"/>
  <c r="F32" i="8"/>
  <c r="D32" i="8"/>
  <c r="C32" i="8"/>
  <c r="E32" i="8"/>
  <c r="D38" i="8"/>
  <c r="F38" i="8"/>
  <c r="C38" i="8"/>
  <c r="E38" i="8"/>
  <c r="D29" i="8"/>
  <c r="D25" i="8"/>
  <c r="E43" i="8"/>
  <c r="E47" i="8"/>
  <c r="D47" i="8"/>
  <c r="F47" i="8"/>
  <c r="D44" i="8"/>
  <c r="F44" i="8"/>
  <c r="E44" i="8"/>
  <c r="C44" i="8"/>
  <c r="E75" i="8"/>
  <c r="D75" i="8"/>
  <c r="F75" i="8"/>
  <c r="C43" i="8"/>
  <c r="F64" i="8"/>
  <c r="E64" i="8"/>
  <c r="D64" i="8"/>
  <c r="E13" i="8"/>
  <c r="F13" i="8"/>
  <c r="C13" i="8"/>
  <c r="D13" i="8"/>
  <c r="E25" i="8"/>
  <c r="E34" i="8"/>
  <c r="C49" i="8"/>
  <c r="D61" i="8"/>
  <c r="F4" i="8"/>
  <c r="D4" i="8"/>
  <c r="F65" i="8"/>
  <c r="D65" i="8"/>
  <c r="E65" i="8"/>
  <c r="C65" i="8"/>
  <c r="D6" i="8"/>
  <c r="F6" i="8"/>
  <c r="C6" i="8"/>
  <c r="E6" i="8"/>
  <c r="C40" i="8"/>
  <c r="C81" i="8" s="1"/>
  <c r="C7" i="9" s="1"/>
  <c r="C10" i="9" s="1"/>
  <c r="F40" i="8"/>
  <c r="D40" i="8"/>
  <c r="E40" i="8"/>
  <c r="F12" i="8"/>
  <c r="D12" i="8"/>
  <c r="C12" i="8"/>
  <c r="E12" i="8"/>
  <c r="D77" i="8"/>
  <c r="D16" i="8"/>
  <c r="E68" i="8"/>
  <c r="C19" i="8"/>
  <c r="C42" i="8"/>
  <c r="D42" i="8"/>
  <c r="F42" i="8"/>
  <c r="E42" i="8"/>
  <c r="D8" i="8"/>
  <c r="C8" i="8"/>
  <c r="F8" i="8"/>
  <c r="E8" i="8"/>
  <c r="C31" i="8"/>
  <c r="D31" i="8"/>
  <c r="F24" i="8"/>
  <c r="D24" i="8"/>
  <c r="E24" i="8"/>
  <c r="C24" i="8"/>
  <c r="F55" i="8"/>
  <c r="D55" i="8"/>
  <c r="F17" i="8"/>
  <c r="C17" i="8"/>
  <c r="C77" i="8"/>
  <c r="E52" i="8"/>
  <c r="C5" i="8"/>
  <c r="E26" i="8"/>
  <c r="D18" i="8"/>
  <c r="E18" i="8"/>
  <c r="C18" i="8"/>
  <c r="F18" i="8"/>
  <c r="D23" i="8"/>
  <c r="F23" i="8"/>
  <c r="E23" i="8"/>
  <c r="D60" i="8"/>
  <c r="D35" i="8"/>
  <c r="E71" i="8"/>
  <c r="C71" i="8"/>
  <c r="D71" i="8"/>
  <c r="F71" i="8"/>
  <c r="E62" i="8"/>
  <c r="F62" i="8"/>
  <c r="C62" i="8"/>
  <c r="D43" i="8"/>
  <c r="E4" i="8"/>
  <c r="E5" i="8"/>
  <c r="D5" i="8"/>
  <c r="E37" i="8"/>
  <c r="F37" i="8"/>
  <c r="C37" i="8"/>
  <c r="D37" i="8"/>
  <c r="F69" i="8"/>
  <c r="E69" i="8"/>
  <c r="D69" i="8"/>
  <c r="E59" i="8"/>
  <c r="F59" i="8"/>
  <c r="D59" i="8"/>
  <c r="C59" i="8"/>
  <c r="E56" i="8"/>
  <c r="C56" i="8"/>
  <c r="D56" i="8"/>
  <c r="F56" i="8"/>
  <c r="E50" i="8"/>
  <c r="F50" i="8"/>
  <c r="D50" i="8"/>
  <c r="C50" i="8"/>
  <c r="D57" i="8"/>
  <c r="C57" i="8"/>
  <c r="F57" i="8"/>
  <c r="E57" i="8"/>
  <c r="F76" i="8"/>
  <c r="D76" i="8"/>
  <c r="C76" i="8"/>
  <c r="E76" i="8"/>
  <c r="E63" i="8"/>
  <c r="F63" i="8"/>
  <c r="C63" i="8"/>
  <c r="D63" i="8"/>
  <c r="F48" i="8"/>
  <c r="E48" i="8"/>
  <c r="D48" i="8"/>
  <c r="C68" i="8"/>
  <c r="C60" i="8"/>
  <c r="C54" i="8"/>
  <c r="D70" i="8"/>
  <c r="E35" i="8"/>
  <c r="F35" i="8"/>
  <c r="E3" i="8"/>
  <c r="E13" i="9" s="1"/>
  <c r="D3" i="8"/>
  <c r="D13" i="9" s="1"/>
  <c r="C3" i="8"/>
  <c r="C13" i="9" s="1"/>
  <c r="F3" i="8"/>
  <c r="F13" i="9" s="1"/>
  <c r="F51" i="8"/>
  <c r="D51" i="8"/>
  <c r="E51" i="8"/>
  <c r="C51" i="8"/>
  <c r="C61" i="8"/>
  <c r="D33" i="8"/>
  <c r="E33" i="8"/>
  <c r="F33" i="8"/>
  <c r="E72" i="8"/>
  <c r="C72" i="8"/>
  <c r="F72" i="8"/>
  <c r="D72" i="8"/>
  <c r="D78" i="8"/>
  <c r="E78" i="8"/>
  <c r="F78" i="8"/>
  <c r="C78" i="8"/>
  <c r="C27" i="8"/>
  <c r="F27" i="8"/>
  <c r="E27" i="8"/>
  <c r="D27" i="8"/>
  <c r="C58" i="8"/>
  <c r="F58" i="8"/>
  <c r="E58" i="8"/>
  <c r="D36" i="8"/>
  <c r="F36" i="8"/>
  <c r="E36" i="8"/>
  <c r="C73" i="8"/>
  <c r="D73" i="8"/>
  <c r="E73" i="8"/>
  <c r="F73" i="8"/>
  <c r="E67" i="8"/>
  <c r="D67" i="8"/>
  <c r="F67" i="8"/>
  <c r="C67" i="8"/>
  <c r="E9" i="8"/>
  <c r="D9" i="8"/>
  <c r="F9" i="8"/>
  <c r="C9" i="8"/>
  <c r="E55" i="8"/>
  <c r="E31" i="8"/>
  <c r="D52" i="8"/>
  <c r="C47" i="8"/>
  <c r="C48" i="8"/>
  <c r="D68" i="8"/>
  <c r="E77" i="8"/>
  <c r="D34" i="8"/>
  <c r="D8" i="4"/>
  <c r="D20" i="4"/>
  <c r="E1" i="4"/>
  <c r="C45" i="4"/>
  <c r="D2" i="9"/>
  <c r="D18" i="9" s="1"/>
  <c r="M2" i="9"/>
  <c r="M18" i="9" s="1"/>
  <c r="H2" i="9"/>
  <c r="H18" i="9" s="1"/>
  <c r="L2" i="9"/>
  <c r="L18" i="9" s="1"/>
  <c r="J2" i="9"/>
  <c r="J18" i="9" s="1"/>
  <c r="I2" i="9"/>
  <c r="I18" i="9" s="1"/>
  <c r="E1" i="8"/>
  <c r="D2" i="8"/>
  <c r="C2" i="9"/>
  <c r="C18" i="9" s="1"/>
  <c r="G2" i="9"/>
  <c r="G18" i="9" s="1"/>
  <c r="K2" i="9"/>
  <c r="K18" i="9" s="1"/>
  <c r="F2" i="9"/>
  <c r="F18" i="9" s="1"/>
  <c r="E2" i="9"/>
  <c r="E18" i="9" s="1"/>
  <c r="C42" i="4"/>
  <c r="C43" i="4"/>
  <c r="C40" i="4"/>
  <c r="C41" i="4" s="1"/>
  <c r="C44" i="4"/>
  <c r="C51" i="4"/>
  <c r="C48" i="4"/>
  <c r="C50" i="4"/>
  <c r="E56" i="4"/>
  <c r="C49" i="4"/>
  <c r="C47" i="4"/>
  <c r="C36" i="4"/>
  <c r="C28" i="4"/>
  <c r="M56" i="4" s="1"/>
  <c r="C52" i="4"/>
  <c r="C32" i="4"/>
  <c r="H56" i="4"/>
  <c r="L56" i="4"/>
  <c r="I56" i="4"/>
  <c r="J56" i="4"/>
  <c r="K56" i="4"/>
  <c r="G56" i="4"/>
  <c r="C56" i="4"/>
  <c r="N58" i="4"/>
  <c r="B56" i="4"/>
  <c r="F56" i="4"/>
  <c r="D56" i="4"/>
  <c r="M2" i="4"/>
  <c r="F3" i="4"/>
  <c r="E4" i="4"/>
  <c r="E29" i="4" l="1"/>
  <c r="E13" i="4"/>
  <c r="E9" i="4"/>
  <c r="E38" i="4"/>
  <c r="E33" i="4"/>
  <c r="E34" i="4" s="1"/>
  <c r="E21" i="4"/>
  <c r="E17" i="4"/>
  <c r="E5" i="4"/>
  <c r="E6" i="4" s="1"/>
  <c r="E11" i="4"/>
  <c r="E12" i="4" s="1"/>
  <c r="E39" i="4"/>
  <c r="E23" i="4"/>
  <c r="E24" i="4" s="1"/>
  <c r="E27" i="4"/>
  <c r="E36" i="4" s="1"/>
  <c r="E7" i="4"/>
  <c r="E8" i="4" s="1"/>
  <c r="E15" i="4"/>
  <c r="E16" i="4" s="1"/>
  <c r="E31" i="4"/>
  <c r="E25" i="4"/>
  <c r="E26" i="4" s="1"/>
  <c r="E19" i="4"/>
  <c r="E35" i="4"/>
  <c r="S26" i="9"/>
  <c r="I53" i="9" s="1"/>
  <c r="S25" i="9"/>
  <c r="I55" i="9" s="1"/>
  <c r="S28" i="9"/>
  <c r="I54" i="9" s="1"/>
  <c r="S24" i="9"/>
  <c r="T83" i="8"/>
  <c r="S83" i="8"/>
  <c r="L83" i="8"/>
  <c r="Q83" i="8"/>
  <c r="O83" i="8"/>
  <c r="R83" i="8"/>
  <c r="N83" i="8"/>
  <c r="P83" i="8"/>
  <c r="G83" i="8"/>
  <c r="M83" i="8"/>
  <c r="B11" i="9"/>
  <c r="B83" i="8"/>
  <c r="E14" i="9"/>
  <c r="E12" i="9"/>
  <c r="C14" i="9"/>
  <c r="C12" i="9"/>
  <c r="J14" i="9"/>
  <c r="J12" i="9"/>
  <c r="D14" i="9"/>
  <c r="D12" i="9"/>
  <c r="H14" i="9"/>
  <c r="H12" i="9"/>
  <c r="F14" i="9"/>
  <c r="F12" i="9"/>
  <c r="K12" i="9"/>
  <c r="K14" i="9"/>
  <c r="B30" i="9"/>
  <c r="A58" i="4"/>
  <c r="B20" i="9"/>
  <c r="D25" i="9"/>
  <c r="D28" i="9"/>
  <c r="D21" i="9"/>
  <c r="D24" i="9"/>
  <c r="D26" i="9"/>
  <c r="D19" i="9"/>
  <c r="D16" i="9" s="1"/>
  <c r="K24" i="9"/>
  <c r="K25" i="9"/>
  <c r="K26" i="9"/>
  <c r="K28" i="9"/>
  <c r="L25" i="9"/>
  <c r="L24" i="9"/>
  <c r="L26" i="9"/>
  <c r="L28" i="9"/>
  <c r="I24" i="9"/>
  <c r="I25" i="9"/>
  <c r="I26" i="9"/>
  <c r="I28" i="9"/>
  <c r="J28" i="9"/>
  <c r="J24" i="9"/>
  <c r="J25" i="9"/>
  <c r="J26" i="9"/>
  <c r="H25" i="9"/>
  <c r="H24" i="9"/>
  <c r="H26" i="9"/>
  <c r="H28" i="9"/>
  <c r="E24" i="9"/>
  <c r="E25" i="9"/>
  <c r="E26" i="9"/>
  <c r="E28" i="9"/>
  <c r="F26" i="9"/>
  <c r="F28" i="9"/>
  <c r="F24" i="9"/>
  <c r="F25" i="9"/>
  <c r="R24" i="9"/>
  <c r="H52" i="9" s="1"/>
  <c r="R26" i="9"/>
  <c r="H53" i="9" s="1"/>
  <c r="R25" i="9"/>
  <c r="H55" i="9" s="1"/>
  <c r="R28" i="9"/>
  <c r="H54" i="9" s="1"/>
  <c r="G24" i="9"/>
  <c r="G25" i="9"/>
  <c r="G26" i="9"/>
  <c r="G28" i="9"/>
  <c r="I52" i="9"/>
  <c r="C21" i="9"/>
  <c r="C25" i="9"/>
  <c r="C28" i="9"/>
  <c r="C24" i="9"/>
  <c r="C26" i="9"/>
  <c r="C19" i="9"/>
  <c r="C16" i="9" s="1"/>
  <c r="M26" i="9"/>
  <c r="M24" i="9"/>
  <c r="M25" i="9"/>
  <c r="M28" i="9"/>
  <c r="Q25" i="9"/>
  <c r="K46" i="9" s="1"/>
  <c r="L46" i="9" s="1"/>
  <c r="Q26" i="9"/>
  <c r="K44" i="9" s="1"/>
  <c r="L44" i="9" s="1"/>
  <c r="Q28" i="9"/>
  <c r="K45" i="9" s="1"/>
  <c r="L45" i="9" s="1"/>
  <c r="Q24" i="9"/>
  <c r="K43" i="9" s="1"/>
  <c r="L43" i="9" s="1"/>
  <c r="B39" i="9"/>
  <c r="D81" i="8"/>
  <c r="D7" i="9" s="1"/>
  <c r="D10" i="9" s="1"/>
  <c r="E18" i="4"/>
  <c r="H79" i="8"/>
  <c r="H11" i="9" s="1"/>
  <c r="D40" i="4"/>
  <c r="D41" i="4" s="1"/>
  <c r="D42" i="4"/>
  <c r="I79" i="8"/>
  <c r="K79" i="8"/>
  <c r="K11" i="9" s="1"/>
  <c r="Q55" i="9" s="1"/>
  <c r="J79" i="8"/>
  <c r="J11" i="9" s="1"/>
  <c r="D44" i="4"/>
  <c r="E79" i="8"/>
  <c r="E11" i="9" s="1"/>
  <c r="D79" i="8"/>
  <c r="D11" i="9" s="1"/>
  <c r="C79" i="8"/>
  <c r="C11" i="9" s="1"/>
  <c r="F79" i="8"/>
  <c r="F11" i="9" s="1"/>
  <c r="D43" i="4"/>
  <c r="E20" i="4"/>
  <c r="D45" i="4"/>
  <c r="E14" i="4"/>
  <c r="D18" i="4"/>
  <c r="H57" i="4" s="1"/>
  <c r="F1" i="4"/>
  <c r="E10" i="4"/>
  <c r="D52" i="4"/>
  <c r="D51" i="4"/>
  <c r="D50" i="4"/>
  <c r="D48" i="4"/>
  <c r="D28" i="4"/>
  <c r="M57" i="4" s="1"/>
  <c r="D36" i="4"/>
  <c r="D49" i="4"/>
  <c r="D47" i="4"/>
  <c r="E2" i="8"/>
  <c r="F1" i="8"/>
  <c r="K57" i="4"/>
  <c r="L57" i="4"/>
  <c r="B57" i="4"/>
  <c r="I57" i="4"/>
  <c r="D57" i="4"/>
  <c r="J57" i="4"/>
  <c r="E57" i="4"/>
  <c r="C57" i="4"/>
  <c r="N59" i="4"/>
  <c r="G57" i="4"/>
  <c r="F57" i="4"/>
  <c r="N2" i="4"/>
  <c r="F4" i="4"/>
  <c r="G3" i="4"/>
  <c r="E81" i="8" l="1"/>
  <c r="E7" i="9" s="1"/>
  <c r="E10" i="9" s="1"/>
  <c r="F38" i="4"/>
  <c r="F11" i="4"/>
  <c r="F29" i="4"/>
  <c r="F30" i="4" s="1"/>
  <c r="F39" i="4"/>
  <c r="F17" i="4"/>
  <c r="F23" i="4"/>
  <c r="F24" i="4" s="1"/>
  <c r="F7" i="4"/>
  <c r="F8" i="4" s="1"/>
  <c r="F33" i="4"/>
  <c r="F34" i="4" s="1"/>
  <c r="F27" i="4"/>
  <c r="F21" i="4"/>
  <c r="F22" i="4" s="1"/>
  <c r="F15" i="4"/>
  <c r="F16" i="4" s="1"/>
  <c r="F5" i="4"/>
  <c r="F6" i="4" s="1"/>
  <c r="F31" i="4"/>
  <c r="F32" i="4" s="1"/>
  <c r="F25" i="4"/>
  <c r="F26" i="4" s="1"/>
  <c r="F9" i="4"/>
  <c r="F10" i="4" s="1"/>
  <c r="F19" i="4"/>
  <c r="F35" i="4"/>
  <c r="F13" i="4"/>
  <c r="H59" i="9"/>
  <c r="C83" i="8"/>
  <c r="E83" i="8"/>
  <c r="K83" i="8"/>
  <c r="D83" i="8"/>
  <c r="I11" i="9"/>
  <c r="I83" i="8"/>
  <c r="J83" i="8"/>
  <c r="H83" i="8"/>
  <c r="F83" i="8"/>
  <c r="M45" i="9"/>
  <c r="F28" i="4"/>
  <c r="C30" i="9"/>
  <c r="C20" i="9"/>
  <c r="C32" i="9" s="1"/>
  <c r="D30" i="9"/>
  <c r="A59" i="4"/>
  <c r="B32" i="9"/>
  <c r="B38" i="9"/>
  <c r="D20" i="9"/>
  <c r="D32" i="9" s="1"/>
  <c r="E20" i="9"/>
  <c r="E32" i="9" s="1"/>
  <c r="E21" i="9"/>
  <c r="E19" i="9"/>
  <c r="C34" i="9" s="1"/>
  <c r="C39" i="9"/>
  <c r="D39" i="9"/>
  <c r="E47" i="4"/>
  <c r="F18" i="4"/>
  <c r="F20" i="4"/>
  <c r="F14" i="4"/>
  <c r="E40" i="4"/>
  <c r="E41" i="4" s="1"/>
  <c r="E42" i="4"/>
  <c r="E43" i="4"/>
  <c r="E28" i="4"/>
  <c r="M58" i="4" s="1"/>
  <c r="E52" i="4"/>
  <c r="E22" i="4"/>
  <c r="J58" i="4" s="1"/>
  <c r="E51" i="4"/>
  <c r="E44" i="4"/>
  <c r="E32" i="4"/>
  <c r="E48" i="4"/>
  <c r="E49" i="4"/>
  <c r="E45" i="4"/>
  <c r="E50" i="4"/>
  <c r="G1" i="4"/>
  <c r="F12" i="4"/>
  <c r="E30" i="4"/>
  <c r="G1" i="8"/>
  <c r="F2" i="8"/>
  <c r="B58" i="4"/>
  <c r="K58" i="4"/>
  <c r="E58" i="4"/>
  <c r="L58" i="4"/>
  <c r="I58" i="4"/>
  <c r="G58" i="4"/>
  <c r="D58" i="4"/>
  <c r="C58" i="4"/>
  <c r="N60" i="4"/>
  <c r="H58" i="4"/>
  <c r="F58" i="4"/>
  <c r="O2" i="4"/>
  <c r="H3" i="4"/>
  <c r="G4" i="4"/>
  <c r="G31" i="4" l="1"/>
  <c r="G21" i="4"/>
  <c r="G29" i="4"/>
  <c r="G35" i="4"/>
  <c r="G39" i="4"/>
  <c r="G13" i="4"/>
  <c r="G17" i="4"/>
  <c r="G18" i="4" s="1"/>
  <c r="G23" i="4"/>
  <c r="G24" i="4" s="1"/>
  <c r="G33" i="4"/>
  <c r="G34" i="4" s="1"/>
  <c r="G7" i="4"/>
  <c r="G8" i="4" s="1"/>
  <c r="G27" i="4"/>
  <c r="G28" i="4" s="1"/>
  <c r="G11" i="4"/>
  <c r="G12" i="4" s="1"/>
  <c r="G38" i="4"/>
  <c r="G15" i="4"/>
  <c r="G16" i="4" s="1"/>
  <c r="G5" i="4"/>
  <c r="G6" i="4" s="1"/>
  <c r="G25" i="4"/>
  <c r="G26" i="4" s="1"/>
  <c r="G9" i="4"/>
  <c r="G19" i="4"/>
  <c r="F81" i="8"/>
  <c r="F7" i="9" s="1"/>
  <c r="F10" i="9" s="1"/>
  <c r="F36" i="4"/>
  <c r="C38" i="9"/>
  <c r="E36" i="9"/>
  <c r="E30" i="9"/>
  <c r="F20" i="9"/>
  <c r="F32" i="9" s="1"/>
  <c r="A60" i="4"/>
  <c r="E35" i="9"/>
  <c r="E39" i="9"/>
  <c r="F19" i="9"/>
  <c r="F16" i="9" s="1"/>
  <c r="D35" i="9"/>
  <c r="B36" i="9"/>
  <c r="C36" i="9"/>
  <c r="D36" i="9"/>
  <c r="D34" i="9"/>
  <c r="B35" i="9"/>
  <c r="E38" i="9"/>
  <c r="E16" i="9"/>
  <c r="B34" i="9"/>
  <c r="C35" i="9"/>
  <c r="F21" i="9"/>
  <c r="E34" i="9"/>
  <c r="D38" i="9"/>
  <c r="H1" i="4"/>
  <c r="G10" i="4"/>
  <c r="G14" i="4"/>
  <c r="F52" i="4"/>
  <c r="F49" i="4"/>
  <c r="F40" i="4"/>
  <c r="F41" i="4" s="1"/>
  <c r="F51" i="4"/>
  <c r="J59" i="4"/>
  <c r="F44" i="4"/>
  <c r="F45" i="4"/>
  <c r="F43" i="4"/>
  <c r="F48" i="4"/>
  <c r="G20" i="4"/>
  <c r="F47" i="4"/>
  <c r="G22" i="4"/>
  <c r="F42" i="4"/>
  <c r="F50" i="4"/>
  <c r="B59" i="4"/>
  <c r="H1" i="8"/>
  <c r="G2" i="8"/>
  <c r="M59" i="4"/>
  <c r="E59" i="4"/>
  <c r="L59" i="4"/>
  <c r="H59" i="4"/>
  <c r="G59" i="4"/>
  <c r="F59" i="4"/>
  <c r="D59" i="4"/>
  <c r="N61" i="4"/>
  <c r="I59" i="4"/>
  <c r="K59" i="4"/>
  <c r="C59" i="4"/>
  <c r="P2" i="4"/>
  <c r="H4" i="4"/>
  <c r="I3" i="4"/>
  <c r="H31" i="4" l="1"/>
  <c r="H32" i="4" s="1"/>
  <c r="H21" i="4"/>
  <c r="H22" i="4" s="1"/>
  <c r="H38" i="4"/>
  <c r="H23" i="4"/>
  <c r="H47" i="4" s="1"/>
  <c r="H35" i="4"/>
  <c r="H39" i="4"/>
  <c r="H13" i="4"/>
  <c r="H14" i="4" s="1"/>
  <c r="H17" i="4"/>
  <c r="H33" i="4"/>
  <c r="H34" i="4" s="1"/>
  <c r="H7" i="4"/>
  <c r="H27" i="4"/>
  <c r="H36" i="4" s="1"/>
  <c r="H11" i="4"/>
  <c r="H12" i="4" s="1"/>
  <c r="H15" i="4"/>
  <c r="H5" i="4"/>
  <c r="H6" i="4" s="1"/>
  <c r="H25" i="4"/>
  <c r="H26" i="4" s="1"/>
  <c r="H9" i="4"/>
  <c r="H10" i="4" s="1"/>
  <c r="H19" i="4"/>
  <c r="H29" i="4"/>
  <c r="A61" i="4"/>
  <c r="F38" i="9"/>
  <c r="F39" i="9"/>
  <c r="F30" i="9"/>
  <c r="G81" i="8"/>
  <c r="G7" i="9" s="1"/>
  <c r="G10" i="9" s="1"/>
  <c r="G19" i="9"/>
  <c r="G16" i="9" s="1"/>
  <c r="G20" i="9"/>
  <c r="G21" i="9"/>
  <c r="I1" i="4"/>
  <c r="H8" i="4"/>
  <c r="H18" i="4"/>
  <c r="H20" i="4"/>
  <c r="G40" i="4"/>
  <c r="G41" i="4" s="1"/>
  <c r="G48" i="4"/>
  <c r="G51" i="4"/>
  <c r="I60" i="4"/>
  <c r="G42" i="4"/>
  <c r="G52" i="4"/>
  <c r="G43" i="4"/>
  <c r="G44" i="4"/>
  <c r="G32" i="4"/>
  <c r="G30" i="4"/>
  <c r="G45" i="4"/>
  <c r="G50" i="4"/>
  <c r="G36" i="4"/>
  <c r="G49" i="4"/>
  <c r="G47" i="4"/>
  <c r="B60" i="4"/>
  <c r="I1" i="8"/>
  <c r="H2" i="8"/>
  <c r="L60" i="4"/>
  <c r="C60" i="4"/>
  <c r="D60" i="4"/>
  <c r="G60" i="4"/>
  <c r="M60" i="4"/>
  <c r="J60" i="4"/>
  <c r="E60" i="4"/>
  <c r="H60" i="4"/>
  <c r="F60" i="4"/>
  <c r="K60" i="4"/>
  <c r="N62" i="4"/>
  <c r="Q2" i="4"/>
  <c r="J3" i="4"/>
  <c r="I4" i="4"/>
  <c r="I23" i="4" l="1"/>
  <c r="I13" i="4"/>
  <c r="I31" i="4"/>
  <c r="I32" i="4" s="1"/>
  <c r="I21" i="4"/>
  <c r="I22" i="4" s="1"/>
  <c r="I33" i="4"/>
  <c r="I27" i="4"/>
  <c r="I25" i="4"/>
  <c r="I26" i="4" s="1"/>
  <c r="I15" i="4"/>
  <c r="I16" i="4" s="1"/>
  <c r="I38" i="4"/>
  <c r="I35" i="4"/>
  <c r="I39" i="4"/>
  <c r="I29" i="4"/>
  <c r="I17" i="4"/>
  <c r="I18" i="4" s="1"/>
  <c r="I7" i="4"/>
  <c r="I8" i="4" s="1"/>
  <c r="I11" i="4"/>
  <c r="I12" i="4" s="1"/>
  <c r="I5" i="4"/>
  <c r="I6" i="4" s="1"/>
  <c r="I9" i="4"/>
  <c r="I19" i="4"/>
  <c r="I20" i="4" s="1"/>
  <c r="I24" i="4"/>
  <c r="I14" i="4"/>
  <c r="I10" i="4"/>
  <c r="I34" i="4"/>
  <c r="G39" i="9"/>
  <c r="G30" i="9"/>
  <c r="J1" i="4"/>
  <c r="H24" i="4"/>
  <c r="K61" i="4" s="1"/>
  <c r="G32" i="9"/>
  <c r="G38" i="9"/>
  <c r="H81" i="8"/>
  <c r="H7" i="9" s="1"/>
  <c r="H10" i="9" s="1"/>
  <c r="A62" i="4"/>
  <c r="H21" i="9"/>
  <c r="H51" i="4"/>
  <c r="H48" i="4"/>
  <c r="H19" i="9"/>
  <c r="H16" i="9" s="1"/>
  <c r="H20" i="9"/>
  <c r="H45" i="4"/>
  <c r="H16" i="4"/>
  <c r="G61" i="4" s="1"/>
  <c r="H43" i="4"/>
  <c r="H44" i="4"/>
  <c r="D61" i="4"/>
  <c r="H49" i="4"/>
  <c r="H50" i="4"/>
  <c r="H28" i="4"/>
  <c r="M61" i="4" s="1"/>
  <c r="H30" i="4"/>
  <c r="H52" i="4"/>
  <c r="H40" i="4"/>
  <c r="H41" i="4" s="1"/>
  <c r="H42" i="4"/>
  <c r="F61" i="4"/>
  <c r="I2" i="8"/>
  <c r="J1" i="8"/>
  <c r="B61" i="4"/>
  <c r="H61" i="4"/>
  <c r="J61" i="4"/>
  <c r="L61" i="4"/>
  <c r="N63" i="4"/>
  <c r="I61" i="4"/>
  <c r="C61" i="4"/>
  <c r="E61" i="4"/>
  <c r="R2" i="4"/>
  <c r="J4" i="4"/>
  <c r="K3" i="4"/>
  <c r="I36" i="4" l="1"/>
  <c r="I19" i="9"/>
  <c r="H34" i="9" s="1"/>
  <c r="J39" i="4"/>
  <c r="J23" i="4"/>
  <c r="J24" i="4" s="1"/>
  <c r="K62" i="4" s="1"/>
  <c r="J13" i="4"/>
  <c r="J31" i="4"/>
  <c r="J19" i="4"/>
  <c r="J7" i="4"/>
  <c r="J8" i="4" s="1"/>
  <c r="C62" i="4" s="1"/>
  <c r="J33" i="4"/>
  <c r="J27" i="4"/>
  <c r="J28" i="4" s="1"/>
  <c r="M62" i="4" s="1"/>
  <c r="J25" i="4"/>
  <c r="J26" i="4" s="1"/>
  <c r="J15" i="4"/>
  <c r="J16" i="4" s="1"/>
  <c r="J38" i="4"/>
  <c r="J35" i="4"/>
  <c r="J29" i="4"/>
  <c r="J30" i="4" s="1"/>
  <c r="J17" i="4"/>
  <c r="J21" i="4"/>
  <c r="J22" i="4" s="1"/>
  <c r="J62" i="4" s="1"/>
  <c r="J11" i="4"/>
  <c r="J12" i="4" s="1"/>
  <c r="E62" i="4" s="1"/>
  <c r="J5" i="4"/>
  <c r="J6" i="4" s="1"/>
  <c r="B62" i="4" s="1"/>
  <c r="J9" i="4"/>
  <c r="I28" i="4"/>
  <c r="K1" i="4"/>
  <c r="I52" i="4"/>
  <c r="I45" i="4"/>
  <c r="I40" i="4"/>
  <c r="I41" i="4" s="1"/>
  <c r="J14" i="4"/>
  <c r="F62" i="4" s="1"/>
  <c r="I47" i="4"/>
  <c r="J10" i="4"/>
  <c r="J20" i="4"/>
  <c r="I48" i="4"/>
  <c r="I21" i="9"/>
  <c r="I30" i="9" s="1"/>
  <c r="I49" i="4"/>
  <c r="I50" i="4"/>
  <c r="I51" i="4"/>
  <c r="H39" i="9"/>
  <c r="H30" i="9"/>
  <c r="A63" i="4"/>
  <c r="I20" i="9"/>
  <c r="I32" i="9" s="1"/>
  <c r="I30" i="4"/>
  <c r="I42" i="4"/>
  <c r="I44" i="4"/>
  <c r="I16" i="9"/>
  <c r="I34" i="9"/>
  <c r="I43" i="4"/>
  <c r="H32" i="9"/>
  <c r="H38" i="9"/>
  <c r="I81" i="8"/>
  <c r="I7" i="9" s="1"/>
  <c r="I10" i="9" s="1"/>
  <c r="K1" i="8"/>
  <c r="J2" i="8"/>
  <c r="N64" i="4"/>
  <c r="G62" i="4"/>
  <c r="I62" i="4"/>
  <c r="D62" i="4"/>
  <c r="L62" i="4"/>
  <c r="H62" i="4"/>
  <c r="S2" i="4"/>
  <c r="L3" i="4"/>
  <c r="K4" i="4"/>
  <c r="K35" i="4" l="1"/>
  <c r="K31" i="4"/>
  <c r="K51" i="4" s="1"/>
  <c r="K27" i="4"/>
  <c r="K28" i="4" s="1"/>
  <c r="M63" i="4" s="1"/>
  <c r="K23" i="4"/>
  <c r="K19" i="4"/>
  <c r="K15" i="4"/>
  <c r="K16" i="4" s="1"/>
  <c r="K11" i="4"/>
  <c r="K7" i="4"/>
  <c r="K8" i="4" s="1"/>
  <c r="K39" i="4"/>
  <c r="K5" i="4"/>
  <c r="K13" i="4"/>
  <c r="K14" i="4" s="1"/>
  <c r="K29" i="4"/>
  <c r="K48" i="4" s="1"/>
  <c r="K17" i="4"/>
  <c r="K18" i="4" s="1"/>
  <c r="K33" i="4"/>
  <c r="K34" i="4" s="1"/>
  <c r="K25" i="4"/>
  <c r="K49" i="4" s="1"/>
  <c r="K38" i="4"/>
  <c r="K9" i="4"/>
  <c r="K21" i="4"/>
  <c r="K47" i="4" s="1"/>
  <c r="G34" i="9"/>
  <c r="F34" i="9"/>
  <c r="J21" i="9"/>
  <c r="J30" i="9" s="1"/>
  <c r="J40" i="4"/>
  <c r="J41" i="4" s="1"/>
  <c r="L1" i="4"/>
  <c r="K10" i="4"/>
  <c r="K12" i="4"/>
  <c r="K20" i="4"/>
  <c r="J42" i="4"/>
  <c r="J52" i="4"/>
  <c r="J51" i="4"/>
  <c r="J43" i="4"/>
  <c r="J47" i="4"/>
  <c r="J50" i="4"/>
  <c r="J49" i="4"/>
  <c r="J45" i="4"/>
  <c r="J36" i="4"/>
  <c r="J48" i="4"/>
  <c r="J32" i="4"/>
  <c r="J18" i="4"/>
  <c r="I36" i="9"/>
  <c r="H36" i="9"/>
  <c r="J34" i="4"/>
  <c r="I39" i="9"/>
  <c r="G36" i="9"/>
  <c r="J44" i="4"/>
  <c r="F36" i="9"/>
  <c r="F35" i="9"/>
  <c r="H35" i="9"/>
  <c r="G35" i="9"/>
  <c r="I35" i="9"/>
  <c r="A64" i="4"/>
  <c r="I38" i="9"/>
  <c r="J81" i="8"/>
  <c r="J7" i="9" s="1"/>
  <c r="J10" i="9" s="1"/>
  <c r="J19" i="9"/>
  <c r="J16" i="9" s="1"/>
  <c r="L1" i="8"/>
  <c r="K2" i="8"/>
  <c r="N65" i="4"/>
  <c r="J63" i="4"/>
  <c r="F63" i="4"/>
  <c r="I63" i="4"/>
  <c r="E63" i="4"/>
  <c r="B63" i="4"/>
  <c r="L63" i="4"/>
  <c r="D63" i="4"/>
  <c r="C63" i="4"/>
  <c r="G63" i="4"/>
  <c r="K24" i="4"/>
  <c r="K63" i="4" s="1"/>
  <c r="T2" i="4"/>
  <c r="M3" i="4"/>
  <c r="L4" i="4"/>
  <c r="K21" i="9" l="1"/>
  <c r="K30" i="9" s="1"/>
  <c r="L35" i="4"/>
  <c r="L31" i="4"/>
  <c r="L32" i="4" s="1"/>
  <c r="L27" i="4"/>
  <c r="L23" i="4"/>
  <c r="L24" i="4" s="1"/>
  <c r="L19" i="4"/>
  <c r="L15" i="4"/>
  <c r="L11" i="4"/>
  <c r="L12" i="4" s="1"/>
  <c r="L7" i="4"/>
  <c r="L39" i="4"/>
  <c r="L33" i="4"/>
  <c r="L34" i="4" s="1"/>
  <c r="L5" i="4"/>
  <c r="L6" i="4" s="1"/>
  <c r="L21" i="4"/>
  <c r="L22" i="4" s="1"/>
  <c r="L9" i="4"/>
  <c r="L10" i="4" s="1"/>
  <c r="L25" i="4"/>
  <c r="L26" i="4" s="1"/>
  <c r="L64" i="4" s="1"/>
  <c r="L38" i="4"/>
  <c r="L40" i="4" s="1"/>
  <c r="L29" i="4"/>
  <c r="L30" i="4" s="1"/>
  <c r="L17" i="4"/>
  <c r="L13" i="4"/>
  <c r="L14" i="4" s="1"/>
  <c r="K22" i="4"/>
  <c r="J64" i="4" s="1"/>
  <c r="K30" i="4"/>
  <c r="K26" i="4"/>
  <c r="L28" i="4"/>
  <c r="M64" i="4" s="1"/>
  <c r="M1" i="4"/>
  <c r="L8" i="4"/>
  <c r="K32" i="4"/>
  <c r="K43" i="4"/>
  <c r="K40" i="4"/>
  <c r="K41" i="4" s="1"/>
  <c r="L20" i="4"/>
  <c r="K6" i="4"/>
  <c r="B64" i="4" s="1"/>
  <c r="K50" i="4"/>
  <c r="K52" i="4"/>
  <c r="K36" i="4"/>
  <c r="K42" i="4"/>
  <c r="K44" i="4"/>
  <c r="K45" i="4"/>
  <c r="H63" i="4"/>
  <c r="A65" i="4"/>
  <c r="J39" i="9"/>
  <c r="K81" i="8"/>
  <c r="K7" i="9" s="1"/>
  <c r="K10" i="9" s="1"/>
  <c r="K19" i="9"/>
  <c r="K16" i="9" s="1"/>
  <c r="K20" i="9"/>
  <c r="M1" i="8"/>
  <c r="L2" i="8"/>
  <c r="L20" i="9" s="1"/>
  <c r="N66" i="4"/>
  <c r="I64" i="4"/>
  <c r="E64" i="4"/>
  <c r="H64" i="4"/>
  <c r="D64" i="4"/>
  <c r="K64" i="4"/>
  <c r="C64" i="4"/>
  <c r="F64" i="4"/>
  <c r="U2" i="4"/>
  <c r="V2" i="4" s="1"/>
  <c r="W2" i="4" s="1"/>
  <c r="X2" i="4" s="1"/>
  <c r="Y2" i="4" s="1"/>
  <c r="Z2" i="4" s="1"/>
  <c r="M4" i="4"/>
  <c r="N3" i="4"/>
  <c r="M35" i="4" l="1"/>
  <c r="M23" i="4"/>
  <c r="M24" i="4" s="1"/>
  <c r="M7" i="4"/>
  <c r="M8" i="4" s="1"/>
  <c r="M39" i="4"/>
  <c r="M31" i="4"/>
  <c r="M32" i="4" s="1"/>
  <c r="M27" i="4"/>
  <c r="M19" i="4"/>
  <c r="M15" i="4"/>
  <c r="M11" i="4"/>
  <c r="M12" i="4" s="1"/>
  <c r="M25" i="4"/>
  <c r="M5" i="4"/>
  <c r="M6" i="4" s="1"/>
  <c r="B65" i="4" s="1"/>
  <c r="M33" i="4"/>
  <c r="M34" i="4" s="1"/>
  <c r="M13" i="4"/>
  <c r="M14" i="4" s="1"/>
  <c r="M38" i="4"/>
  <c r="M21" i="4"/>
  <c r="M49" i="4" s="1"/>
  <c r="M9" i="4"/>
  <c r="M10" i="4" s="1"/>
  <c r="M29" i="4"/>
  <c r="M30" i="4" s="1"/>
  <c r="M17" i="4"/>
  <c r="L42" i="4"/>
  <c r="L52" i="4"/>
  <c r="N1" i="4"/>
  <c r="M28" i="4"/>
  <c r="L36" i="4"/>
  <c r="L41" i="4"/>
  <c r="L45" i="4"/>
  <c r="L43" i="4"/>
  <c r="L50" i="4"/>
  <c r="L44" i="4"/>
  <c r="L18" i="4"/>
  <c r="H65" i="4" s="1"/>
  <c r="L48" i="4"/>
  <c r="L49" i="4"/>
  <c r="L16" i="4"/>
  <c r="G64" i="4" s="1"/>
  <c r="L47" i="4"/>
  <c r="L51" i="4"/>
  <c r="A66" i="4"/>
  <c r="L21" i="9"/>
  <c r="L30" i="9" s="1"/>
  <c r="L19" i="9"/>
  <c r="L16" i="9" s="1"/>
  <c r="K32" i="9"/>
  <c r="K38" i="9"/>
  <c r="L32" i="9"/>
  <c r="L81" i="8"/>
  <c r="L7" i="9" s="1"/>
  <c r="L10" i="9" s="1"/>
  <c r="K39" i="9"/>
  <c r="N1" i="8"/>
  <c r="M2" i="8"/>
  <c r="N67" i="4"/>
  <c r="D65" i="4"/>
  <c r="K65" i="4"/>
  <c r="C65" i="4"/>
  <c r="J65" i="4"/>
  <c r="F65" i="4"/>
  <c r="M65" i="4"/>
  <c r="I65" i="4"/>
  <c r="E65" i="4"/>
  <c r="O3" i="4"/>
  <c r="N4" i="4"/>
  <c r="M45" i="4" l="1"/>
  <c r="M16" i="4"/>
  <c r="M42" i="4"/>
  <c r="N35" i="4"/>
  <c r="N15" i="4"/>
  <c r="N33" i="4"/>
  <c r="N23" i="4"/>
  <c r="N25" i="4"/>
  <c r="N26" i="4" s="1"/>
  <c r="N11" i="4"/>
  <c r="N12" i="4" s="1"/>
  <c r="N5" i="4"/>
  <c r="N21" i="4"/>
  <c r="N9" i="4"/>
  <c r="N10" i="4" s="1"/>
  <c r="N17" i="4"/>
  <c r="N38" i="4"/>
  <c r="N40" i="4" s="1"/>
  <c r="N39" i="4"/>
  <c r="N31" i="4"/>
  <c r="N32" i="4" s="1"/>
  <c r="N19" i="4"/>
  <c r="N13" i="4"/>
  <c r="N7" i="4"/>
  <c r="N27" i="4"/>
  <c r="N29" i="4"/>
  <c r="M18" i="4"/>
  <c r="H66" i="4" s="1"/>
  <c r="M50" i="4"/>
  <c r="M22" i="4"/>
  <c r="J66" i="4" s="1"/>
  <c r="M48" i="4"/>
  <c r="M51" i="4"/>
  <c r="N16" i="4"/>
  <c r="N34" i="4"/>
  <c r="M20" i="4"/>
  <c r="I66" i="4" s="1"/>
  <c r="N30" i="4"/>
  <c r="M40" i="4"/>
  <c r="M41" i="4" s="1"/>
  <c r="M43" i="4"/>
  <c r="G65" i="4"/>
  <c r="N14" i="4"/>
  <c r="M26" i="4"/>
  <c r="L65" i="4" s="1"/>
  <c r="M44" i="4"/>
  <c r="M52" i="4"/>
  <c r="O1" i="4"/>
  <c r="N24" i="4"/>
  <c r="N8" i="4"/>
  <c r="M36" i="4"/>
  <c r="M47" i="4"/>
  <c r="N20" i="4"/>
  <c r="L38" i="9"/>
  <c r="L39" i="9"/>
  <c r="M81" i="8"/>
  <c r="M7" i="9" s="1"/>
  <c r="M10" i="9" s="1"/>
  <c r="A67" i="4"/>
  <c r="O1" i="8"/>
  <c r="N2" i="8"/>
  <c r="N81" i="8" s="1"/>
  <c r="N7" i="9" s="1"/>
  <c r="N10" i="9" s="1"/>
  <c r="N68" i="4"/>
  <c r="K66" i="4"/>
  <c r="G66" i="4"/>
  <c r="C66" i="4"/>
  <c r="B66" i="4"/>
  <c r="F66" i="4"/>
  <c r="M66" i="4"/>
  <c r="E66" i="4"/>
  <c r="D66" i="4"/>
  <c r="P1" i="4"/>
  <c r="O4" i="4"/>
  <c r="P3" i="4"/>
  <c r="N50" i="4" l="1"/>
  <c r="O15" i="4"/>
  <c r="O25" i="4"/>
  <c r="O26" i="4" s="1"/>
  <c r="O31" i="4"/>
  <c r="O32" i="4" s="1"/>
  <c r="O7" i="4"/>
  <c r="O33" i="4"/>
  <c r="O21" i="4"/>
  <c r="O22" i="4" s="1"/>
  <c r="O9" i="4"/>
  <c r="O10" i="4" s="1"/>
  <c r="O35" i="4"/>
  <c r="O36" i="4" s="1"/>
  <c r="O29" i="4"/>
  <c r="O30" i="4" s="1"/>
  <c r="O39" i="4"/>
  <c r="O23" i="4"/>
  <c r="O24" i="4" s="1"/>
  <c r="O11" i="4"/>
  <c r="O12" i="4" s="1"/>
  <c r="O5" i="4"/>
  <c r="O6" i="4" s="1"/>
  <c r="O19" i="4"/>
  <c r="O20" i="4" s="1"/>
  <c r="O13" i="4"/>
  <c r="P14" i="4" s="1"/>
  <c r="O27" i="4"/>
  <c r="O17" i="4"/>
  <c r="O18" i="4" s="1"/>
  <c r="O38" i="4"/>
  <c r="P17" i="4"/>
  <c r="P7" i="4"/>
  <c r="P15" i="4"/>
  <c r="P5" i="4"/>
  <c r="P31" i="4"/>
  <c r="P13" i="4"/>
  <c r="P27" i="4"/>
  <c r="P9" i="4"/>
  <c r="P10" i="4" s="1"/>
  <c r="P23" i="4"/>
  <c r="P11" i="4"/>
  <c r="P19" i="4"/>
  <c r="P33" i="4"/>
  <c r="P34" i="4" s="1"/>
  <c r="P25" i="4"/>
  <c r="P21" i="4"/>
  <c r="P35" i="4"/>
  <c r="P29" i="4"/>
  <c r="P38" i="4"/>
  <c r="P39" i="4"/>
  <c r="N47" i="4"/>
  <c r="N44" i="4"/>
  <c r="N41" i="4"/>
  <c r="O34" i="4"/>
  <c r="O8" i="4"/>
  <c r="N45" i="4"/>
  <c r="N48" i="4"/>
  <c r="N42" i="4"/>
  <c r="L66" i="4"/>
  <c r="N6" i="4"/>
  <c r="B67" i="4" s="1"/>
  <c r="N18" i="4"/>
  <c r="H67" i="4" s="1"/>
  <c r="N49" i="4"/>
  <c r="N28" i="4"/>
  <c r="M67" i="4" s="1"/>
  <c r="N22" i="4"/>
  <c r="J67" i="4" s="1"/>
  <c r="N51" i="4"/>
  <c r="N43" i="4"/>
  <c r="N36" i="4"/>
  <c r="N52" i="4"/>
  <c r="A68" i="4"/>
  <c r="P1" i="8"/>
  <c r="O2" i="8"/>
  <c r="O81" i="8" s="1"/>
  <c r="O7" i="9" s="1"/>
  <c r="O10" i="9" s="1"/>
  <c r="O40" i="4"/>
  <c r="O41" i="4" s="1"/>
  <c r="N69" i="4"/>
  <c r="Q1" i="4"/>
  <c r="P8" i="4"/>
  <c r="F67" i="4"/>
  <c r="I67" i="4"/>
  <c r="E67" i="4"/>
  <c r="L67" i="4"/>
  <c r="D67" i="4"/>
  <c r="K67" i="4"/>
  <c r="G67" i="4"/>
  <c r="C67" i="4"/>
  <c r="Q3" i="4"/>
  <c r="P4" i="4"/>
  <c r="P20" i="4" l="1"/>
  <c r="P12" i="4"/>
  <c r="O45" i="4"/>
  <c r="O14" i="4"/>
  <c r="F68" i="4" s="1"/>
  <c r="O16" i="4"/>
  <c r="Q35" i="4"/>
  <c r="Q17" i="4"/>
  <c r="Q7" i="4"/>
  <c r="Q8" i="4" s="1"/>
  <c r="Q15" i="4"/>
  <c r="Q5" i="4"/>
  <c r="Q19" i="4"/>
  <c r="Q33" i="4"/>
  <c r="Q34" i="4" s="1"/>
  <c r="Q25" i="4"/>
  <c r="Q21" i="4"/>
  <c r="Q22" i="4" s="1"/>
  <c r="Q9" i="4"/>
  <c r="Q10" i="4" s="1"/>
  <c r="Q29" i="4"/>
  <c r="Q38" i="4"/>
  <c r="Q23" i="4"/>
  <c r="Q11" i="4"/>
  <c r="Q12" i="4" s="1"/>
  <c r="Q31" i="4"/>
  <c r="Q13" i="4"/>
  <c r="Q14" i="4" s="1"/>
  <c r="Q27" i="4"/>
  <c r="Q39" i="4"/>
  <c r="P22" i="4"/>
  <c r="O43" i="4"/>
  <c r="O42" i="4"/>
  <c r="O49" i="4"/>
  <c r="O50" i="4"/>
  <c r="O44" i="4"/>
  <c r="O52" i="4"/>
  <c r="O51" i="4"/>
  <c r="O48" i="4"/>
  <c r="P30" i="4"/>
  <c r="O47" i="4"/>
  <c r="O28" i="4"/>
  <c r="M68" i="4" s="1"/>
  <c r="A69" i="4"/>
  <c r="Q1" i="8"/>
  <c r="P2" i="8"/>
  <c r="P81" i="8" s="1"/>
  <c r="P7" i="9" s="1"/>
  <c r="P10" i="9" s="1"/>
  <c r="P51" i="4"/>
  <c r="P44" i="4"/>
  <c r="P47" i="4"/>
  <c r="P40" i="4"/>
  <c r="P41" i="4" s="1"/>
  <c r="P49" i="4"/>
  <c r="N70" i="4"/>
  <c r="P50" i="4"/>
  <c r="P36" i="4"/>
  <c r="P52" i="4"/>
  <c r="P45" i="4"/>
  <c r="P43" i="4"/>
  <c r="P42" i="4"/>
  <c r="P48" i="4"/>
  <c r="P32" i="4"/>
  <c r="P24" i="4"/>
  <c r="P16" i="4"/>
  <c r="P6" i="4"/>
  <c r="I68" i="4"/>
  <c r="E68" i="4"/>
  <c r="L68" i="4"/>
  <c r="H68" i="4"/>
  <c r="D68" i="4"/>
  <c r="K68" i="4"/>
  <c r="G68" i="4"/>
  <c r="C68" i="4"/>
  <c r="B68" i="4"/>
  <c r="J68" i="4"/>
  <c r="P26" i="4"/>
  <c r="R1" i="4"/>
  <c r="P18" i="4"/>
  <c r="P28" i="4"/>
  <c r="R3" i="4"/>
  <c r="Q4" i="4"/>
  <c r="R25" i="4" l="1"/>
  <c r="R38" i="4"/>
  <c r="R9" i="4"/>
  <c r="R35" i="4"/>
  <c r="R17" i="4"/>
  <c r="R7" i="4"/>
  <c r="R23" i="4"/>
  <c r="R5" i="4"/>
  <c r="R31" i="4"/>
  <c r="R13" i="4"/>
  <c r="R27" i="4"/>
  <c r="R29" i="4"/>
  <c r="R15" i="4"/>
  <c r="R11" i="4"/>
  <c r="R19" i="4"/>
  <c r="R20" i="4" s="1"/>
  <c r="R33" i="4"/>
  <c r="R21" i="4"/>
  <c r="R39" i="4"/>
  <c r="A70" i="4"/>
  <c r="R1" i="8"/>
  <c r="Q2" i="8"/>
  <c r="Q81" i="8" s="1"/>
  <c r="Q7" i="9" s="1"/>
  <c r="Q10" i="9" s="1"/>
  <c r="Q49" i="4"/>
  <c r="Q44" i="4"/>
  <c r="Q51" i="4"/>
  <c r="Q47" i="4"/>
  <c r="Q40" i="4"/>
  <c r="Q41" i="4" s="1"/>
  <c r="Q50" i="4"/>
  <c r="Q36" i="4"/>
  <c r="Q52" i="4"/>
  <c r="Q43" i="4"/>
  <c r="Q42" i="4"/>
  <c r="N71" i="4"/>
  <c r="A71" i="4" s="1"/>
  <c r="Q45" i="4"/>
  <c r="Q48" i="4"/>
  <c r="Q6" i="4"/>
  <c r="Q30" i="4"/>
  <c r="Q24" i="4"/>
  <c r="Q26" i="4"/>
  <c r="Q18" i="4"/>
  <c r="Q32" i="4"/>
  <c r="Q16" i="4"/>
  <c r="L69" i="4"/>
  <c r="H69" i="4"/>
  <c r="D69" i="4"/>
  <c r="K69" i="4"/>
  <c r="G69" i="4"/>
  <c r="C69" i="4"/>
  <c r="J69" i="4"/>
  <c r="F69" i="4"/>
  <c r="M69" i="4"/>
  <c r="I69" i="4"/>
  <c r="B69" i="4"/>
  <c r="E69" i="4"/>
  <c r="Q28" i="4"/>
  <c r="Q20" i="4"/>
  <c r="S1" i="4"/>
  <c r="R10" i="4"/>
  <c r="R4" i="4"/>
  <c r="S3" i="4"/>
  <c r="S38" i="4" l="1"/>
  <c r="S33" i="4"/>
  <c r="S34" i="4" s="1"/>
  <c r="S29" i="4"/>
  <c r="S30" i="4" s="1"/>
  <c r="S21" i="4"/>
  <c r="S22" i="4" s="1"/>
  <c r="S17" i="4"/>
  <c r="S13" i="4"/>
  <c r="S9" i="4"/>
  <c r="S5" i="4"/>
  <c r="S25" i="4"/>
  <c r="S27" i="4"/>
  <c r="S35" i="4"/>
  <c r="S7" i="4"/>
  <c r="S15" i="4"/>
  <c r="S19" i="4"/>
  <c r="S20" i="4" s="1"/>
  <c r="S23" i="4"/>
  <c r="S11" i="4"/>
  <c r="S12" i="4" s="1"/>
  <c r="S31" i="4"/>
  <c r="S39" i="4"/>
  <c r="S1" i="8"/>
  <c r="R2" i="8"/>
  <c r="R81" i="8" s="1"/>
  <c r="R7" i="9" s="1"/>
  <c r="R10" i="9" s="1"/>
  <c r="R40" i="4"/>
  <c r="R41" i="4" s="1"/>
  <c r="R51" i="4"/>
  <c r="R49" i="4"/>
  <c r="R52" i="4"/>
  <c r="R50" i="4"/>
  <c r="R36" i="4"/>
  <c r="R45" i="4"/>
  <c r="N72" i="4"/>
  <c r="R42" i="4"/>
  <c r="R43" i="4"/>
  <c r="R44" i="4"/>
  <c r="R47" i="4"/>
  <c r="R48" i="4"/>
  <c r="R32" i="4"/>
  <c r="R24" i="4"/>
  <c r="R14" i="4"/>
  <c r="R26" i="4"/>
  <c r="R12" i="4"/>
  <c r="R8" i="4"/>
  <c r="R28" i="4"/>
  <c r="R16" i="4"/>
  <c r="R34" i="4"/>
  <c r="T1" i="4"/>
  <c r="S14" i="4"/>
  <c r="S10" i="4"/>
  <c r="S8" i="4"/>
  <c r="R30" i="4"/>
  <c r="R22" i="4"/>
  <c r="K70" i="4"/>
  <c r="G70" i="4"/>
  <c r="C70" i="4"/>
  <c r="B70" i="4"/>
  <c r="J70" i="4"/>
  <c r="F70" i="4"/>
  <c r="M70" i="4"/>
  <c r="I70" i="4"/>
  <c r="E70" i="4"/>
  <c r="L70" i="4"/>
  <c r="H70" i="4"/>
  <c r="D70" i="4"/>
  <c r="R6" i="4"/>
  <c r="R18" i="4"/>
  <c r="T3" i="4"/>
  <c r="T4" i="4" s="1"/>
  <c r="S4" i="4"/>
  <c r="T38" i="4" l="1"/>
  <c r="T33" i="4"/>
  <c r="T29" i="4"/>
  <c r="T21" i="4"/>
  <c r="T22" i="4" s="1"/>
  <c r="T17" i="4"/>
  <c r="T13" i="4"/>
  <c r="T9" i="4"/>
  <c r="T10" i="4" s="1"/>
  <c r="T5" i="4"/>
  <c r="T25" i="4"/>
  <c r="T27" i="4"/>
  <c r="T7" i="4"/>
  <c r="T8" i="4" s="1"/>
  <c r="T35" i="4"/>
  <c r="T23" i="4"/>
  <c r="T19" i="4"/>
  <c r="T20" i="4" s="1"/>
  <c r="T15" i="4"/>
  <c r="T11" i="4"/>
  <c r="T12" i="4" s="1"/>
  <c r="T31" i="4"/>
  <c r="T39" i="4"/>
  <c r="S2" i="8"/>
  <c r="T1" i="8"/>
  <c r="T2" i="8" s="1"/>
  <c r="S52" i="4"/>
  <c r="N73" i="4"/>
  <c r="A72" i="4"/>
  <c r="S81" i="8"/>
  <c r="S7" i="9" s="1"/>
  <c r="J20" i="9"/>
  <c r="O19" i="9"/>
  <c r="P20" i="9"/>
  <c r="P21" i="9"/>
  <c r="P30" i="9" s="1"/>
  <c r="N19" i="9"/>
  <c r="O21" i="9"/>
  <c r="N21" i="9"/>
  <c r="P19" i="9"/>
  <c r="P16" i="9" s="1"/>
  <c r="N20" i="9"/>
  <c r="O20" i="9"/>
  <c r="O32" i="9" s="1"/>
  <c r="Q21" i="9"/>
  <c r="Q30" i="9" s="1"/>
  <c r="Q19" i="9"/>
  <c r="R19" i="9"/>
  <c r="R16" i="9" s="1"/>
  <c r="M19" i="9"/>
  <c r="M43" i="9" s="1"/>
  <c r="M20" i="9"/>
  <c r="M46" i="9" s="1"/>
  <c r="M21" i="9"/>
  <c r="Q20" i="9"/>
  <c r="R21" i="9"/>
  <c r="R20" i="9"/>
  <c r="R32" i="9" s="1"/>
  <c r="S51" i="4"/>
  <c r="S40" i="4"/>
  <c r="S41" i="4" s="1"/>
  <c r="S28" i="4"/>
  <c r="S36" i="4"/>
  <c r="S50" i="4"/>
  <c r="S48" i="4"/>
  <c r="S43" i="4"/>
  <c r="S42" i="4"/>
  <c r="S45" i="4"/>
  <c r="S47" i="4"/>
  <c r="S44" i="4"/>
  <c r="S49" i="4"/>
  <c r="S16" i="4"/>
  <c r="S18" i="4"/>
  <c r="U1" i="4"/>
  <c r="T34" i="4"/>
  <c r="T14" i="4"/>
  <c r="S24" i="4"/>
  <c r="J71" i="4"/>
  <c r="F71" i="4"/>
  <c r="M71" i="4"/>
  <c r="I71" i="4"/>
  <c r="E71" i="4"/>
  <c r="B71" i="4"/>
  <c r="L71" i="4"/>
  <c r="H71" i="4"/>
  <c r="D71" i="4"/>
  <c r="K71" i="4"/>
  <c r="G71" i="4"/>
  <c r="C71" i="4"/>
  <c r="S6" i="4"/>
  <c r="S26" i="4"/>
  <c r="S32" i="4"/>
  <c r="U3" i="4"/>
  <c r="T81" i="8" l="1"/>
  <c r="T7" i="9" s="1"/>
  <c r="T10" i="9" s="1"/>
  <c r="S21" i="9"/>
  <c r="S19" i="9"/>
  <c r="S16" i="9" s="1"/>
  <c r="T21" i="9"/>
  <c r="T20" i="9"/>
  <c r="S20" i="9"/>
  <c r="T19" i="9"/>
  <c r="T16" i="9" s="1"/>
  <c r="U29" i="4"/>
  <c r="U21" i="4"/>
  <c r="U22" i="4" s="1"/>
  <c r="U17" i="4"/>
  <c r="U13" i="4"/>
  <c r="U14" i="4" s="1"/>
  <c r="U9" i="4"/>
  <c r="U10" i="4" s="1"/>
  <c r="U5" i="4"/>
  <c r="U6" i="4" s="1"/>
  <c r="U38" i="4"/>
  <c r="U33" i="4"/>
  <c r="U34" i="4" s="1"/>
  <c r="U39" i="4"/>
  <c r="U19" i="4"/>
  <c r="U27" i="4"/>
  <c r="U7" i="4"/>
  <c r="U15" i="4"/>
  <c r="U35" i="4"/>
  <c r="U23" i="4"/>
  <c r="U31" i="4"/>
  <c r="U25" i="4"/>
  <c r="U11" i="4"/>
  <c r="U12" i="4" s="1"/>
  <c r="S10" i="9"/>
  <c r="U49" i="9"/>
  <c r="M30" i="9"/>
  <c r="M44" i="9"/>
  <c r="N39" i="9"/>
  <c r="N30" i="9"/>
  <c r="R39" i="9"/>
  <c r="R30" i="9"/>
  <c r="S30" i="9"/>
  <c r="O39" i="9"/>
  <c r="O30" i="9"/>
  <c r="P39" i="9"/>
  <c r="N32" i="9"/>
  <c r="N38" i="9"/>
  <c r="U4" i="4"/>
  <c r="V3" i="4"/>
  <c r="P32" i="9"/>
  <c r="P38" i="9"/>
  <c r="S32" i="9"/>
  <c r="S38" i="9"/>
  <c r="O38" i="9"/>
  <c r="O16" i="9"/>
  <c r="Q32" i="9"/>
  <c r="Q35" i="9"/>
  <c r="O35" i="9"/>
  <c r="N35" i="9"/>
  <c r="P35" i="9"/>
  <c r="Q38" i="9"/>
  <c r="J36" i="9"/>
  <c r="K36" i="9"/>
  <c r="C53" i="9" s="1"/>
  <c r="L36" i="9"/>
  <c r="M39" i="9"/>
  <c r="M36" i="9"/>
  <c r="J32" i="9"/>
  <c r="J38" i="9"/>
  <c r="M32" i="9"/>
  <c r="M38" i="9"/>
  <c r="K35" i="9"/>
  <c r="L35" i="9"/>
  <c r="J35" i="9"/>
  <c r="M35" i="9"/>
  <c r="M16" i="9"/>
  <c r="M34" i="9"/>
  <c r="K34" i="9"/>
  <c r="L34" i="9"/>
  <c r="J34" i="9"/>
  <c r="N16" i="9"/>
  <c r="V1" i="4"/>
  <c r="P34" i="9"/>
  <c r="Q16" i="9"/>
  <c r="N34" i="9"/>
  <c r="O34" i="9"/>
  <c r="Q34" i="9"/>
  <c r="R38" i="9"/>
  <c r="O36" i="9"/>
  <c r="P36" i="9"/>
  <c r="Q36" i="9"/>
  <c r="N36" i="9"/>
  <c r="Q39" i="9"/>
  <c r="A73" i="4"/>
  <c r="N74" i="4"/>
  <c r="T51" i="4"/>
  <c r="T48" i="4"/>
  <c r="T45" i="4"/>
  <c r="T47" i="4"/>
  <c r="T50" i="4"/>
  <c r="T36" i="4"/>
  <c r="T52" i="4"/>
  <c r="T40" i="4"/>
  <c r="T41" i="4" s="1"/>
  <c r="T18" i="4"/>
  <c r="T44" i="4"/>
  <c r="T43" i="4"/>
  <c r="T42" i="4"/>
  <c r="T49" i="4"/>
  <c r="T32" i="4"/>
  <c r="T24" i="4"/>
  <c r="U20" i="4"/>
  <c r="U8" i="4"/>
  <c r="M72" i="4"/>
  <c r="I72" i="4"/>
  <c r="E72" i="4"/>
  <c r="L72" i="4"/>
  <c r="H72" i="4"/>
  <c r="D72" i="4"/>
  <c r="K72" i="4"/>
  <c r="G72" i="4"/>
  <c r="C72" i="4"/>
  <c r="B72" i="4"/>
  <c r="J72" i="4"/>
  <c r="F72" i="4"/>
  <c r="T30" i="4"/>
  <c r="T16" i="4"/>
  <c r="T28" i="4"/>
  <c r="T26" i="4"/>
  <c r="T6" i="4"/>
  <c r="D45" i="9" l="1"/>
  <c r="T30" i="9"/>
  <c r="T39" i="9"/>
  <c r="B64" i="9" s="1"/>
  <c r="B45" i="9"/>
  <c r="B44" i="9"/>
  <c r="B43" i="9"/>
  <c r="T38" i="9"/>
  <c r="B68" i="9" s="1"/>
  <c r="T32" i="9"/>
  <c r="B59" i="9" s="1"/>
  <c r="S45" i="9"/>
  <c r="B48" i="9"/>
  <c r="S39" i="9"/>
  <c r="B62" i="9" s="1"/>
  <c r="V9" i="4"/>
  <c r="V10" i="4" s="1"/>
  <c r="V39" i="4"/>
  <c r="V38" i="4"/>
  <c r="V19" i="4"/>
  <c r="V20" i="4" s="1"/>
  <c r="V17" i="4"/>
  <c r="V5" i="4"/>
  <c r="V7" i="4"/>
  <c r="V8" i="4" s="1"/>
  <c r="V27" i="4"/>
  <c r="V15" i="4"/>
  <c r="V31" i="4"/>
  <c r="V13" i="4"/>
  <c r="V14" i="4" s="1"/>
  <c r="V33" i="4"/>
  <c r="V34" i="4" s="1"/>
  <c r="V25" i="4"/>
  <c r="V21" i="4"/>
  <c r="V22" i="4" s="1"/>
  <c r="V35" i="4"/>
  <c r="V29" i="4"/>
  <c r="V23" i="4"/>
  <c r="V11" i="4"/>
  <c r="V12" i="4" s="1"/>
  <c r="Q45" i="9"/>
  <c r="U40" i="4"/>
  <c r="U41" i="4" s="1"/>
  <c r="B54" i="9"/>
  <c r="B55" i="9"/>
  <c r="B53" i="9"/>
  <c r="E49" i="9"/>
  <c r="E50" i="9"/>
  <c r="E48" i="9"/>
  <c r="W1" i="4"/>
  <c r="C50" i="9"/>
  <c r="C48" i="9"/>
  <c r="C49" i="9"/>
  <c r="U50" i="4"/>
  <c r="U52" i="4"/>
  <c r="U18" i="4"/>
  <c r="U44" i="4"/>
  <c r="U30" i="4"/>
  <c r="U48" i="4"/>
  <c r="B49" i="9"/>
  <c r="B50" i="9"/>
  <c r="U24" i="4"/>
  <c r="U47" i="4"/>
  <c r="A74" i="4"/>
  <c r="N75" i="4"/>
  <c r="H73" i="4"/>
  <c r="M73" i="4"/>
  <c r="E73" i="4"/>
  <c r="B73" i="4"/>
  <c r="J73" i="4"/>
  <c r="G73" i="4"/>
  <c r="K73" i="4"/>
  <c r="C73" i="4"/>
  <c r="L73" i="4"/>
  <c r="D73" i="4"/>
  <c r="F73" i="4"/>
  <c r="I73" i="4"/>
  <c r="E53" i="9"/>
  <c r="E54" i="9"/>
  <c r="E55" i="9"/>
  <c r="D44" i="9"/>
  <c r="D43" i="9"/>
  <c r="U16" i="4"/>
  <c r="U45" i="4"/>
  <c r="D48" i="9"/>
  <c r="D49" i="9"/>
  <c r="D50" i="9"/>
  <c r="U26" i="4"/>
  <c r="U49" i="4"/>
  <c r="C45" i="9"/>
  <c r="C43" i="9"/>
  <c r="C44" i="9"/>
  <c r="D55" i="9"/>
  <c r="D53" i="9"/>
  <c r="D54" i="9"/>
  <c r="W3" i="4"/>
  <c r="V4" i="4"/>
  <c r="U32" i="4"/>
  <c r="U51" i="4"/>
  <c r="U43" i="4"/>
  <c r="U42" i="4"/>
  <c r="E45" i="9"/>
  <c r="E43" i="9"/>
  <c r="E44" i="9"/>
  <c r="C54" i="9"/>
  <c r="C55" i="9"/>
  <c r="U28" i="4"/>
  <c r="U36" i="4"/>
  <c r="B67" i="9" l="1"/>
  <c r="B58" i="9"/>
  <c r="B60" i="9"/>
  <c r="B63" i="9"/>
  <c r="W11" i="4"/>
  <c r="W12" i="4" s="1"/>
  <c r="W19" i="4"/>
  <c r="W20" i="4" s="1"/>
  <c r="W9" i="4"/>
  <c r="W10" i="4" s="1"/>
  <c r="W39" i="4"/>
  <c r="W38" i="4"/>
  <c r="W7" i="4"/>
  <c r="W8" i="4" s="1"/>
  <c r="W33" i="4"/>
  <c r="W34" i="4" s="1"/>
  <c r="W25" i="4"/>
  <c r="W21" i="4"/>
  <c r="W22" i="4" s="1"/>
  <c r="W17" i="4"/>
  <c r="W5" i="4"/>
  <c r="W6" i="4" s="1"/>
  <c r="W13" i="4"/>
  <c r="W27" i="4"/>
  <c r="W15" i="4"/>
  <c r="W35" i="4"/>
  <c r="W29" i="4"/>
  <c r="W23" i="4"/>
  <c r="W31" i="4"/>
  <c r="S44" i="9"/>
  <c r="S46" i="9" s="1"/>
  <c r="L55" i="9"/>
  <c r="V6" i="4"/>
  <c r="V42" i="4"/>
  <c r="V43" i="4"/>
  <c r="X3" i="4"/>
  <c r="X4" i="4" s="1"/>
  <c r="W4" i="4"/>
  <c r="V40" i="4"/>
  <c r="V41" i="4" s="1"/>
  <c r="V32" i="4"/>
  <c r="V51" i="4"/>
  <c r="V45" i="4"/>
  <c r="V16" i="4"/>
  <c r="M52" i="9"/>
  <c r="V48" i="4"/>
  <c r="V30" i="4"/>
  <c r="V44" i="4"/>
  <c r="V18" i="4"/>
  <c r="N76" i="4"/>
  <c r="A75" i="4"/>
  <c r="H74" i="4"/>
  <c r="M74" i="4"/>
  <c r="E74" i="4"/>
  <c r="B74" i="4"/>
  <c r="J74" i="4"/>
  <c r="G74" i="4"/>
  <c r="F74" i="4"/>
  <c r="L74" i="4"/>
  <c r="C74" i="4"/>
  <c r="K74" i="4"/>
  <c r="I74" i="4"/>
  <c r="D74" i="4"/>
  <c r="V28" i="4"/>
  <c r="V50" i="4"/>
  <c r="V52" i="4"/>
  <c r="V36" i="4"/>
  <c r="V49" i="4"/>
  <c r="V26" i="4"/>
  <c r="V24" i="4"/>
  <c r="V47" i="4"/>
  <c r="W14" i="4"/>
  <c r="X1" i="4"/>
  <c r="A76" i="4" l="1"/>
  <c r="N53" i="9"/>
  <c r="Q44" i="9"/>
  <c r="Q46" i="9" s="1"/>
  <c r="L54" i="9"/>
  <c r="Q49" i="9" s="1"/>
  <c r="L56" i="9"/>
  <c r="Q56" i="9"/>
  <c r="Q57" i="9" s="1"/>
  <c r="N55" i="9"/>
  <c r="Y1" i="4"/>
  <c r="Z1" i="4" s="1"/>
  <c r="X29" i="4"/>
  <c r="X39" i="4"/>
  <c r="X38" i="4"/>
  <c r="X11" i="4"/>
  <c r="X12" i="4" s="1"/>
  <c r="X9" i="4"/>
  <c r="X10" i="4" s="1"/>
  <c r="X5" i="4"/>
  <c r="X13" i="4"/>
  <c r="X14" i="4" s="1"/>
  <c r="X7" i="4"/>
  <c r="X8" i="4" s="1"/>
  <c r="X33" i="4"/>
  <c r="X34" i="4" s="1"/>
  <c r="X25" i="4"/>
  <c r="X21" i="4"/>
  <c r="X22" i="4" s="1"/>
  <c r="X17" i="4"/>
  <c r="X19" i="4"/>
  <c r="X20" i="4" s="1"/>
  <c r="X27" i="4"/>
  <c r="X35" i="4"/>
  <c r="X23" i="4"/>
  <c r="X15" i="4"/>
  <c r="X31" i="4"/>
  <c r="M56" i="9"/>
  <c r="M55" i="9"/>
  <c r="Q52" i="9"/>
  <c r="M53" i="9"/>
  <c r="W40" i="4"/>
  <c r="W41" i="4" s="1"/>
  <c r="W48" i="4"/>
  <c r="W30" i="4"/>
  <c r="W45" i="4"/>
  <c r="W16" i="4"/>
  <c r="W47" i="4"/>
  <c r="W24" i="4"/>
  <c r="W32" i="4"/>
  <c r="W51" i="4"/>
  <c r="W28" i="4"/>
  <c r="W50" i="4"/>
  <c r="W36" i="4"/>
  <c r="W52" i="4"/>
  <c r="W49" i="4"/>
  <c r="W26" i="4"/>
  <c r="W42" i="4"/>
  <c r="W43" i="4"/>
  <c r="K75" i="4"/>
  <c r="C75" i="4"/>
  <c r="H75" i="4"/>
  <c r="M75" i="4"/>
  <c r="E75" i="4"/>
  <c r="B75" i="4"/>
  <c r="J75" i="4"/>
  <c r="I75" i="4"/>
  <c r="F75" i="4"/>
  <c r="L75" i="4"/>
  <c r="G75" i="4"/>
  <c r="D75" i="4"/>
  <c r="W44" i="4"/>
  <c r="W18" i="4"/>
  <c r="N77" i="4"/>
  <c r="Y3" i="4"/>
  <c r="Z3" i="4" s="1"/>
  <c r="X40" i="4" l="1"/>
  <c r="X41" i="4" s="1"/>
  <c r="X51" i="4"/>
  <c r="X32" i="4"/>
  <c r="X45" i="4"/>
  <c r="X16" i="4"/>
  <c r="X18" i="4"/>
  <c r="X44" i="4"/>
  <c r="N78" i="4"/>
  <c r="A77" i="4"/>
  <c r="X43" i="4"/>
  <c r="X42" i="4"/>
  <c r="X6" i="4"/>
  <c r="X30" i="4"/>
  <c r="X48" i="4"/>
  <c r="X50" i="4"/>
  <c r="X52" i="4"/>
  <c r="X28" i="4"/>
  <c r="X36" i="4"/>
  <c r="X49" i="4"/>
  <c r="X26" i="4"/>
  <c r="X24" i="4"/>
  <c r="X47" i="4"/>
  <c r="Q59" i="9"/>
  <c r="U44" i="9" s="1"/>
  <c r="H77" i="4"/>
  <c r="L78" i="4"/>
  <c r="G77" i="4"/>
  <c r="K77" i="4"/>
  <c r="H78" i="4"/>
  <c r="J77" i="4"/>
  <c r="F78" i="4"/>
  <c r="I78" i="4"/>
  <c r="J78" i="4"/>
  <c r="D78" i="4"/>
  <c r="K78" i="4"/>
  <c r="G78" i="4"/>
  <c r="E78" i="4"/>
  <c r="M78" i="4"/>
  <c r="K76" i="4"/>
  <c r="C76" i="4"/>
  <c r="H76" i="4"/>
  <c r="M76" i="4"/>
  <c r="E76" i="4"/>
  <c r="B76" i="4"/>
  <c r="J76" i="4"/>
  <c r="I76" i="4"/>
  <c r="L76" i="4"/>
  <c r="G76" i="4"/>
  <c r="F76" i="4"/>
  <c r="D76" i="4"/>
  <c r="F77" i="4" l="1"/>
  <c r="E77" i="4"/>
  <c r="C77" i="4"/>
  <c r="B77" i="4"/>
  <c r="I77" i="4"/>
  <c r="L77" i="4"/>
  <c r="M77" i="4"/>
  <c r="D77" i="4"/>
  <c r="T54" i="9"/>
  <c r="V14" i="9" s="1"/>
  <c r="T49" i="9"/>
  <c r="V10" i="9" s="1"/>
  <c r="T51" i="9"/>
  <c r="V11" i="9" s="1"/>
  <c r="T53" i="9"/>
  <c r="V13" i="9" s="1"/>
  <c r="U46" i="9"/>
  <c r="T52" i="9"/>
  <c r="T50" i="9"/>
  <c r="V9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<sst xmlns="http://schemas.openxmlformats.org/spreadsheetml/2006/main" count="322" uniqueCount="260">
  <si>
    <t>Bilanço</t>
  </si>
  <si>
    <t>2024/9</t>
  </si>
  <si>
    <t>2024/6</t>
  </si>
  <si>
    <t>2024/3</t>
  </si>
  <si>
    <t>2023/12</t>
  </si>
  <si>
    <t>2023/9</t>
  </si>
  <si>
    <t>Dönen Varlıklar</t>
  </si>
  <si>
    <t xml:space="preserve">  Nakit ve Nakit Benzerleri</t>
  </si>
  <si>
    <t xml:space="preserve">  Finansal Yatırımlar</t>
  </si>
  <si>
    <t xml:space="preserve">  Ticari Alacaklar</t>
  </si>
  <si>
    <t xml:space="preserve">  Finans Sektörü Faaliyetlerinden Alacaklar</t>
  </si>
  <si>
    <t xml:space="preserve">  Diğer Alacaklar</t>
  </si>
  <si>
    <t xml:space="preserve">  Müşteri Sözleşmelerinden Doğan Varlıklar</t>
  </si>
  <si>
    <t xml:space="preserve">  Stoklar</t>
  </si>
  <si>
    <t xml:space="preserve">  Canlı Varlıklar</t>
  </si>
  <si>
    <t xml:space="preserve">  Diğer Dönen Varlıklar</t>
  </si>
  <si>
    <t xml:space="preserve">    (Ara Toplam)</t>
  </si>
  <si>
    <t xml:space="preserve">  Satış Amacıyla Elde Tutulan Duran Varlıklar</t>
  </si>
  <si>
    <t>Duran Varlıklar</t>
  </si>
  <si>
    <t xml:space="preserve">  Özkaynak Yöntemiyle Değerlenen Yatırımlar</t>
  </si>
  <si>
    <t xml:space="preserve">  Yatırım Amaçlı Gayrimenkuller</t>
  </si>
  <si>
    <t xml:space="preserve">  Kullanım Hakkı Varlıkları</t>
  </si>
  <si>
    <t xml:space="preserve">  Maddi Duran Varlıklar</t>
  </si>
  <si>
    <t xml:space="preserve">  Şerefiye</t>
  </si>
  <si>
    <t xml:space="preserve">  Maddi Olmayan Duran Varlıklar</t>
  </si>
  <si>
    <t xml:space="preserve">  Ertelenmiş Vergi Varlığı</t>
  </si>
  <si>
    <t xml:space="preserve">  Diğer Duran Varlıklar</t>
  </si>
  <si>
    <t>TOPLAM VARLIKLAR</t>
  </si>
  <si>
    <t>KAYNAKLAR</t>
  </si>
  <si>
    <t>Kısa Vadeli Yükümlülükler</t>
  </si>
  <si>
    <t xml:space="preserve">  Finansal Borçlar</t>
  </si>
  <si>
    <t xml:space="preserve">  Diğer Finansal Yükümlülükler</t>
  </si>
  <si>
    <t xml:space="preserve">  Ticari Borçlar</t>
  </si>
  <si>
    <t xml:space="preserve">  Diğer Borçlar</t>
  </si>
  <si>
    <t xml:space="preserve">  Müşteri Söz. Doğan Yük.</t>
  </si>
  <si>
    <t xml:space="preserve">  Finans Sektörü Faaliyetlerinden Borçlar</t>
  </si>
  <si>
    <t xml:space="preserve">  Devlet Teşvik ve Yardımları</t>
  </si>
  <si>
    <t xml:space="preserve">  Ertelenmiş Gelirler (Müşteri Söz. Doğan Yük. Dış.Kal.)</t>
  </si>
  <si>
    <t xml:space="preserve">  Dönem Karı Vergi Yükümlülüğü</t>
  </si>
  <si>
    <t xml:space="preserve">  Borç Karşılıkları</t>
  </si>
  <si>
    <t xml:space="preserve">  Diğer Kısa Vadeli Yükümlülükler</t>
  </si>
  <si>
    <t xml:space="preserve">  Satış Amaçlı Elde Tutulan Duran Varlıklara İlişkin Yükümlülükler</t>
  </si>
  <si>
    <t>Uzun Vadeli Yükümlülükler</t>
  </si>
  <si>
    <t xml:space="preserve">  Müşteri Söz.Doğan Yük.</t>
  </si>
  <si>
    <t xml:space="preserve">  Ertelenmiş Gelirler (Müşteri Söz.Doğan Yük. Dış.Kal.)</t>
  </si>
  <si>
    <t xml:space="preserve">    Uzun vadeli karşılıklar</t>
  </si>
  <si>
    <t xml:space="preserve">  Çalışanlara Sağlanan Faydalara İliş.Karş.</t>
  </si>
  <si>
    <t xml:space="preserve">  Ertelenmiş Vergi Yükümlülüğü</t>
  </si>
  <si>
    <t xml:space="preserve">  Diğer Uzun Vadeli Yükümlülükler</t>
  </si>
  <si>
    <t>Özkaynaklar</t>
  </si>
  <si>
    <t xml:space="preserve">  Ana Ortaklığa Ait Özkaynaklar</t>
  </si>
  <si>
    <t xml:space="preserve">  Ödenmiş Sermaye</t>
  </si>
  <si>
    <t xml:space="preserve">  Karşılıklı İştirak Sermayesi Düzeltmesi (-)</t>
  </si>
  <si>
    <t xml:space="preserve">  Hisse Senedi İhraç Primleri</t>
  </si>
  <si>
    <t xml:space="preserve">  Değer Artış Fonları</t>
  </si>
  <si>
    <t xml:space="preserve">  Yabancı Para Çevrim Farkları</t>
  </si>
  <si>
    <t xml:space="preserve">  Kardan Ayrılan Kısıtlanmış Yedekler</t>
  </si>
  <si>
    <t xml:space="preserve">  Geçmiş Yıllar Kar/Zararları</t>
  </si>
  <si>
    <t xml:space="preserve">  Dönem Net Kar/Zararı</t>
  </si>
  <si>
    <t xml:space="preserve">  Diğer Özsermaye Kalemleri</t>
  </si>
  <si>
    <t xml:space="preserve">  Azınlık Payları</t>
  </si>
  <si>
    <t>TOPLAM KAYNAKLAR</t>
  </si>
  <si>
    <t>Sürdürülen Faaliyetler</t>
  </si>
  <si>
    <t>Satış Gelirleri</t>
  </si>
  <si>
    <t>Satışların Maliyeti (-)</t>
  </si>
  <si>
    <t>Ticari Faaliyetlerden Diğer Kar (Zarar)</t>
  </si>
  <si>
    <t>Ticari Faaliyetlerden Brüt Kar (Zarar)</t>
  </si>
  <si>
    <t>Faiz, Ücret, Prim, Komisyon ve Diğer Gelirler</t>
  </si>
  <si>
    <t>Faiz, Ücret, Prim, Komisyon ve Diğer Giderler (-)</t>
  </si>
  <si>
    <t>Finans Sektörü Faaliyetlerinden Diğer Kar (Zarar)</t>
  </si>
  <si>
    <t>Finans Sektörü Faaliyetlerinden Brüt Kar (Zarar)</t>
  </si>
  <si>
    <t>Diğer Gelir ve Giderler</t>
  </si>
  <si>
    <t>BRÜT KAR (ZARAR)</t>
  </si>
  <si>
    <t>Pazarlama, Satış ve Dağıtım Giderleri (-)</t>
  </si>
  <si>
    <t>Genel Yönetim Giderleri (-)</t>
  </si>
  <si>
    <t>Araştırma ve Geliştirme Giderleri (-)</t>
  </si>
  <si>
    <t>Diğer Faaliyet Gelirleri</t>
  </si>
  <si>
    <t>Diğer Faaliyet Giderleri (-)</t>
  </si>
  <si>
    <t>Faaliyet Karı Öncesi Diğer Gelir ve Giderler</t>
  </si>
  <si>
    <t>FAALİYET KARI (ZARARI)</t>
  </si>
  <si>
    <t>Net Faaliyet Kar/Zararı</t>
  </si>
  <si>
    <t xml:space="preserve">  Yatırım Faaliyetlerinden Gelirler</t>
  </si>
  <si>
    <t xml:space="preserve">  Yatırım Faaliyetlerinden Giderler (-)</t>
  </si>
  <si>
    <t xml:space="preserve">  Diğer Gelir ve Giderler</t>
  </si>
  <si>
    <t>Özkaynak Yöntemiyle Değerlenen Yatırımların Kar/Zararlarındaki Paylar</t>
  </si>
  <si>
    <t>Finansman Gideri Öncesi Faaliyet Karı/Zararı</t>
  </si>
  <si>
    <t>(Esas Faaliyet Dışı) Finansal Gelirler</t>
  </si>
  <si>
    <t>(Esas Faaliyet Dışı) Finansal Giderler (-)</t>
  </si>
  <si>
    <t>Vergi Öncesi Diğer Gelir ve Giderler</t>
  </si>
  <si>
    <t>SÜRDÜRÜLEN FAALİYETLER VERGİ ÖNCESİ KARI (ZARARI)</t>
  </si>
  <si>
    <t>Sürdürülen Faaliyetler Vergi Geliri (Gideri)</t>
  </si>
  <si>
    <t xml:space="preserve">  Dönem Vergi Geliri (Gideri)</t>
  </si>
  <si>
    <t xml:space="preserve">  Ertelenmiş Vergi Geliri (Gideri)</t>
  </si>
  <si>
    <t xml:space="preserve">  Diğer Vergi Geliri (Gideri)</t>
  </si>
  <si>
    <t>SÜRDÜRÜLEN FAALİYETLER DÖNEM KARI/ZARARI</t>
  </si>
  <si>
    <t>DURDURULAN FAALİYETLER</t>
  </si>
  <si>
    <t>Durdurulan Faaliyetler Vergi Sonrası Dönem Karı (Zararı)</t>
  </si>
  <si>
    <t>DÖNEM KARI (ZARARI)</t>
  </si>
  <si>
    <t>Dönem Kar/Zararının Dağılımı</t>
  </si>
  <si>
    <t>Azınlık Payları</t>
  </si>
  <si>
    <t>Ana Ortaklık Payları</t>
  </si>
  <si>
    <t>Hisse Başına Kazanç</t>
  </si>
  <si>
    <t>Seyreltilmiş Hisse Başına Kazanç</t>
  </si>
  <si>
    <t>Sürdürülen Faaliyetlerden Hisse Başına Kazanç</t>
  </si>
  <si>
    <t>Sürdürülen Faaliyetlerden Seyreltilmiş Hisse Başına Kazanç</t>
  </si>
  <si>
    <t>Amortisman Giderleri</t>
  </si>
  <si>
    <t>Kıdem Tazminatı</t>
  </si>
  <si>
    <t>Finansman Giderleri</t>
  </si>
  <si>
    <t>Yurtiçi Satışlar</t>
  </si>
  <si>
    <t>Yurtdışı Satışlar</t>
  </si>
  <si>
    <t>Net Yabancı Para Pozisyonu</t>
  </si>
  <si>
    <t>Parasal net yabancı para varlık/(yükümlülük) pozisyonu</t>
  </si>
  <si>
    <t>Net YPP (Hedge Dahil)</t>
  </si>
  <si>
    <t xml:space="preserve"> İşletme Faaliyetlerinden Kaynaklanan Net Nakit</t>
  </si>
  <si>
    <t xml:space="preserve"> Düzeltme Öncesi Kar</t>
  </si>
  <si>
    <t xml:space="preserve"> Düzeltmeler:</t>
  </si>
  <si>
    <t xml:space="preserve">  Amortisman &amp; İtfa Payları</t>
  </si>
  <si>
    <t xml:space="preserve">  Karşılıklardaki Değişim</t>
  </si>
  <si>
    <t xml:space="preserve">  Diğer Gelir/ Gider</t>
  </si>
  <si>
    <t xml:space="preserve"> İşletme Sermayesinde Değişikler Öncesi Faaliyet Karı (+)</t>
  </si>
  <si>
    <t xml:space="preserve">  İşletme Sermayesindeki Değişiklikler</t>
  </si>
  <si>
    <t xml:space="preserve"> Esas Faaliyet ile İlgili Oluşan Nakit (+)</t>
  </si>
  <si>
    <t xml:space="preserve">  Diğer İşletme Faaliyetlerinden Nakit</t>
  </si>
  <si>
    <t xml:space="preserve">  Sabit Sermaye Yatırımları</t>
  </si>
  <si>
    <t xml:space="preserve">  Diğer Yatırım Faaliyetlerinden Nakit</t>
  </si>
  <si>
    <t xml:space="preserve"> Yatırım Faaliyetlerinden Kaynaklanan Nakit</t>
  </si>
  <si>
    <t>Serbest Nakit Akım</t>
  </si>
  <si>
    <t>Finansal Borçlardaki Değişim</t>
  </si>
  <si>
    <t>Temettü Ödemeleri</t>
  </si>
  <si>
    <t>Sermaye Artırımı</t>
  </si>
  <si>
    <t>Diğer Finansman Faaliyetlerinden Nakit</t>
  </si>
  <si>
    <t>Finansman Faaliyetlerden Kaynaklanan Nakit</t>
  </si>
  <si>
    <t>Yab. Para Çev. Fark. Etk. Önc.Nak.Ve Nak. Benz. Net Artış/Azalış</t>
  </si>
  <si>
    <t xml:space="preserve"> Yab.ı Para Çevrim Fark. Nakit Ve Nakit Benz. Üzerindeki Etkisi</t>
  </si>
  <si>
    <t xml:space="preserve"> Diğer Nakit Girişi/Çıkışı</t>
  </si>
  <si>
    <t>Nakit ve Benzerlerindeki Değişim</t>
  </si>
  <si>
    <t>Diğer Nakit ve Nakit Benzerlerindeki Artış</t>
  </si>
  <si>
    <t>Dönem Başı Nakit Değerler</t>
  </si>
  <si>
    <t>Dönem Sonu Nakit</t>
  </si>
  <si>
    <t>%</t>
  </si>
  <si>
    <t>Cari Oran</t>
  </si>
  <si>
    <t>Net İşletme Sermayesi</t>
  </si>
  <si>
    <t>Hazır Değerler</t>
  </si>
  <si>
    <t>Hazır Değerler Oranı</t>
  </si>
  <si>
    <t>Finansal Kaldıraç Oranı</t>
  </si>
  <si>
    <t>Finansman (Özkaynak Yeterlilik) Oranı</t>
  </si>
  <si>
    <t>Brüt Karlılık Oranı</t>
  </si>
  <si>
    <t>Net Faaliyet Kar Oranı</t>
  </si>
  <si>
    <t>Faaliyet Kar Oranı</t>
  </si>
  <si>
    <t>Dönem Net Kar Oranı</t>
  </si>
  <si>
    <t>FAVÖK</t>
  </si>
  <si>
    <t>FAVÖK Marjı</t>
  </si>
  <si>
    <t>Aktif (Varlıkların) Karlılığı</t>
  </si>
  <si>
    <t>HBK</t>
  </si>
  <si>
    <t>Dönem</t>
  </si>
  <si>
    <t>HİSSE TL FİYATI</t>
  </si>
  <si>
    <t>HİSSE SAYISI</t>
  </si>
  <si>
    <t>PİYASA DEĞERİ</t>
  </si>
  <si>
    <t>FİRMA DEĞERİ</t>
  </si>
  <si>
    <t>PD/DD</t>
  </si>
  <si>
    <t>F/K</t>
  </si>
  <si>
    <t>FD/FAVÖK</t>
  </si>
  <si>
    <t>PD/NFK</t>
  </si>
  <si>
    <t>FD/NS</t>
  </si>
  <si>
    <t>NFK/PD</t>
  </si>
  <si>
    <t>2024/12</t>
  </si>
  <si>
    <t>Net İşletme Sermayesi Analizi</t>
  </si>
  <si>
    <t>Ortalama Ticari Alacaklar</t>
  </si>
  <si>
    <t>KDV Hariç Ortalama Ticari Alacak</t>
  </si>
  <si>
    <t>KDV Oranı</t>
  </si>
  <si>
    <t>Ticari Alacak Devir Hızı</t>
  </si>
  <si>
    <t>Ticari Alacak Devir Süresi (Gün)</t>
  </si>
  <si>
    <t>Ortalama Stoklar</t>
  </si>
  <si>
    <t>Stok Devir Hızı</t>
  </si>
  <si>
    <t>Stok Devir Süresi (Gün)</t>
  </si>
  <si>
    <t>Ortalama Ticari Borçlar</t>
  </si>
  <si>
    <t>KDV Hariç Ortalama Ticari Borçlar</t>
  </si>
  <si>
    <t>Ticari Borç Devir Hızı</t>
  </si>
  <si>
    <t>Ticari Borç Devir Süresi (gün)</t>
  </si>
  <si>
    <t>Net İşletme Sermayesi İhtiyaç Süresi</t>
  </si>
  <si>
    <t>Net İşletme Sermayesi İhtiyacı</t>
  </si>
  <si>
    <t>Mevcut Net İşletme Sermayesi</t>
  </si>
  <si>
    <t>2023/6</t>
  </si>
  <si>
    <t>2023/3</t>
  </si>
  <si>
    <t>Değişim %</t>
  </si>
  <si>
    <t>2025/3</t>
  </si>
  <si>
    <t>2022/12</t>
  </si>
  <si>
    <t>2025/6</t>
  </si>
  <si>
    <t>2022/9</t>
  </si>
  <si>
    <t>2022/6</t>
  </si>
  <si>
    <t>2022/3</t>
  </si>
  <si>
    <t>2021/12</t>
  </si>
  <si>
    <t>2021/9</t>
  </si>
  <si>
    <t>2021/6</t>
  </si>
  <si>
    <t>2021/3</t>
  </si>
  <si>
    <t>2020/12</t>
  </si>
  <si>
    <t>2020/9</t>
  </si>
  <si>
    <t>2020/6</t>
  </si>
  <si>
    <t>2020/3</t>
  </si>
  <si>
    <t>Yıllık</t>
  </si>
  <si>
    <t>Favök</t>
  </si>
  <si>
    <t>Net Kar</t>
  </si>
  <si>
    <t>Çeyreklik</t>
  </si>
  <si>
    <t>Yıllık Satışlardaki Payları</t>
  </si>
  <si>
    <t>Yıllık Net Kardaki Payları</t>
  </si>
  <si>
    <t>Yıllık FAVÖKdeki Payları</t>
  </si>
  <si>
    <t>Net Kar Marjı</t>
  </si>
  <si>
    <t>Medyan</t>
  </si>
  <si>
    <t>Q1</t>
  </si>
  <si>
    <t>Q2</t>
  </si>
  <si>
    <t>Q3</t>
  </si>
  <si>
    <t>Q4</t>
  </si>
  <si>
    <t>Ortalama</t>
  </si>
  <si>
    <t>STD</t>
  </si>
  <si>
    <t>Ciro</t>
  </si>
  <si>
    <t xml:space="preserve"> Gerçekleşen Veriler</t>
  </si>
  <si>
    <t>Total</t>
  </si>
  <si>
    <t>Büyüme</t>
  </si>
  <si>
    <t>Net Borç</t>
  </si>
  <si>
    <t xml:space="preserve"> Tahmini  Veriler - 2024</t>
  </si>
  <si>
    <t>Marj</t>
  </si>
  <si>
    <t>Net Borç/FAVÖK</t>
  </si>
  <si>
    <t>STD Net Borç/FAVÖK</t>
  </si>
  <si>
    <t>Medyan Net Borç/FAVÖK</t>
  </si>
  <si>
    <t>Ortalama Net Borç/FAVÖK</t>
  </si>
  <si>
    <t>FK'ya Göre Tahminler</t>
  </si>
  <si>
    <t>PD/NS'ye Göre Tahminler</t>
  </si>
  <si>
    <t>Fiyat Tahmini</t>
  </si>
  <si>
    <t>HSBNS</t>
  </si>
  <si>
    <t>Tahmini Fiyat</t>
  </si>
  <si>
    <t>F/K Ortalaması</t>
  </si>
  <si>
    <t>PD/NS Ortalaması</t>
  </si>
  <si>
    <t>Şuanki Fiyat</t>
  </si>
  <si>
    <t>İskonto</t>
  </si>
  <si>
    <t>PD/DD'ye Göre Tahminler</t>
  </si>
  <si>
    <t>Özsermaye</t>
  </si>
  <si>
    <t>PD/DD Ortalaması</t>
  </si>
  <si>
    <t>Ödenmiş Sermaye</t>
  </si>
  <si>
    <t xml:space="preserve"> FD/FAVÖK'e Göre Tahminler</t>
  </si>
  <si>
    <t>FD/FAVOK ort.</t>
  </si>
  <si>
    <t>Beklenen FD</t>
  </si>
  <si>
    <t>Beklenen PD</t>
  </si>
  <si>
    <t>PD/NS</t>
  </si>
  <si>
    <t>Özsermaye Karlılığı</t>
  </si>
  <si>
    <t>Ortalama Net kar marjı</t>
  </si>
  <si>
    <t>Medyan Net Kar marjı</t>
  </si>
  <si>
    <t>STD Net Kar marjı</t>
  </si>
  <si>
    <t>Ortalama FAVÖK marjı</t>
  </si>
  <si>
    <t>Medyan FAVÖK marjı</t>
  </si>
  <si>
    <t>STD FAVÖK marjı</t>
  </si>
  <si>
    <t>Tahmini Fk</t>
  </si>
  <si>
    <t>Tahmini PD/DD</t>
  </si>
  <si>
    <t>Tahmini FD/FAVÖK</t>
  </si>
  <si>
    <t>Tahmini PD/NS</t>
  </si>
  <si>
    <t>Tahmini FD/NS</t>
  </si>
  <si>
    <t>Amorttisman/FAVÖK</t>
  </si>
  <si>
    <t>Ort amortisman/Favök</t>
  </si>
  <si>
    <t>Tahmini Faliyet Karı</t>
  </si>
  <si>
    <t>Tahmini NFK/PD</t>
  </si>
  <si>
    <t>2025/9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</si>
</sst>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#,##0_ ;[Red]\-#,##0\ "/>
    <numFmt numFmtId="167" formatCode="_-* #,##0.0_-;\-* #,##0.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10"/>
      <color theme="1"/>
      <name val="Consolas"/>
      <family val="3"/>
      <charset val="162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1" applyNumberFormat="1" applyFont="1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43" fontId="0" fillId="0" borderId="0" xfId="1" applyFont="1"/>
    <xf numFmtId="0" fontId="3" fillId="0" borderId="0" xfId="0" applyFont="1"/>
    <xf numFmtId="164" fontId="0" fillId="0" borderId="5" xfId="1" applyNumberFormat="1" applyFont="1" applyBorder="1"/>
    <xf numFmtId="165" fontId="0" fillId="0" borderId="5" xfId="2" applyNumberFormat="1" applyFont="1" applyBorder="1"/>
    <xf numFmtId="0" fontId="3" fillId="0" borderId="6" xfId="0" applyFont="1" applyBorder="1"/>
    <xf numFmtId="164" fontId="0" fillId="0" borderId="6" xfId="1" applyNumberFormat="1" applyFont="1" applyBorder="1"/>
    <xf numFmtId="165" fontId="0" fillId="0" borderId="6" xfId="2" applyNumberFormat="1" applyFont="1" applyBorder="1"/>
    <xf numFmtId="0" fontId="3" fillId="0" borderId="5" xfId="0" applyFont="1" applyBorder="1"/>
    <xf numFmtId="0" fontId="3" fillId="0" borderId="7" xfId="0" applyFont="1" applyBorder="1"/>
    <xf numFmtId="164" fontId="0" fillId="0" borderId="7" xfId="1" applyNumberFormat="1" applyFont="1" applyBorder="1"/>
    <xf numFmtId="165" fontId="0" fillId="0" borderId="7" xfId="2" applyNumberFormat="1" applyFont="1" applyBorder="1"/>
    <xf numFmtId="0" fontId="3" fillId="2" borderId="2" xfId="0" applyFont="1" applyFill="1" applyBorder="1"/>
    <xf numFmtId="0" fontId="3" fillId="2" borderId="3" xfId="0" applyFont="1" applyFill="1" applyBorder="1"/>
    <xf numFmtId="164" fontId="3" fillId="2" borderId="3" xfId="1" applyNumberFormat="1" applyFont="1" applyFill="1" applyBorder="1"/>
    <xf numFmtId="0" fontId="3" fillId="2" borderId="4" xfId="0" applyFont="1" applyFill="1" applyBorder="1"/>
    <xf numFmtId="9" fontId="0" fillId="0" borderId="0" xfId="0" applyNumberFormat="1"/>
    <xf numFmtId="43" fontId="0" fillId="0" borderId="0" xfId="0" applyNumberFormat="1"/>
    <xf numFmtId="166" fontId="0" fillId="0" borderId="0" xfId="0" applyNumberFormat="1"/>
    <xf numFmtId="14" fontId="4" fillId="0" borderId="0" xfId="0" applyNumberFormat="1" applyFont="1" applyAlignment="1">
      <alignment horizontal="left" vertical="center"/>
    </xf>
    <xf numFmtId="167" fontId="0" fillId="0" borderId="0" xfId="1" applyNumberFormat="1" applyFont="1"/>
    <xf numFmtId="43" fontId="0" fillId="0" borderId="0" xfId="1" applyNumberFormat="1" applyFont="1"/>
    <xf numFmtId="10" fontId="0" fillId="0" borderId="0" xfId="2" applyNumberFormat="1" applyFont="1"/>
    <xf numFmtId="43" fontId="0" fillId="3" borderId="0" xfId="1" applyNumberFormat="1" applyFont="1" applyFill="1"/>
    <xf numFmtId="43" fontId="0" fillId="4" borderId="0" xfId="1" applyNumberFormat="1" applyFont="1" applyFill="1"/>
    <xf numFmtId="43" fontId="0" fillId="5" borderId="0" xfId="1" applyNumberFormat="1" applyFont="1" applyFill="1"/>
    <xf numFmtId="43" fontId="0" fillId="6" borderId="0" xfId="1" applyNumberFormat="1" applyFont="1" applyFill="1"/>
    <xf numFmtId="167" fontId="0" fillId="0" borderId="0" xfId="0" applyNumberFormat="1"/>
    <xf numFmtId="0" fontId="3" fillId="0" borderId="1" xfId="0" applyFont="1" applyBorder="1"/>
    <xf numFmtId="2" fontId="0" fillId="0" borderId="1" xfId="0" applyNumberFormat="1" applyBorder="1"/>
    <xf numFmtId="0" fontId="0" fillId="0" borderId="1" xfId="0" applyBorder="1"/>
    <xf numFmtId="0" fontId="0" fillId="7" borderId="1" xfId="0" applyFill="1" applyBorder="1"/>
    <xf numFmtId="9" fontId="0" fillId="0" borderId="1" xfId="2" applyFont="1" applyBorder="1"/>
    <xf numFmtId="3" fontId="0" fillId="0" borderId="1" xfId="0" applyNumberFormat="1" applyBorder="1"/>
    <xf numFmtId="164" fontId="0" fillId="0" borderId="1" xfId="1" applyNumberFormat="1" applyFont="1" applyBorder="1"/>
    <xf numFmtId="10" fontId="0" fillId="0" borderId="0" xfId="1" applyNumberFormat="1" applyFont="1"/>
    <xf numFmtId="0" fontId="5" fillId="0" borderId="1" xfId="0" applyFont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Normal" xfId="0" builtinId="0"/>
    <cellStyle name="Virgül" xfId="1" builtinId="3"/>
    <cellStyle name="Yüzd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Bilanço!$A$157</c:f>
              <c:strCache>
                <c:ptCount val="1"/>
                <c:pt idx="0">
                  <c:v>Ticari Alacak Devir Hızı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Bilanço!$F$153:$X$153</c:f>
              <c:strCache>
                <c:ptCount val="19"/>
                <c:pt idx="0">
                  <c:v>2021/3</c:v>
                </c:pt>
                <c:pt idx="1">
                  <c:v>2021/6</c:v>
                </c:pt>
                <c:pt idx="2">
                  <c:v>2021/9</c:v>
                </c:pt>
                <c:pt idx="3">
                  <c:v>2021/12</c:v>
                </c:pt>
                <c:pt idx="4">
                  <c:v>2022/3</c:v>
                </c:pt>
                <c:pt idx="5">
                  <c:v>2022/6</c:v>
                </c:pt>
                <c:pt idx="6">
                  <c:v>2022/9</c:v>
                </c:pt>
                <c:pt idx="7">
                  <c:v>2022/12</c:v>
                </c:pt>
                <c:pt idx="8">
                  <c:v>2023/3</c:v>
                </c:pt>
                <c:pt idx="9">
                  <c:v>2023/6</c:v>
                </c:pt>
                <c:pt idx="10">
                  <c:v>2023/9</c:v>
                </c:pt>
                <c:pt idx="11">
                  <c:v>2023/12</c:v>
                </c:pt>
                <c:pt idx="12">
                  <c:v>2024/3</c:v>
                </c:pt>
                <c:pt idx="13">
                  <c:v>2024/6</c:v>
                </c:pt>
                <c:pt idx="14">
                  <c:v>2024/9</c:v>
                </c:pt>
                <c:pt idx="15">
                  <c:v>2024/12</c:v>
                </c:pt>
                <c:pt idx="16">
                  <c:v>2025/3</c:v>
                </c:pt>
                <c:pt idx="17">
                  <c:v>2025/6</c:v>
                </c:pt>
                <c:pt idx="18">
                  <c:v>2025/9</c:v>
                </c:pt>
              </c:strCache>
            </c:strRef>
          </c:cat>
          <c:val>
            <c:numRef>
              <c:f>Bilanço!$F$157:$X$157</c:f>
              <c:numCache>
                <c:formatCode>_(* #,##0.00_);_(* \(#,##0.00\);_(* "-"??_);_(@_)</c:formatCode>
                <c:ptCount val="19"/>
                <c:pt idx="0">
                  <c:v>4.2093782708483323</c:v>
                </c:pt>
                <c:pt idx="1">
                  <c:v>4.096892418283435</c:v>
                </c:pt>
                <c:pt idx="2">
                  <c:v>4.0006252345334854</c:v>
                </c:pt>
                <c:pt idx="3">
                  <c:v>3.8675239343997636</c:v>
                </c:pt>
                <c:pt idx="4">
                  <c:v>5.3590533521295169</c:v>
                </c:pt>
                <c:pt idx="5">
                  <c:v>5.4411561806730813</c:v>
                </c:pt>
                <c:pt idx="6">
                  <c:v>5.2318228591736862</c:v>
                </c:pt>
                <c:pt idx="7">
                  <c:v>7.3986290745274523</c:v>
                </c:pt>
                <c:pt idx="8">
                  <c:v>8.3196273058006458</c:v>
                </c:pt>
                <c:pt idx="9">
                  <c:v>8.3398457851256076</c:v>
                </c:pt>
                <c:pt idx="10">
                  <c:v>7.7893887842185885</c:v>
                </c:pt>
                <c:pt idx="11">
                  <c:v>6.537301036603183</c:v>
                </c:pt>
                <c:pt idx="12">
                  <c:v>7.6932544557515836</c:v>
                </c:pt>
                <c:pt idx="13">
                  <c:v>7.2797730871461326</c:v>
                </c:pt>
                <c:pt idx="14">
                  <c:v>6.9000170480828986</c:v>
                </c:pt>
                <c:pt idx="15">
                  <c:v>5.6395057285932699</c:v>
                </c:pt>
                <c:pt idx="16">
                  <c:v>4.7192236161110817</c:v>
                </c:pt>
                <c:pt idx="17">
                  <c:v>4.5909725076038796</c:v>
                </c:pt>
                <c:pt idx="18">
                  <c:v>4.5362842964181764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9A-4A87-B333-6BBB5CA54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140752"/>
        <c:axId val="259137392"/>
      </c:lineChart>
      <c:catAx>
        <c:axId val="25914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59137392"/>
        <c:crosses val="autoZero"/>
        <c:auto val="1"/>
        <c:lblAlgn val="ctr"/>
        <c:lblOffset val="100"/>
        <c:noMultiLvlLbl val="0"/>
      </c:catAx>
      <c:valAx>
        <c:axId val="2591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5914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Bilanço!$A$161</c:f>
              <c:strCache>
                <c:ptCount val="1"/>
                <c:pt idx="0">
                  <c:v>Stok Devir Hızı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Bilanço!$F$153:$X$153</c:f>
              <c:strCache>
                <c:ptCount val="19"/>
                <c:pt idx="0">
                  <c:v>2021/3</c:v>
                </c:pt>
                <c:pt idx="1">
                  <c:v>2021/6</c:v>
                </c:pt>
                <c:pt idx="2">
                  <c:v>2021/9</c:v>
                </c:pt>
                <c:pt idx="3">
                  <c:v>2021/12</c:v>
                </c:pt>
                <c:pt idx="4">
                  <c:v>2022/3</c:v>
                </c:pt>
                <c:pt idx="5">
                  <c:v>2022/6</c:v>
                </c:pt>
                <c:pt idx="6">
                  <c:v>2022/9</c:v>
                </c:pt>
                <c:pt idx="7">
                  <c:v>2022/12</c:v>
                </c:pt>
                <c:pt idx="8">
                  <c:v>2023/3</c:v>
                </c:pt>
                <c:pt idx="9">
                  <c:v>2023/6</c:v>
                </c:pt>
                <c:pt idx="10">
                  <c:v>2023/9</c:v>
                </c:pt>
                <c:pt idx="11">
                  <c:v>2023/12</c:v>
                </c:pt>
                <c:pt idx="12">
                  <c:v>2024/3</c:v>
                </c:pt>
                <c:pt idx="13">
                  <c:v>2024/6</c:v>
                </c:pt>
                <c:pt idx="14">
                  <c:v>2024/9</c:v>
                </c:pt>
                <c:pt idx="15">
                  <c:v>2024/12</c:v>
                </c:pt>
                <c:pt idx="16">
                  <c:v>2025/3</c:v>
                </c:pt>
                <c:pt idx="17">
                  <c:v>2025/6</c:v>
                </c:pt>
                <c:pt idx="18">
                  <c:v>2025/9</c:v>
                </c:pt>
              </c:strCache>
            </c:strRef>
          </c:cat>
          <c:val>
            <c:numRef>
              <c:f>Bilanço!$F$161:$X$161</c:f>
              <c:numCache>
                <c:formatCode>_(* #,##0.00_);_(* \(#,##0.00\);_(* "-"??_);_(@_)</c:formatCode>
                <c:ptCount val="19"/>
                <c:pt idx="0">
                  <c:v>5.8561814807025883</c:v>
                </c:pt>
                <c:pt idx="1">
                  <c:v>5.8243750839700628</c:v>
                </c:pt>
                <c:pt idx="2">
                  <c:v>4.3252192652733923</c:v>
                </c:pt>
                <c:pt idx="3">
                  <c:v>3.6322765013006482</c:v>
                </c:pt>
                <c:pt idx="4">
                  <c:v>4.638065328148687</c:v>
                </c:pt>
                <c:pt idx="5">
                  <c:v>4.4439903974393173</c:v>
                </c:pt>
                <c:pt idx="6">
                  <c:v>4.2105491421903274</c:v>
                </c:pt>
                <c:pt idx="7">
                  <c:v>6.9287348583656128</c:v>
                </c:pt>
                <c:pt idx="8">
                  <c:v>7.4232914685327236</c:v>
                </c:pt>
                <c:pt idx="9">
                  <c:v>7.2083122477904222</c:v>
                </c:pt>
                <c:pt idx="10">
                  <c:v>6.9507051121633658</c:v>
                </c:pt>
                <c:pt idx="11">
                  <c:v>5.5507117869806857</c:v>
                </c:pt>
                <c:pt idx="12">
                  <c:v>6.9781751815656383</c:v>
                </c:pt>
                <c:pt idx="13">
                  <c:v>6.0154466281655719</c:v>
                </c:pt>
                <c:pt idx="14">
                  <c:v>6.2423357191804101</c:v>
                </c:pt>
                <c:pt idx="15">
                  <c:v>5.4939571823064268</c:v>
                </c:pt>
                <c:pt idx="16">
                  <c:v>4.2304809482196886</c:v>
                </c:pt>
                <c:pt idx="17">
                  <c:v>3.7282917402927143</c:v>
                </c:pt>
                <c:pt idx="18">
                  <c:v>3.9747247076566579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90-4B20-8167-D5CB23C10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140752"/>
        <c:axId val="259137392"/>
      </c:lineChart>
      <c:catAx>
        <c:axId val="25914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59137392"/>
        <c:crosses val="autoZero"/>
        <c:auto val="1"/>
        <c:lblAlgn val="ctr"/>
        <c:lblOffset val="100"/>
        <c:noMultiLvlLbl val="0"/>
      </c:catAx>
      <c:valAx>
        <c:axId val="2591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5914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Bilanço!$A$167</c:f>
              <c:strCache>
                <c:ptCount val="1"/>
                <c:pt idx="0">
                  <c:v>Ticari Borç Devir Hızı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Bilanço!$F$153:$X$153</c:f>
              <c:strCache>
                <c:ptCount val="19"/>
                <c:pt idx="0">
                  <c:v>2021/3</c:v>
                </c:pt>
                <c:pt idx="1">
                  <c:v>2021/6</c:v>
                </c:pt>
                <c:pt idx="2">
                  <c:v>2021/9</c:v>
                </c:pt>
                <c:pt idx="3">
                  <c:v>2021/12</c:v>
                </c:pt>
                <c:pt idx="4">
                  <c:v>2022/3</c:v>
                </c:pt>
                <c:pt idx="5">
                  <c:v>2022/6</c:v>
                </c:pt>
                <c:pt idx="6">
                  <c:v>2022/9</c:v>
                </c:pt>
                <c:pt idx="7">
                  <c:v>2022/12</c:v>
                </c:pt>
                <c:pt idx="8">
                  <c:v>2023/3</c:v>
                </c:pt>
                <c:pt idx="9">
                  <c:v>2023/6</c:v>
                </c:pt>
                <c:pt idx="10">
                  <c:v>2023/9</c:v>
                </c:pt>
                <c:pt idx="11">
                  <c:v>2023/12</c:v>
                </c:pt>
                <c:pt idx="12">
                  <c:v>2024/3</c:v>
                </c:pt>
                <c:pt idx="13">
                  <c:v>2024/6</c:v>
                </c:pt>
                <c:pt idx="14">
                  <c:v>2024/9</c:v>
                </c:pt>
                <c:pt idx="15">
                  <c:v>2024/12</c:v>
                </c:pt>
                <c:pt idx="16">
                  <c:v>2025/3</c:v>
                </c:pt>
                <c:pt idx="17">
                  <c:v>2025/6</c:v>
                </c:pt>
                <c:pt idx="18">
                  <c:v>2025/9</c:v>
                </c:pt>
              </c:strCache>
            </c:strRef>
          </c:cat>
          <c:val>
            <c:numRef>
              <c:f>Bilanço!$F$167:$X$167</c:f>
              <c:numCache>
                <c:formatCode>_(* #,##0.00_);_(* \(#,##0.00\);_(* "-"??_);_(@_)</c:formatCode>
                <c:ptCount val="19"/>
                <c:pt idx="0">
                  <c:v>8.1657807871601431</c:v>
                </c:pt>
                <c:pt idx="1">
                  <c:v>8.1279098350152221</c:v>
                </c:pt>
                <c:pt idx="2">
                  <c:v>8.5746158630263487</c:v>
                </c:pt>
                <c:pt idx="3">
                  <c:v>7.0654670231040333</c:v>
                </c:pt>
                <c:pt idx="4">
                  <c:v>8.6794380475918178</c:v>
                </c:pt>
                <c:pt idx="5">
                  <c:v>8.3686492457304986</c:v>
                </c:pt>
                <c:pt idx="6">
                  <c:v>8.329755434558713</c:v>
                </c:pt>
                <c:pt idx="7">
                  <c:v>12.213193073521358</c:v>
                </c:pt>
                <c:pt idx="8">
                  <c:v>13.713330588317435</c:v>
                </c:pt>
                <c:pt idx="9">
                  <c:v>13.548573764035762</c:v>
                </c:pt>
                <c:pt idx="10">
                  <c:v>12.031219651711062</c:v>
                </c:pt>
                <c:pt idx="11">
                  <c:v>8.9959692716639843</c:v>
                </c:pt>
                <c:pt idx="12">
                  <c:v>11.757148883097965</c:v>
                </c:pt>
                <c:pt idx="13">
                  <c:v>10.646213753893838</c:v>
                </c:pt>
                <c:pt idx="14">
                  <c:v>11.426237751256872</c:v>
                </c:pt>
                <c:pt idx="15">
                  <c:v>8.8562795749750904</c:v>
                </c:pt>
                <c:pt idx="16">
                  <c:v>9.286780388613721</c:v>
                </c:pt>
                <c:pt idx="17">
                  <c:v>9.1183047646692561</c:v>
                </c:pt>
                <c:pt idx="18">
                  <c:v>9.6702830099178509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62-4373-A339-E56E8DB71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140752"/>
        <c:axId val="259137392"/>
      </c:lineChart>
      <c:catAx>
        <c:axId val="25914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59137392"/>
        <c:crosses val="autoZero"/>
        <c:auto val="1"/>
        <c:lblAlgn val="ctr"/>
        <c:lblOffset val="100"/>
        <c:noMultiLvlLbl val="0"/>
      </c:catAx>
      <c:valAx>
        <c:axId val="2591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5914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Analiz!$A$42</c:f>
              <c:strCache>
                <c:ptCount val="1"/>
                <c:pt idx="0">
                  <c:v>Cari Oran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Analiz!$I$4:$X$4</c:f>
              <c:strCache>
                <c:ptCount val="16"/>
                <c:pt idx="0">
                  <c:v>2021/12</c:v>
                </c:pt>
                <c:pt idx="1">
                  <c:v>2022/3</c:v>
                </c:pt>
                <c:pt idx="2">
                  <c:v>2022/6</c:v>
                </c:pt>
                <c:pt idx="3">
                  <c:v>2022/9</c:v>
                </c:pt>
                <c:pt idx="4">
                  <c:v>2022/12</c:v>
                </c:pt>
                <c:pt idx="5">
                  <c:v>2023/3</c:v>
                </c:pt>
                <c:pt idx="6">
                  <c:v>2023/6</c:v>
                </c:pt>
                <c:pt idx="7">
                  <c:v>2023/9</c:v>
                </c:pt>
                <c:pt idx="8">
                  <c:v>2023/12</c:v>
                </c:pt>
                <c:pt idx="9">
                  <c:v>2024/3</c:v>
                </c:pt>
                <c:pt idx="10">
                  <c:v>2024/6</c:v>
                </c:pt>
                <c:pt idx="11">
                  <c:v>2024/9</c:v>
                </c:pt>
                <c:pt idx="12">
                  <c:v>2024/12</c:v>
                </c:pt>
                <c:pt idx="13">
                  <c:v>2025/3</c:v>
                </c:pt>
                <c:pt idx="14">
                  <c:v>2025/6</c:v>
                </c:pt>
                <c:pt idx="15">
                  <c:v>2025/9</c:v>
                </c:pt>
              </c:strCache>
            </c:strRef>
          </c:cat>
          <c:val>
            <c:numRef>
              <c:f>Analiz!$I$42:$X$42</c:f>
              <c:numCache>
                <c:formatCode>0.00</c:formatCode>
                <c:ptCount val="16"/>
                <c:pt idx="0">
                  <c:v>3.0590578560736796</c:v>
                </c:pt>
                <c:pt idx="1">
                  <c:v>2.887403382611061</c:v>
                </c:pt>
                <c:pt idx="2">
                  <c:v>1.4900211925669113</c:v>
                </c:pt>
                <c:pt idx="3">
                  <c:v>1.5160706153178993</c:v>
                </c:pt>
                <c:pt idx="4">
                  <c:v>1.501241546597547</c:v>
                </c:pt>
                <c:pt idx="5">
                  <c:v>1.5176398682871095</c:v>
                </c:pt>
                <c:pt idx="6">
                  <c:v>2.4386100349861204</c:v>
                </c:pt>
                <c:pt idx="7">
                  <c:v>2.4448591629422491</c:v>
                </c:pt>
                <c:pt idx="8">
                  <c:v>2.3943854740312225</c:v>
                </c:pt>
                <c:pt idx="9">
                  <c:v>2.5449060229421807</c:v>
                </c:pt>
                <c:pt idx="10">
                  <c:v>2.90808855970687</c:v>
                </c:pt>
                <c:pt idx="11">
                  <c:v>3.3269228160623037</c:v>
                </c:pt>
                <c:pt idx="12">
                  <c:v>2.2890394640930865</c:v>
                </c:pt>
                <c:pt idx="13">
                  <c:v>2.2742515330582922</c:v>
                </c:pt>
                <c:pt idx="14">
                  <c:v>1.4483420048391424</c:v>
                </c:pt>
                <c:pt idx="15">
                  <c:v>1.4807737944646548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B1-4ECA-A47A-1305CEA9F8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17421872"/>
        <c:axId val="1117422352"/>
      </c:lineChart>
      <c:catAx>
        <c:axId val="111742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2352"/>
        <c:crosses val="autoZero"/>
        <c:auto val="1"/>
        <c:lblAlgn val="ctr"/>
        <c:lblOffset val="100"/>
        <c:noMultiLvlLbl val="0"/>
      </c:catAx>
      <c:valAx>
        <c:axId val="111742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prstDash val="sysDash"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9.6179165303033262E-2"/>
          <c:y val="9.9948175918379109E-2"/>
          <c:w val="0.88501987688439154"/>
          <c:h val="0.81789959542016866"/>
        </c:manualLayout>
      </c:layout>
      <c:lineChart>
        <c:grouping val="standard"/>
        <c:varyColors val="0"/>
        <c:ser>
          <c:idx val="0"/>
          <c:order val="0"/>
          <c:tx>
            <c:strRef>
              <c:f>Analiz!$A$43</c:f>
              <c:strCache>
                <c:ptCount val="1"/>
                <c:pt idx="0">
                  <c:v>Net İşletme Sermayesi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Analiz!$I$4:$X$4</c:f>
              <c:strCache>
                <c:ptCount val="16"/>
                <c:pt idx="0">
                  <c:v>2021/12</c:v>
                </c:pt>
                <c:pt idx="1">
                  <c:v>2022/3</c:v>
                </c:pt>
                <c:pt idx="2">
                  <c:v>2022/6</c:v>
                </c:pt>
                <c:pt idx="3">
                  <c:v>2022/9</c:v>
                </c:pt>
                <c:pt idx="4">
                  <c:v>2022/12</c:v>
                </c:pt>
                <c:pt idx="5">
                  <c:v>2023/3</c:v>
                </c:pt>
                <c:pt idx="6">
                  <c:v>2023/6</c:v>
                </c:pt>
                <c:pt idx="7">
                  <c:v>2023/9</c:v>
                </c:pt>
                <c:pt idx="8">
                  <c:v>2023/12</c:v>
                </c:pt>
                <c:pt idx="9">
                  <c:v>2024/3</c:v>
                </c:pt>
                <c:pt idx="10">
                  <c:v>2024/6</c:v>
                </c:pt>
                <c:pt idx="11">
                  <c:v>2024/9</c:v>
                </c:pt>
                <c:pt idx="12">
                  <c:v>2024/12</c:v>
                </c:pt>
                <c:pt idx="13">
                  <c:v>2025/3</c:v>
                </c:pt>
                <c:pt idx="14">
                  <c:v>2025/6</c:v>
                </c:pt>
                <c:pt idx="15">
                  <c:v>2025/9</c:v>
                </c:pt>
              </c:strCache>
            </c:strRef>
          </c:cat>
          <c:val>
            <c:numRef>
              <c:f>Analiz!$I$43:$X$43</c:f>
              <c:numCache>
                <c:formatCode>_-* #,##0_-;\-* #,##0_-;_-* "-"??_-;_-@_-</c:formatCode>
                <c:ptCount val="16"/>
                <c:pt idx="0">
                  <c:v>12630718000</c:v>
                </c:pt>
                <c:pt idx="1">
                  <c:v>13697328000</c:v>
                </c:pt>
                <c:pt idx="2">
                  <c:v>7395441000</c:v>
                </c:pt>
                <c:pt idx="3">
                  <c:v>8535038000</c:v>
                </c:pt>
                <c:pt idx="4">
                  <c:v>13947436000</c:v>
                </c:pt>
                <c:pt idx="5">
                  <c:v>9723603000</c:v>
                </c:pt>
                <c:pt idx="6">
                  <c:v>17166548000</c:v>
                </c:pt>
                <c:pt idx="7">
                  <c:v>18489331000</c:v>
                </c:pt>
                <c:pt idx="8">
                  <c:v>31098837000</c:v>
                </c:pt>
                <c:pt idx="9">
                  <c:v>26421712000</c:v>
                </c:pt>
                <c:pt idx="10">
                  <c:v>31419359000</c:v>
                </c:pt>
                <c:pt idx="11">
                  <c:v>41170022000</c:v>
                </c:pt>
                <c:pt idx="12">
                  <c:v>45989959992</c:v>
                </c:pt>
                <c:pt idx="13">
                  <c:v>43302333000</c:v>
                </c:pt>
                <c:pt idx="14">
                  <c:v>26209493000</c:v>
                </c:pt>
                <c:pt idx="15">
                  <c:v>29248106000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F-4BEB-A76B-3CD93DDB341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117421872"/>
        <c:axId val="1117422352"/>
      </c:lineChart>
      <c:catAx>
        <c:axId val="111742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2352"/>
        <c:crosses val="autoZero"/>
        <c:auto val="1"/>
        <c:lblAlgn val="ctr"/>
        <c:lblOffset val="100"/>
        <c:noMultiLvlLbl val="0"/>
      </c:catAx>
      <c:valAx>
        <c:axId val="111742235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187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Analiz!$A$41</c:f>
              <c:strCache>
                <c:ptCount val="1"/>
                <c:pt idx="0">
                  <c:v>Hazır Değerler Oranı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Analiz!$I$4:$X$4</c:f>
              <c:strCache>
                <c:ptCount val="16"/>
                <c:pt idx="0">
                  <c:v>2021/12</c:v>
                </c:pt>
                <c:pt idx="1">
                  <c:v>2022/3</c:v>
                </c:pt>
                <c:pt idx="2">
                  <c:v>2022/6</c:v>
                </c:pt>
                <c:pt idx="3">
                  <c:v>2022/9</c:v>
                </c:pt>
                <c:pt idx="4">
                  <c:v>2022/12</c:v>
                </c:pt>
                <c:pt idx="5">
                  <c:v>2023/3</c:v>
                </c:pt>
                <c:pt idx="6">
                  <c:v>2023/6</c:v>
                </c:pt>
                <c:pt idx="7">
                  <c:v>2023/9</c:v>
                </c:pt>
                <c:pt idx="8">
                  <c:v>2023/12</c:v>
                </c:pt>
                <c:pt idx="9">
                  <c:v>2024/3</c:v>
                </c:pt>
                <c:pt idx="10">
                  <c:v>2024/6</c:v>
                </c:pt>
                <c:pt idx="11">
                  <c:v>2024/9</c:v>
                </c:pt>
                <c:pt idx="12">
                  <c:v>2024/12</c:v>
                </c:pt>
                <c:pt idx="13">
                  <c:v>2025/3</c:v>
                </c:pt>
                <c:pt idx="14">
                  <c:v>2025/6</c:v>
                </c:pt>
                <c:pt idx="15">
                  <c:v>2025/9</c:v>
                </c:pt>
              </c:strCache>
            </c:strRef>
          </c:cat>
          <c:val>
            <c:numRef>
              <c:f>Analiz!$I$41:$X$41</c:f>
              <c:numCache>
                <c:formatCode>_(* #,##0.00_);_(* \(#,##0.00\);_(* "-"??_);_(@_)</c:formatCode>
                <c:ptCount val="16"/>
                <c:pt idx="0">
                  <c:v>1.5355986464135143</c:v>
                </c:pt>
                <c:pt idx="1">
                  <c:v>1.2856442275390321</c:v>
                </c:pt>
                <c:pt idx="2">
                  <c:v>0.64207024026635418</c:v>
                </c:pt>
                <c:pt idx="3">
                  <c:v>0.57361625365480373</c:v>
                </c:pt>
                <c:pt idx="4">
                  <c:v>0.56049832640798036</c:v>
                </c:pt>
                <c:pt idx="5">
                  <c:v>0.52515079724798552</c:v>
                </c:pt>
                <c:pt idx="6">
                  <c:v>0.73428038105607329</c:v>
                </c:pt>
                <c:pt idx="7">
                  <c:v>0.75695815899058438</c:v>
                </c:pt>
                <c:pt idx="8">
                  <c:v>0.75490911539836658</c:v>
                </c:pt>
                <c:pt idx="9">
                  <c:v>0.74065825104113603</c:v>
                </c:pt>
                <c:pt idx="10">
                  <c:v>1.0159782296135678</c:v>
                </c:pt>
                <c:pt idx="11">
                  <c:v>1.3188426275302234</c:v>
                </c:pt>
                <c:pt idx="12">
                  <c:v>0.92508839082819283</c:v>
                </c:pt>
                <c:pt idx="13">
                  <c:v>0.70455827596052711</c:v>
                </c:pt>
                <c:pt idx="14">
                  <c:v>0.46866260550930783</c:v>
                </c:pt>
                <c:pt idx="15">
                  <c:v>0.48617187768526471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C0-4579-9E08-336480D1D3C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117421872"/>
        <c:axId val="1117422352"/>
      </c:lineChart>
      <c:catAx>
        <c:axId val="111742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2352"/>
        <c:crosses val="autoZero"/>
        <c:auto val="1"/>
        <c:lblAlgn val="ctr"/>
        <c:lblOffset val="100"/>
        <c:noMultiLvlLbl val="0"/>
      </c:catAx>
      <c:valAx>
        <c:axId val="1117422352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187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Analiz!$A$44</c:f>
              <c:strCache>
                <c:ptCount val="1"/>
                <c:pt idx="0">
                  <c:v>Finansal Kaldıraç Oranı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Analiz!$I$4</c:f>
              <c:strCache>
                <c:ptCount val="1"/>
                <c:pt idx="0">
                  <c:v>2021/12</c:v>
                </c:pt>
              </c:strCache>
            </c:strRef>
          </c:cat>
          <c:val>
            <c:numRef>
              <c:f>Analiz!$I$44:$X$44</c:f>
              <c:numCache>
                <c:formatCode>0.0%</c:formatCode>
                <c:ptCount val="16"/>
                <c:pt idx="0">
                  <c:v>0.83562095556539917</c:v>
                </c:pt>
                <c:pt idx="1">
                  <c:v>0.85762480475081881</c:v>
                </c:pt>
                <c:pt idx="2">
                  <c:v>0.86489011500040569</c:v>
                </c:pt>
                <c:pt idx="3">
                  <c:v>0.86850200878398554</c:v>
                </c:pt>
                <c:pt idx="4">
                  <c:v>0.76351759928302654</c:v>
                </c:pt>
                <c:pt idx="5">
                  <c:v>0.78892026449598063</c:v>
                </c:pt>
                <c:pt idx="6">
                  <c:v>0.80769908463834406</c:v>
                </c:pt>
                <c:pt idx="7">
                  <c:v>0.78133813659264506</c:v>
                </c:pt>
                <c:pt idx="8">
                  <c:v>0.67848533863317706</c:v>
                </c:pt>
                <c:pt idx="9">
                  <c:v>0.6656908740609635</c:v>
                </c:pt>
                <c:pt idx="10">
                  <c:v>0.6589013238216449</c:v>
                </c:pt>
                <c:pt idx="11">
                  <c:v>0.67681766249174169</c:v>
                </c:pt>
                <c:pt idx="12">
                  <c:v>0.65643493886365123</c:v>
                </c:pt>
                <c:pt idx="13">
                  <c:v>0.65108061132971762</c:v>
                </c:pt>
                <c:pt idx="14">
                  <c:v>0.68472736286596547</c:v>
                </c:pt>
                <c:pt idx="15">
                  <c:v>0.67042764990203285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BD-4804-A6FE-6C67DBCE1A7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17421872"/>
        <c:axId val="1117422352"/>
      </c:lineChart>
      <c:catAx>
        <c:axId val="111742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2352"/>
        <c:crosses val="autoZero"/>
        <c:auto val="1"/>
        <c:lblAlgn val="ctr"/>
        <c:lblOffset val="100"/>
        <c:noMultiLvlLbl val="0"/>
      </c:catAx>
      <c:valAx>
        <c:axId val="111742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prstDash val="sysDash"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layout>
        <c:manualLayout>
          <c:xMode val="edge"/>
          <c:yMode val="edge"/>
          <c:x val="0.23833034941599199"/>
          <c:y val="2.82828260333392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Analiz!$A$45</c:f>
              <c:strCache>
                <c:ptCount val="1"/>
                <c:pt idx="0">
                  <c:v>Finansman (Özkaynak Yeterlilik) Oranı</c:v>
                </c:pt>
              </c:strCache>
            </c:strRef>
          </c:tx>
          <c:spPr>
            <a:ln w="34925" cap="rnd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Analiz!$I$4:$X$4</c:f>
              <c:strCache>
                <c:ptCount val="16"/>
                <c:pt idx="0">
                  <c:v>2021/12</c:v>
                </c:pt>
                <c:pt idx="1">
                  <c:v>2022/3</c:v>
                </c:pt>
                <c:pt idx="2">
                  <c:v>2022/6</c:v>
                </c:pt>
                <c:pt idx="3">
                  <c:v>2022/9</c:v>
                </c:pt>
                <c:pt idx="4">
                  <c:v>2022/12</c:v>
                </c:pt>
                <c:pt idx="5">
                  <c:v>2023/3</c:v>
                </c:pt>
                <c:pt idx="6">
                  <c:v>2023/6</c:v>
                </c:pt>
                <c:pt idx="7">
                  <c:v>2023/9</c:v>
                </c:pt>
                <c:pt idx="8">
                  <c:v>2023/12</c:v>
                </c:pt>
                <c:pt idx="9">
                  <c:v>2024/3</c:v>
                </c:pt>
                <c:pt idx="10">
                  <c:v>2024/6</c:v>
                </c:pt>
                <c:pt idx="11">
                  <c:v>2024/9</c:v>
                </c:pt>
                <c:pt idx="12">
                  <c:v>2024/12</c:v>
                </c:pt>
                <c:pt idx="13">
                  <c:v>2025/3</c:v>
                </c:pt>
                <c:pt idx="14">
                  <c:v>2025/6</c:v>
                </c:pt>
                <c:pt idx="15">
                  <c:v>2025/9</c:v>
                </c:pt>
              </c:strCache>
            </c:strRef>
          </c:cat>
          <c:val>
            <c:numRef>
              <c:f>Analiz!$I$45:$X$45</c:f>
              <c:numCache>
                <c:formatCode>0.0%</c:formatCode>
                <c:ptCount val="16"/>
                <c:pt idx="0">
                  <c:v>0.1361947891453075</c:v>
                </c:pt>
                <c:pt idx="1">
                  <c:v>0.10492884988151242</c:v>
                </c:pt>
                <c:pt idx="2">
                  <c:v>9.2881291682675074E-2</c:v>
                </c:pt>
                <c:pt idx="3">
                  <c:v>9.0969951228840842E-2</c:v>
                </c:pt>
                <c:pt idx="4">
                  <c:v>0.23830523931020789</c:v>
                </c:pt>
                <c:pt idx="5">
                  <c:v>0.19974656853738268</c:v>
                </c:pt>
                <c:pt idx="6">
                  <c:v>0.16282166291910896</c:v>
                </c:pt>
                <c:pt idx="7">
                  <c:v>0.23691117012492952</c:v>
                </c:pt>
                <c:pt idx="8">
                  <c:v>0.4300654249096984</c:v>
                </c:pt>
                <c:pt idx="9">
                  <c:v>0.45774220613802158</c:v>
                </c:pt>
                <c:pt idx="10">
                  <c:v>0.48022620819913364</c:v>
                </c:pt>
                <c:pt idx="11">
                  <c:v>0.44410697325047344</c:v>
                </c:pt>
                <c:pt idx="12">
                  <c:v>0.48908868979615017</c:v>
                </c:pt>
                <c:pt idx="13">
                  <c:v>0.50135608483668048</c:v>
                </c:pt>
                <c:pt idx="14">
                  <c:v>0.43335528147495733</c:v>
                </c:pt>
                <c:pt idx="15">
                  <c:v>0.46350825240885973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D1-4050-9551-DF99C4DB14B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17421872"/>
        <c:axId val="1117422352"/>
      </c:lineChart>
      <c:catAx>
        <c:axId val="111742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2352"/>
        <c:crosses val="autoZero"/>
        <c:auto val="1"/>
        <c:lblAlgn val="ctr"/>
        <c:lblOffset val="100"/>
        <c:noMultiLvlLbl val="0"/>
      </c:catAx>
      <c:valAx>
        <c:axId val="111742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prstDash val="sysDash"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Analiz!$A$47</c:f>
              <c:strCache>
                <c:ptCount val="1"/>
                <c:pt idx="0">
                  <c:v>Brüt Karlılık Oranı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Analiz!$I$4:$X$4</c:f>
              <c:strCache>
                <c:ptCount val="16"/>
                <c:pt idx="0">
                  <c:v>2021/12</c:v>
                </c:pt>
                <c:pt idx="1">
                  <c:v>2022/3</c:v>
                </c:pt>
                <c:pt idx="2">
                  <c:v>2022/6</c:v>
                </c:pt>
                <c:pt idx="3">
                  <c:v>2022/9</c:v>
                </c:pt>
                <c:pt idx="4">
                  <c:v>2022/12</c:v>
                </c:pt>
                <c:pt idx="5">
                  <c:v>2023/3</c:v>
                </c:pt>
                <c:pt idx="6">
                  <c:v>2023/6</c:v>
                </c:pt>
                <c:pt idx="7">
                  <c:v>2023/9</c:v>
                </c:pt>
                <c:pt idx="8">
                  <c:v>2023/12</c:v>
                </c:pt>
                <c:pt idx="9">
                  <c:v>2024/3</c:v>
                </c:pt>
                <c:pt idx="10">
                  <c:v>2024/6</c:v>
                </c:pt>
                <c:pt idx="11">
                  <c:v>2024/9</c:v>
                </c:pt>
                <c:pt idx="12">
                  <c:v>2024/12</c:v>
                </c:pt>
                <c:pt idx="13">
                  <c:v>2025/3</c:v>
                </c:pt>
                <c:pt idx="14">
                  <c:v>2025/6</c:v>
                </c:pt>
                <c:pt idx="15">
                  <c:v>2025/9</c:v>
                </c:pt>
              </c:strCache>
            </c:strRef>
          </c:cat>
          <c:val>
            <c:numRef>
              <c:f>Analiz!$I$47:$X$47</c:f>
              <c:numCache>
                <c:formatCode>0.0%</c:formatCode>
                <c:ptCount val="16"/>
                <c:pt idx="0">
                  <c:v>0.28813846605429655</c:v>
                </c:pt>
                <c:pt idx="1">
                  <c:v>0.31414956597142585</c:v>
                </c:pt>
                <c:pt idx="2">
                  <c:v>0.2986260909686404</c:v>
                </c:pt>
                <c:pt idx="3">
                  <c:v>0.29030381336136418</c:v>
                </c:pt>
                <c:pt idx="4">
                  <c:v>0.21792856372248987</c:v>
                </c:pt>
                <c:pt idx="5">
                  <c:v>0.30735361825504692</c:v>
                </c:pt>
                <c:pt idx="6">
                  <c:v>0.29160367913026769</c:v>
                </c:pt>
                <c:pt idx="7">
                  <c:v>0.29529783642690788</c:v>
                </c:pt>
                <c:pt idx="8">
                  <c:v>0.2897148581810548</c:v>
                </c:pt>
                <c:pt idx="9">
                  <c:v>0.31962974169995517</c:v>
                </c:pt>
                <c:pt idx="10">
                  <c:v>0.31371933190149848</c:v>
                </c:pt>
                <c:pt idx="11">
                  <c:v>0.3003153340782671</c:v>
                </c:pt>
                <c:pt idx="12">
                  <c:v>0.29806163549206127</c:v>
                </c:pt>
                <c:pt idx="13">
                  <c:v>0.33437267279366234</c:v>
                </c:pt>
                <c:pt idx="14">
                  <c:v>0.30671053639833018</c:v>
                </c:pt>
                <c:pt idx="15">
                  <c:v>0.30221445132872454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A0-4268-9B86-773D94541B6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17421872"/>
        <c:axId val="1117422352"/>
      </c:lineChart>
      <c:catAx>
        <c:axId val="111742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2352"/>
        <c:crosses val="autoZero"/>
        <c:auto val="1"/>
        <c:lblAlgn val="ctr"/>
        <c:lblOffset val="100"/>
        <c:noMultiLvlLbl val="0"/>
      </c:catAx>
      <c:valAx>
        <c:axId val="111742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prstDash val="sysDash"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6.2920792435192163E-2"/>
          <c:y val="0.11528020639205065"/>
          <c:w val="0.91881436738215938"/>
          <c:h val="0.79612660764501586"/>
        </c:manualLayout>
      </c:layout>
      <c:lineChart>
        <c:grouping val="standard"/>
        <c:varyColors val="0"/>
        <c:ser>
          <c:idx val="0"/>
          <c:order val="0"/>
          <c:tx>
            <c:strRef>
              <c:f>Analiz!$A$48</c:f>
              <c:strCache>
                <c:ptCount val="1"/>
                <c:pt idx="0">
                  <c:v>Faaliyet Kar Oranı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Analiz!$I$4:$X$4</c:f>
              <c:strCache>
                <c:ptCount val="16"/>
                <c:pt idx="0">
                  <c:v>2021/12</c:v>
                </c:pt>
                <c:pt idx="1">
                  <c:v>2022/3</c:v>
                </c:pt>
                <c:pt idx="2">
                  <c:v>2022/6</c:v>
                </c:pt>
                <c:pt idx="3">
                  <c:v>2022/9</c:v>
                </c:pt>
                <c:pt idx="4">
                  <c:v>2022/12</c:v>
                </c:pt>
                <c:pt idx="5">
                  <c:v>2023/3</c:v>
                </c:pt>
                <c:pt idx="6">
                  <c:v>2023/6</c:v>
                </c:pt>
                <c:pt idx="7">
                  <c:v>2023/9</c:v>
                </c:pt>
                <c:pt idx="8">
                  <c:v>2023/12</c:v>
                </c:pt>
                <c:pt idx="9">
                  <c:v>2024/3</c:v>
                </c:pt>
                <c:pt idx="10">
                  <c:v>2024/6</c:v>
                </c:pt>
                <c:pt idx="11">
                  <c:v>2024/9</c:v>
                </c:pt>
                <c:pt idx="12">
                  <c:v>2024/12</c:v>
                </c:pt>
                <c:pt idx="13">
                  <c:v>2025/3</c:v>
                </c:pt>
                <c:pt idx="14">
                  <c:v>2025/6</c:v>
                </c:pt>
                <c:pt idx="15">
                  <c:v>2025/9</c:v>
                </c:pt>
              </c:strCache>
            </c:strRef>
          </c:cat>
          <c:val>
            <c:numRef>
              <c:f>Analiz!$I$48:$X$48</c:f>
              <c:numCache>
                <c:formatCode>0.0%</c:formatCode>
                <c:ptCount val="16"/>
                <c:pt idx="0">
                  <c:v>0.19382423977513105</c:v>
                </c:pt>
                <c:pt idx="1">
                  <c:v>0.22673970755780903</c:v>
                </c:pt>
                <c:pt idx="2">
                  <c:v>0.22056914758366128</c:v>
                </c:pt>
                <c:pt idx="3">
                  <c:v>0.21719646819835153</c:v>
                </c:pt>
                <c:pt idx="4">
                  <c:v>0.13577997263934305</c:v>
                </c:pt>
                <c:pt idx="5">
                  <c:v>0.18759581975659667</c:v>
                </c:pt>
                <c:pt idx="6">
                  <c:v>0.22085404904823669</c:v>
                </c:pt>
                <c:pt idx="7">
                  <c:v>0.20741556365173555</c:v>
                </c:pt>
                <c:pt idx="8">
                  <c:v>0.19687813517429531</c:v>
                </c:pt>
                <c:pt idx="9">
                  <c:v>0.21372993356432518</c:v>
                </c:pt>
                <c:pt idx="10">
                  <c:v>0.19451715516033766</c:v>
                </c:pt>
                <c:pt idx="11">
                  <c:v>0.17558854983838368</c:v>
                </c:pt>
                <c:pt idx="12">
                  <c:v>0.16978076315434046</c:v>
                </c:pt>
                <c:pt idx="13">
                  <c:v>0.19933765336265424</c:v>
                </c:pt>
                <c:pt idx="14">
                  <c:v>0.16688339653133713</c:v>
                </c:pt>
                <c:pt idx="15">
                  <c:v>0.16499261083424266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C3-4093-8D57-0CDFAE50B46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117421872"/>
        <c:axId val="1117422352"/>
      </c:lineChart>
      <c:catAx>
        <c:axId val="111742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2352"/>
        <c:crosses val="autoZero"/>
        <c:auto val="1"/>
        <c:lblAlgn val="ctr"/>
        <c:lblOffset val="100"/>
        <c:noMultiLvlLbl val="0"/>
      </c:catAx>
      <c:valAx>
        <c:axId val="111742235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187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Analiz!$A$49</c:f>
              <c:strCache>
                <c:ptCount val="1"/>
                <c:pt idx="0">
                  <c:v>Net Faaliyet Kar Oranı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Analiz!$I$4:$X$4</c:f>
              <c:strCache>
                <c:ptCount val="16"/>
                <c:pt idx="0">
                  <c:v>2021/12</c:v>
                </c:pt>
                <c:pt idx="1">
                  <c:v>2022/3</c:v>
                </c:pt>
                <c:pt idx="2">
                  <c:v>2022/6</c:v>
                </c:pt>
                <c:pt idx="3">
                  <c:v>2022/9</c:v>
                </c:pt>
                <c:pt idx="4">
                  <c:v>2022/12</c:v>
                </c:pt>
                <c:pt idx="5">
                  <c:v>2023/3</c:v>
                </c:pt>
                <c:pt idx="6">
                  <c:v>2023/6</c:v>
                </c:pt>
                <c:pt idx="7">
                  <c:v>2023/9</c:v>
                </c:pt>
                <c:pt idx="8">
                  <c:v>2023/12</c:v>
                </c:pt>
                <c:pt idx="9">
                  <c:v>2024/3</c:v>
                </c:pt>
                <c:pt idx="10">
                  <c:v>2024/6</c:v>
                </c:pt>
                <c:pt idx="11">
                  <c:v>2024/9</c:v>
                </c:pt>
                <c:pt idx="12">
                  <c:v>2024/12</c:v>
                </c:pt>
                <c:pt idx="13">
                  <c:v>2025/3</c:v>
                </c:pt>
                <c:pt idx="14">
                  <c:v>2025/6</c:v>
                </c:pt>
                <c:pt idx="15">
                  <c:v>2025/9</c:v>
                </c:pt>
              </c:strCache>
            </c:strRef>
          </c:cat>
          <c:val>
            <c:numRef>
              <c:f>Analiz!$I$49:$X$49</c:f>
              <c:numCache>
                <c:formatCode>0.0%</c:formatCode>
                <c:ptCount val="16"/>
                <c:pt idx="0">
                  <c:v>0.1673715091552419</c:v>
                </c:pt>
                <c:pt idx="1">
                  <c:v>0.19819171467025756</c:v>
                </c:pt>
                <c:pt idx="2">
                  <c:v>0.18669957043241342</c:v>
                </c:pt>
                <c:pt idx="3">
                  <c:v>0.17635737853305303</c:v>
                </c:pt>
                <c:pt idx="4">
                  <c:v>0.10648342377883946</c:v>
                </c:pt>
                <c:pt idx="5">
                  <c:v>0.18512049930980529</c:v>
                </c:pt>
                <c:pt idx="6">
                  <c:v>0.16924046701095405</c:v>
                </c:pt>
                <c:pt idx="7">
                  <c:v>0.17403165892553976</c:v>
                </c:pt>
                <c:pt idx="8">
                  <c:v>0.16864489169047742</c:v>
                </c:pt>
                <c:pt idx="9">
                  <c:v>0.1869944128927005</c:v>
                </c:pt>
                <c:pt idx="10">
                  <c:v>0.17894307480123225</c:v>
                </c:pt>
                <c:pt idx="11">
                  <c:v>0.16629318466832052</c:v>
                </c:pt>
                <c:pt idx="12">
                  <c:v>0.1638010900302064</c:v>
                </c:pt>
                <c:pt idx="13">
                  <c:v>0.18408918640041211</c:v>
                </c:pt>
                <c:pt idx="14">
                  <c:v>0.15723858027973248</c:v>
                </c:pt>
                <c:pt idx="15">
                  <c:v>0.15584035101734717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12-4A8C-A48D-ED20A8D080E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117421872"/>
        <c:axId val="1117422352"/>
      </c:lineChart>
      <c:catAx>
        <c:axId val="111742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2352"/>
        <c:crosses val="autoZero"/>
        <c:auto val="1"/>
        <c:lblAlgn val="ctr"/>
        <c:lblOffset val="100"/>
        <c:noMultiLvlLbl val="0"/>
      </c:catAx>
      <c:valAx>
        <c:axId val="111742235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187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Analiz!$A$50</c:f>
              <c:strCache>
                <c:ptCount val="1"/>
                <c:pt idx="0">
                  <c:v>Dönem Net Kar Oranı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Analiz!$I$4:$X$4</c:f>
              <c:strCache>
                <c:ptCount val="16"/>
                <c:pt idx="0">
                  <c:v>2021/12</c:v>
                </c:pt>
                <c:pt idx="1">
                  <c:v>2022/3</c:v>
                </c:pt>
                <c:pt idx="2">
                  <c:v>2022/6</c:v>
                </c:pt>
                <c:pt idx="3">
                  <c:v>2022/9</c:v>
                </c:pt>
                <c:pt idx="4">
                  <c:v>2022/12</c:v>
                </c:pt>
                <c:pt idx="5">
                  <c:v>2023/3</c:v>
                </c:pt>
                <c:pt idx="6">
                  <c:v>2023/6</c:v>
                </c:pt>
                <c:pt idx="7">
                  <c:v>2023/9</c:v>
                </c:pt>
                <c:pt idx="8">
                  <c:v>2023/12</c:v>
                </c:pt>
                <c:pt idx="9">
                  <c:v>2024/3</c:v>
                </c:pt>
                <c:pt idx="10">
                  <c:v>2024/6</c:v>
                </c:pt>
                <c:pt idx="11">
                  <c:v>2024/9</c:v>
                </c:pt>
                <c:pt idx="12">
                  <c:v>2024/12</c:v>
                </c:pt>
                <c:pt idx="13">
                  <c:v>2025/3</c:v>
                </c:pt>
                <c:pt idx="14">
                  <c:v>2025/6</c:v>
                </c:pt>
                <c:pt idx="15">
                  <c:v>2025/9</c:v>
                </c:pt>
              </c:strCache>
            </c:strRef>
          </c:cat>
          <c:val>
            <c:numRef>
              <c:f>Analiz!$I$50:$X$50</c:f>
              <c:numCache>
                <c:formatCode>0.0%</c:formatCode>
                <c:ptCount val="16"/>
                <c:pt idx="0">
                  <c:v>-3.7036694349880515E-2</c:v>
                </c:pt>
                <c:pt idx="1">
                  <c:v>-7.9970023876923244E-2</c:v>
                </c:pt>
                <c:pt idx="2">
                  <c:v>-9.4243861696413092E-2</c:v>
                </c:pt>
                <c:pt idx="3">
                  <c:v>-6.9681754096172457E-2</c:v>
                </c:pt>
                <c:pt idx="4">
                  <c:v>1.8945173417285723E-2</c:v>
                </c:pt>
                <c:pt idx="5">
                  <c:v>0.12831447949724428</c:v>
                </c:pt>
                <c:pt idx="6">
                  <c:v>-1.6603957558239634E-3</c:v>
                </c:pt>
                <c:pt idx="7">
                  <c:v>5.3228155616891239E-2</c:v>
                </c:pt>
                <c:pt idx="8">
                  <c:v>6.0514180802920689E-2</c:v>
                </c:pt>
                <c:pt idx="9">
                  <c:v>0.11057160968099948</c:v>
                </c:pt>
                <c:pt idx="10">
                  <c:v>9.8742970626050072E-2</c:v>
                </c:pt>
                <c:pt idx="11">
                  <c:v>7.5881833070829727E-2</c:v>
                </c:pt>
                <c:pt idx="12">
                  <c:v>8.7998835829163236E-2</c:v>
                </c:pt>
                <c:pt idx="13">
                  <c:v>8.950892462246475E-2</c:v>
                </c:pt>
                <c:pt idx="14">
                  <c:v>6.3515518811713953E-2</c:v>
                </c:pt>
                <c:pt idx="15">
                  <c:v>5.6761990272213791E-2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96-4002-BA89-75877F2DC8C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17421872"/>
        <c:axId val="1117422352"/>
      </c:lineChart>
      <c:catAx>
        <c:axId val="111742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0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2352"/>
        <c:crosses val="autoZero"/>
        <c:auto val="1"/>
        <c:lblAlgn val="ctr"/>
        <c:lblOffset val="100"/>
        <c:noMultiLvlLbl val="0"/>
      </c:catAx>
      <c:valAx>
        <c:axId val="111742235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Analiz!$A$31</c:f>
              <c:strCache>
                <c:ptCount val="1"/>
                <c:pt idx="0">
                  <c:v>FAVÖK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Analiz!$I$4:$X$4</c:f>
              <c:strCache>
                <c:ptCount val="16"/>
                <c:pt idx="0">
                  <c:v>2021/12</c:v>
                </c:pt>
                <c:pt idx="1">
                  <c:v>2022/3</c:v>
                </c:pt>
                <c:pt idx="2">
                  <c:v>2022/6</c:v>
                </c:pt>
                <c:pt idx="3">
                  <c:v>2022/9</c:v>
                </c:pt>
                <c:pt idx="4">
                  <c:v>2022/12</c:v>
                </c:pt>
                <c:pt idx="5">
                  <c:v>2023/3</c:v>
                </c:pt>
                <c:pt idx="6">
                  <c:v>2023/6</c:v>
                </c:pt>
                <c:pt idx="7">
                  <c:v>2023/9</c:v>
                </c:pt>
                <c:pt idx="8">
                  <c:v>2023/12</c:v>
                </c:pt>
                <c:pt idx="9">
                  <c:v>2024/3</c:v>
                </c:pt>
                <c:pt idx="10">
                  <c:v>2024/6</c:v>
                </c:pt>
                <c:pt idx="11">
                  <c:v>2024/9</c:v>
                </c:pt>
                <c:pt idx="12">
                  <c:v>2024/12</c:v>
                </c:pt>
                <c:pt idx="13">
                  <c:v>2025/3</c:v>
                </c:pt>
                <c:pt idx="14">
                  <c:v>2025/6</c:v>
                </c:pt>
                <c:pt idx="15">
                  <c:v>2025/9</c:v>
                </c:pt>
              </c:strCache>
            </c:strRef>
          </c:cat>
          <c:val>
            <c:numRef>
              <c:f>Analiz!$I$31:$X$31</c:f>
              <c:numCache>
                <c:formatCode>_-* #,##0_-;\-* #,##0_-;_-* "-"??_-;_-@_-</c:formatCode>
                <c:ptCount val="16"/>
                <c:pt idx="0">
                  <c:v>2328359000</c:v>
                </c:pt>
                <c:pt idx="1">
                  <c:v>1244625000</c:v>
                </c:pt>
                <c:pt idx="2">
                  <c:v>2378996000</c:v>
                </c:pt>
                <c:pt idx="3">
                  <c:v>3632746000</c:v>
                </c:pt>
                <c:pt idx="4">
                  <c:v>6702904000</c:v>
                </c:pt>
                <c:pt idx="5">
                  <c:v>3841997000</c:v>
                </c:pt>
                <c:pt idx="6">
                  <c:v>7265239000</c:v>
                </c:pt>
                <c:pt idx="7">
                  <c:v>11002053000</c:v>
                </c:pt>
                <c:pt idx="8">
                  <c:v>15304999000</c:v>
                </c:pt>
                <c:pt idx="9">
                  <c:v>5582526000</c:v>
                </c:pt>
                <c:pt idx="10">
                  <c:v>9881632000</c:v>
                </c:pt>
                <c:pt idx="11">
                  <c:v>14491393000</c:v>
                </c:pt>
                <c:pt idx="12">
                  <c:v>19561942075</c:v>
                </c:pt>
                <c:pt idx="13">
                  <c:v>5484460000</c:v>
                </c:pt>
                <c:pt idx="14">
                  <c:v>9185725000</c:v>
                </c:pt>
                <c:pt idx="15">
                  <c:v>14382507000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1D-4DB5-B79B-B9B7BE15051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17421872"/>
        <c:axId val="1117422352"/>
      </c:lineChart>
      <c:catAx>
        <c:axId val="111742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2352"/>
        <c:crosses val="autoZero"/>
        <c:auto val="1"/>
        <c:lblAlgn val="ctr"/>
        <c:lblOffset val="100"/>
        <c:noMultiLvlLbl val="0"/>
      </c:catAx>
      <c:valAx>
        <c:axId val="111742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prstDash val="sysDash"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Analiz!$A$51</c:f>
              <c:strCache>
                <c:ptCount val="1"/>
                <c:pt idx="0">
                  <c:v>FAVÖK Marjı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Analiz!$I$4:$X$4</c:f>
              <c:strCache>
                <c:ptCount val="16"/>
                <c:pt idx="0">
                  <c:v>2021/12</c:v>
                </c:pt>
                <c:pt idx="1">
                  <c:v>2022/3</c:v>
                </c:pt>
                <c:pt idx="2">
                  <c:v>2022/6</c:v>
                </c:pt>
                <c:pt idx="3">
                  <c:v>2022/9</c:v>
                </c:pt>
                <c:pt idx="4">
                  <c:v>2022/12</c:v>
                </c:pt>
                <c:pt idx="5">
                  <c:v>2023/3</c:v>
                </c:pt>
                <c:pt idx="6">
                  <c:v>2023/6</c:v>
                </c:pt>
                <c:pt idx="7">
                  <c:v>2023/9</c:v>
                </c:pt>
                <c:pt idx="8">
                  <c:v>2023/12</c:v>
                </c:pt>
                <c:pt idx="9">
                  <c:v>2024/3</c:v>
                </c:pt>
                <c:pt idx="10">
                  <c:v>2024/6</c:v>
                </c:pt>
                <c:pt idx="11">
                  <c:v>2024/9</c:v>
                </c:pt>
                <c:pt idx="12">
                  <c:v>2024/12</c:v>
                </c:pt>
                <c:pt idx="13">
                  <c:v>2025/3</c:v>
                </c:pt>
                <c:pt idx="14">
                  <c:v>2025/6</c:v>
                </c:pt>
                <c:pt idx="15">
                  <c:v>2025/9</c:v>
                </c:pt>
              </c:strCache>
            </c:strRef>
          </c:cat>
          <c:val>
            <c:numRef>
              <c:f>Analiz!$I$51:$X$51</c:f>
              <c:numCache>
                <c:formatCode>0.0%</c:formatCode>
                <c:ptCount val="16"/>
                <c:pt idx="0">
                  <c:v>0.18571780669821042</c:v>
                </c:pt>
                <c:pt idx="1">
                  <c:v>0.21145450115850817</c:v>
                </c:pt>
                <c:pt idx="2">
                  <c:v>0.2003017581792127</c:v>
                </c:pt>
                <c:pt idx="3">
                  <c:v>0.18941387609704008</c:v>
                </c:pt>
                <c:pt idx="4">
                  <c:v>0.12894860004022993</c:v>
                </c:pt>
                <c:pt idx="5">
                  <c:v>0.20430896559704476</c:v>
                </c:pt>
                <c:pt idx="6">
                  <c:v>0.18949374804660282</c:v>
                </c:pt>
                <c:pt idx="7">
                  <c:v>0.19594156780602584</c:v>
                </c:pt>
                <c:pt idx="8">
                  <c:v>0.18985173502665131</c:v>
                </c:pt>
                <c:pt idx="9">
                  <c:v>0.20622828309926364</c:v>
                </c:pt>
                <c:pt idx="10">
                  <c:v>0.20015181478952165</c:v>
                </c:pt>
                <c:pt idx="11">
                  <c:v>0.18739589067254783</c:v>
                </c:pt>
                <c:pt idx="12">
                  <c:v>0.18544997576786998</c:v>
                </c:pt>
                <c:pt idx="13">
                  <c:v>0.20341204355693912</c:v>
                </c:pt>
                <c:pt idx="14">
                  <c:v>0.17788157461393983</c:v>
                </c:pt>
                <c:pt idx="15">
                  <c:v>0.17772436678658499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57-47C0-BFBD-1B2B381A272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117421872"/>
        <c:axId val="1117422352"/>
      </c:lineChart>
      <c:catAx>
        <c:axId val="111742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2352"/>
        <c:crosses val="autoZero"/>
        <c:auto val="1"/>
        <c:lblAlgn val="ctr"/>
        <c:lblOffset val="100"/>
        <c:noMultiLvlLbl val="0"/>
      </c:catAx>
      <c:valAx>
        <c:axId val="111742235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187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Analiz!$A$52</c:f>
              <c:strCache>
                <c:ptCount val="1"/>
                <c:pt idx="0">
                  <c:v>Aktif (Varlıkların) Karlılığı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Analiz!$I$4:$X$4</c:f>
              <c:strCache>
                <c:ptCount val="16"/>
                <c:pt idx="0">
                  <c:v>2021/12</c:v>
                </c:pt>
                <c:pt idx="1">
                  <c:v>2022/3</c:v>
                </c:pt>
                <c:pt idx="2">
                  <c:v>2022/6</c:v>
                </c:pt>
                <c:pt idx="3">
                  <c:v>2022/9</c:v>
                </c:pt>
                <c:pt idx="4">
                  <c:v>2022/12</c:v>
                </c:pt>
                <c:pt idx="5">
                  <c:v>2023/3</c:v>
                </c:pt>
                <c:pt idx="6">
                  <c:v>2023/6</c:v>
                </c:pt>
                <c:pt idx="7">
                  <c:v>2023/9</c:v>
                </c:pt>
                <c:pt idx="8">
                  <c:v>2023/12</c:v>
                </c:pt>
                <c:pt idx="9">
                  <c:v>2024/3</c:v>
                </c:pt>
                <c:pt idx="10">
                  <c:v>2024/6</c:v>
                </c:pt>
                <c:pt idx="11">
                  <c:v>2024/9</c:v>
                </c:pt>
                <c:pt idx="12">
                  <c:v>2024/12</c:v>
                </c:pt>
                <c:pt idx="13">
                  <c:v>2025/3</c:v>
                </c:pt>
                <c:pt idx="14">
                  <c:v>2025/6</c:v>
                </c:pt>
                <c:pt idx="15">
                  <c:v>2025/9</c:v>
                </c:pt>
              </c:strCache>
            </c:strRef>
          </c:cat>
          <c:val>
            <c:numRef>
              <c:f>Analiz!$I$52:$X$52</c:f>
              <c:numCache>
                <c:formatCode>0.0%</c:formatCode>
                <c:ptCount val="16"/>
                <c:pt idx="0">
                  <c:v>-1.7693134999452249E-2</c:v>
                </c:pt>
                <c:pt idx="1">
                  <c:v>-1.6366265837071192E-2</c:v>
                </c:pt>
                <c:pt idx="2">
                  <c:v>-3.572645309354238E-2</c:v>
                </c:pt>
                <c:pt idx="3">
                  <c:v>-3.8616144769641647E-2</c:v>
                </c:pt>
                <c:pt idx="4">
                  <c:v>1.4887457699394938E-2</c:v>
                </c:pt>
                <c:pt idx="5">
                  <c:v>5.8392048858441258E-2</c:v>
                </c:pt>
                <c:pt idx="6">
                  <c:v>-1.4169946944833898E-3</c:v>
                </c:pt>
                <c:pt idx="7">
                  <c:v>6.2186840020782883E-2</c:v>
                </c:pt>
                <c:pt idx="8">
                  <c:v>5.4861143997161299E-2</c:v>
                </c:pt>
                <c:pt idx="9">
                  <c:v>4.260467120445173E-2</c:v>
                </c:pt>
                <c:pt idx="10">
                  <c:v>6.3932377988896061E-2</c:v>
                </c:pt>
                <c:pt idx="11">
                  <c:v>6.5288326037147584E-2</c:v>
                </c:pt>
                <c:pt idx="12">
                  <c:v>7.595148463981706E-2</c:v>
                </c:pt>
                <c:pt idx="13">
                  <c:v>2.1494262196550169E-2</c:v>
                </c:pt>
                <c:pt idx="14">
                  <c:v>2.6947381369284196E-2</c:v>
                </c:pt>
                <c:pt idx="15">
                  <c:v>3.5551166304827971E-2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A0-4B6F-932D-8AD852AF12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117421872"/>
        <c:axId val="1117422352"/>
      </c:lineChart>
      <c:catAx>
        <c:axId val="111742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2352"/>
        <c:crosses val="autoZero"/>
        <c:auto val="1"/>
        <c:lblAlgn val="ctr"/>
        <c:lblOffset val="100"/>
        <c:noMultiLvlLbl val="0"/>
      </c:catAx>
      <c:valAx>
        <c:axId val="111742235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187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Analiz!$A$36</c:f>
              <c:strCache>
                <c:ptCount val="1"/>
                <c:pt idx="0">
                  <c:v>HBK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Analiz!$I$4:$X$4</c:f>
              <c:strCache>
                <c:ptCount val="16"/>
                <c:pt idx="0">
                  <c:v>2021/12</c:v>
                </c:pt>
                <c:pt idx="1">
                  <c:v>2022/3</c:v>
                </c:pt>
                <c:pt idx="2">
                  <c:v>2022/6</c:v>
                </c:pt>
                <c:pt idx="3">
                  <c:v>2022/9</c:v>
                </c:pt>
                <c:pt idx="4">
                  <c:v>2022/12</c:v>
                </c:pt>
                <c:pt idx="5">
                  <c:v>2023/3</c:v>
                </c:pt>
                <c:pt idx="6">
                  <c:v>2023/6</c:v>
                </c:pt>
                <c:pt idx="7">
                  <c:v>2023/9</c:v>
                </c:pt>
                <c:pt idx="8">
                  <c:v>2023/12</c:v>
                </c:pt>
                <c:pt idx="9">
                  <c:v>2024/3</c:v>
                </c:pt>
                <c:pt idx="10">
                  <c:v>2024/6</c:v>
                </c:pt>
                <c:pt idx="11">
                  <c:v>2024/9</c:v>
                </c:pt>
                <c:pt idx="12">
                  <c:v>2024/12</c:v>
                </c:pt>
                <c:pt idx="13">
                  <c:v>2025/3</c:v>
                </c:pt>
                <c:pt idx="14">
                  <c:v>2025/6</c:v>
                </c:pt>
                <c:pt idx="15">
                  <c:v>2025/9</c:v>
                </c:pt>
              </c:strCache>
            </c:strRef>
          </c:cat>
          <c:val>
            <c:numRef>
              <c:f>Analiz!$I$36:$X$36</c:f>
              <c:numCache>
                <c:formatCode>_(* #,##0.00_);_(* \(#,##0.00\);_(* "-"??_);_(@_)</c:formatCode>
                <c:ptCount val="16"/>
                <c:pt idx="0">
                  <c:v>-1.3576959064327485</c:v>
                </c:pt>
                <c:pt idx="1">
                  <c:v>-1.3763304093567252</c:v>
                </c:pt>
                <c:pt idx="2">
                  <c:v>-3.2729239766081872</c:v>
                </c:pt>
                <c:pt idx="3">
                  <c:v>-3.9076549707602339</c:v>
                </c:pt>
                <c:pt idx="4">
                  <c:v>2.8795116959064329</c:v>
                </c:pt>
                <c:pt idx="5">
                  <c:v>7.0553596491228072</c:v>
                </c:pt>
                <c:pt idx="6">
                  <c:v>-0.18614035087719299</c:v>
                </c:pt>
                <c:pt idx="7">
                  <c:v>8.093520835364334</c:v>
                </c:pt>
                <c:pt idx="8">
                  <c:v>13.210668984716039</c:v>
                </c:pt>
                <c:pt idx="9">
                  <c:v>8.1054116704037096</c:v>
                </c:pt>
                <c:pt idx="10">
                  <c:v>13.201529479305451</c:v>
                </c:pt>
                <c:pt idx="11">
                  <c:v>15.890472167159523</c:v>
                </c:pt>
                <c:pt idx="12">
                  <c:v>25.136860299613296</c:v>
                </c:pt>
                <c:pt idx="13">
                  <c:v>6.5354044129594122</c:v>
                </c:pt>
                <c:pt idx="14">
                  <c:v>8.88200966214972</c:v>
                </c:pt>
                <c:pt idx="15">
                  <c:v>12.439248692035227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CF-4D82-BB98-733F1894F62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117421872"/>
        <c:axId val="1117422352"/>
      </c:lineChart>
      <c:catAx>
        <c:axId val="111742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2352"/>
        <c:crosses val="autoZero"/>
        <c:auto val="1"/>
        <c:lblAlgn val="ctr"/>
        <c:lblOffset val="100"/>
        <c:noMultiLvlLbl val="0"/>
      </c:catAx>
      <c:valAx>
        <c:axId val="1117422352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742187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'Değerleme Yıllık'!$A$30</c:f>
              <c:strCache>
                <c:ptCount val="1"/>
                <c:pt idx="0">
                  <c:v>Özsermaye Karlılığı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'Değerleme Yıllık'!$B$2:$T$2</c:f>
              <c:strCache>
                <c:ptCount val="19"/>
                <c:pt idx="0">
                  <c:v>2021/3</c:v>
                </c:pt>
                <c:pt idx="1">
                  <c:v>2021/6</c:v>
                </c:pt>
                <c:pt idx="2">
                  <c:v>2021/9</c:v>
                </c:pt>
                <c:pt idx="3">
                  <c:v>2021/12</c:v>
                </c:pt>
                <c:pt idx="4">
                  <c:v>2022/3</c:v>
                </c:pt>
                <c:pt idx="5">
                  <c:v>2022/6</c:v>
                </c:pt>
                <c:pt idx="6">
                  <c:v>2022/9</c:v>
                </c:pt>
                <c:pt idx="7">
                  <c:v>2022/12</c:v>
                </c:pt>
                <c:pt idx="8">
                  <c:v>2023/3</c:v>
                </c:pt>
                <c:pt idx="9">
                  <c:v>2023/6</c:v>
                </c:pt>
                <c:pt idx="10">
                  <c:v>2023/9</c:v>
                </c:pt>
                <c:pt idx="11">
                  <c:v>2023/12</c:v>
                </c:pt>
                <c:pt idx="12">
                  <c:v>2024/3</c:v>
                </c:pt>
                <c:pt idx="13">
                  <c:v>2024/6</c:v>
                </c:pt>
                <c:pt idx="14">
                  <c:v>2024/9</c:v>
                </c:pt>
                <c:pt idx="15">
                  <c:v>2024/12</c:v>
                </c:pt>
                <c:pt idx="16">
                  <c:v>2025/3</c:v>
                </c:pt>
                <c:pt idx="17">
                  <c:v>2025/6</c:v>
                </c:pt>
                <c:pt idx="18">
                  <c:v>2025/9</c:v>
                </c:pt>
              </c:strCache>
            </c:strRef>
          </c:cat>
          <c:val>
            <c:numRef>
              <c:f>'Değerleme Yıllık'!$B$30:$T$30</c:f>
              <c:numCache>
                <c:formatCode>0.00%</c:formatCode>
                <c:ptCount val="19"/>
                <c:pt idx="0">
                  <c:v>0.25704973334907816</c:v>
                </c:pt>
                <c:pt idx="1">
                  <c:v>0.21299305105838665</c:v>
                </c:pt>
                <c:pt idx="2">
                  <c:v>0.37650371731881754</c:v>
                </c:pt>
                <c:pt idx="3">
                  <c:v>-0.15546583971548666</c:v>
                </c:pt>
                <c:pt idx="4">
                  <c:v>-0.52785876618233329</c:v>
                </c:pt>
                <c:pt idx="5">
                  <c:v>-0.88835193511949151</c:v>
                </c:pt>
                <c:pt idx="6">
                  <c:v>-0.89800916147790544</c:v>
                </c:pt>
                <c:pt idx="7">
                  <c:v>8.1821586795058562E-2</c:v>
                </c:pt>
                <c:pt idx="8">
                  <c:v>0.59406076066932811</c:v>
                </c:pt>
                <c:pt idx="9">
                  <c:v>0.34535891059782664</c:v>
                </c:pt>
                <c:pt idx="10">
                  <c:v>0.59686500404039522</c:v>
                </c:pt>
                <c:pt idx="11">
                  <c:v>0.1880138589019365</c:v>
                </c:pt>
                <c:pt idx="12">
                  <c:v>0.25498667979612588</c:v>
                </c:pt>
                <c:pt idx="13">
                  <c:v>0.40687437142442923</c:v>
                </c:pt>
                <c:pt idx="14">
                  <c:v>0.28715495531550989</c:v>
                </c:pt>
                <c:pt idx="15">
                  <c:v>0.23656852348218707</c:v>
                </c:pt>
                <c:pt idx="16">
                  <c:v>0.23744914825868724</c:v>
                </c:pt>
                <c:pt idx="17">
                  <c:v>0.21284761867211627</c:v>
                </c:pt>
                <c:pt idx="18">
                  <c:v>0.1994446975170758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B-47FA-BEAC-6EFAA083B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7172575"/>
        <c:axId val="1197173055"/>
      </c:lineChart>
      <c:catAx>
        <c:axId val="119717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97173055"/>
        <c:crosses val="autoZero"/>
        <c:auto val="1"/>
        <c:lblAlgn val="ctr"/>
        <c:lblOffset val="100"/>
        <c:noMultiLvlLbl val="0"/>
      </c:catAx>
      <c:valAx>
        <c:axId val="119717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97172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'Değerleme Yıllık'!$A$32</c:f>
              <c:strCache>
                <c:ptCount val="1"/>
                <c:pt idx="0">
                  <c:v>Net Borç/FAVÖK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'Değerleme Yıllık'!$B$2:$T$2</c:f>
              <c:strCache>
                <c:ptCount val="19"/>
                <c:pt idx="0">
                  <c:v>2021/3</c:v>
                </c:pt>
                <c:pt idx="1">
                  <c:v>2021/6</c:v>
                </c:pt>
                <c:pt idx="2">
                  <c:v>2021/9</c:v>
                </c:pt>
                <c:pt idx="3">
                  <c:v>2021/12</c:v>
                </c:pt>
                <c:pt idx="4">
                  <c:v>2022/3</c:v>
                </c:pt>
                <c:pt idx="5">
                  <c:v>2022/6</c:v>
                </c:pt>
                <c:pt idx="6">
                  <c:v>2022/9</c:v>
                </c:pt>
                <c:pt idx="7">
                  <c:v>2022/12</c:v>
                </c:pt>
                <c:pt idx="8">
                  <c:v>2023/3</c:v>
                </c:pt>
                <c:pt idx="9">
                  <c:v>2023/6</c:v>
                </c:pt>
                <c:pt idx="10">
                  <c:v>2023/9</c:v>
                </c:pt>
                <c:pt idx="11">
                  <c:v>2023/12</c:v>
                </c:pt>
                <c:pt idx="12">
                  <c:v>2024/3</c:v>
                </c:pt>
                <c:pt idx="13">
                  <c:v>2024/6</c:v>
                </c:pt>
                <c:pt idx="14">
                  <c:v>2024/9</c:v>
                </c:pt>
                <c:pt idx="15">
                  <c:v>2024/12</c:v>
                </c:pt>
                <c:pt idx="16">
                  <c:v>2025/3</c:v>
                </c:pt>
                <c:pt idx="17">
                  <c:v>2025/6</c:v>
                </c:pt>
                <c:pt idx="18">
                  <c:v>2025/9</c:v>
                </c:pt>
              </c:strCache>
            </c:strRef>
          </c:cat>
          <c:val>
            <c:numRef>
              <c:f>'Değerleme Yıllık'!$B$32:$T$32</c:f>
              <c:numCache>
                <c:formatCode>_(* #,##0.00_);_(* \(#,##0.00\);_(* "-"??_);_(@_)</c:formatCode>
                <c:ptCount val="19"/>
                <c:pt idx="0">
                  <c:v>0.79078955250558014</c:v>
                </c:pt>
                <c:pt idx="1">
                  <c:v>0.96078008718366203</c:v>
                </c:pt>
                <c:pt idx="2">
                  <c:v>2.7378706014780012</c:v>
                </c:pt>
                <c:pt idx="3">
                  <c:v>3.761070350405586</c:v>
                </c:pt>
                <c:pt idx="4">
                  <c:v>3.482432762836186</c:v>
                </c:pt>
                <c:pt idx="5">
                  <c:v>3.3385313757707613</c:v>
                </c:pt>
                <c:pt idx="6">
                  <c:v>3.3015393628366305</c:v>
                </c:pt>
                <c:pt idx="7">
                  <c:v>3.5116547991736118</c:v>
                </c:pt>
                <c:pt idx="8">
                  <c:v>1.6492914833925358</c:v>
                </c:pt>
                <c:pt idx="9">
                  <c:v>1.7123110958899737</c:v>
                </c:pt>
                <c:pt idx="10">
                  <c:v>1.342212321859017</c:v>
                </c:pt>
                <c:pt idx="11">
                  <c:v>1.7830887150008961</c:v>
                </c:pt>
                <c:pt idx="12">
                  <c:v>1.2699695192780183</c:v>
                </c:pt>
                <c:pt idx="13">
                  <c:v>1.1727169407376392</c:v>
                </c:pt>
                <c:pt idx="14">
                  <c:v>1.2879116419045118</c:v>
                </c:pt>
                <c:pt idx="15">
                  <c:v>1.3911157732533057</c:v>
                </c:pt>
                <c:pt idx="16">
                  <c:v>1.617276223846899</c:v>
                </c:pt>
                <c:pt idx="17">
                  <c:v>2.0083782760591524</c:v>
                </c:pt>
                <c:pt idx="18">
                  <c:v>1.9995191423926433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14-4919-9B3E-B85D6DB10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7172575"/>
        <c:axId val="1197173055"/>
      </c:lineChart>
      <c:catAx>
        <c:axId val="119717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97173055"/>
        <c:crosses val="autoZero"/>
        <c:auto val="1"/>
        <c:lblAlgn val="ctr"/>
        <c:lblOffset val="100"/>
        <c:noMultiLvlLbl val="0"/>
      </c:catAx>
      <c:valAx>
        <c:axId val="119717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97172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</cx:f>
      </cx:strDim>
      <cx:numDim type="val">
        <cx:f>_xlchart.v1.23</cx:f>
      </cx:numDim>
    </cx:data>
  </cx:chartData>
  <cx:chart>
    <cx:title pos="t" align="ctr" overlay="0">
      <cx:tx>
        <cx:txData>
          <cx:v>ÖZKAYNAKLAR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tr-T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ÖZKAYNAKLAR</a:t>
          </a:r>
        </a:p>
      </cx:txPr>
    </cx:title>
    <cx:plotArea>
      <cx:plotAreaRegion>
        <cx:series layoutId="waterfall" uniqueId="{00000000-6277-41B3-AEDA-7F751B818270}">
          <cx:tx>
            <cx:txData>
              <cx:f>_xlchart.v1.22</cx:f>
              <cx:v>  Ana Ortaklığa Ait Özkaynaklar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tr-TR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majorGridlines/>
        <cx:tickLabels/>
      </cx:axis>
      <cx:axis id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DÖNEN VARLIKLAR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tr-T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DÖNEN VARLIKLAR</a:t>
          </a:r>
        </a:p>
      </cx:txPr>
    </cx:title>
    <cx:plotArea>
      <cx:plotAreaRegion>
        <cx:series layoutId="waterfall" uniqueId="{0000000E-67C3-41FE-A1A0-8E848ED405F7}">
          <cx:tx>
            <cx:txData>
              <cx:f>_xlchart.v1.10</cx:f>
              <cx:v>Dönen Varlıklar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tr-TR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5"/>
        <cx:majorGridlines/>
        <cx:tickLabels/>
      </cx:axis>
      <cx:axis id="1">
        <cx:valScaling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DURAN VARLIKLAR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tr-T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DURAN VARLIKLAR</a:t>
          </a:r>
        </a:p>
      </cx:txPr>
    </cx:title>
    <cx:plotArea>
      <cx:plotAreaRegion>
        <cx:series layoutId="waterfall" uniqueId="{00000000-D496-4ABB-87A2-2C28CFC8C921}" formatIdx="0">
          <cx:tx>
            <cx:txData>
              <cx:f>_xlchart.v1.7</cx:f>
              <cx:v>Duran Varlıklar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tr-TR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majorGridlines/>
        <cx:tickLabels/>
      </cx:axis>
      <cx:axis id="1">
        <cx:valScaling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</cx:chartData>
  <cx:chart>
    <cx:title pos="t" align="ctr" overlay="0">
      <cx:tx>
        <cx:txData>
          <cx:v>STOKLAR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tr-T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STOKLAR</a:t>
          </a:r>
        </a:p>
      </cx:txPr>
    </cx:title>
    <cx:plotArea>
      <cx:plotAreaRegion>
        <cx:series layoutId="waterfall" uniqueId="{00000000-6277-41B3-AEDA-7F751B818270}">
          <cx:tx>
            <cx:txData>
              <cx:f>_xlchart.v1.16</cx:f>
              <cx:v>  Stoklar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tr-TR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majorGridlines/>
        <cx:tickLabels/>
      </cx:axis>
      <cx:axis id="1">
        <cx:valScaling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</cx:f>
      </cx:strDim>
      <cx:numDim type="val">
        <cx:f>_xlchart.v1.26</cx:f>
      </cx:numDim>
    </cx:data>
  </cx:chartData>
  <cx:chart>
    <cx:title pos="t" align="ctr" overlay="0">
      <cx:tx>
        <cx:txData>
          <cx:v>TİCARİ ALACAKLAR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tr-T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TİCARİ ALACAKLAR</a:t>
          </a:r>
        </a:p>
      </cx:txPr>
    </cx:title>
    <cx:plotArea>
      <cx:plotAreaRegion>
        <cx:series layoutId="waterfall" uniqueId="{00000000-6277-41B3-AEDA-7F751B818270}">
          <cx:tx>
            <cx:txData>
              <cx:f>_xlchart.v1.25</cx:f>
              <cx:v>  Ticari Alacaklar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tr-TR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majorGridlines/>
        <cx:tickLabels/>
      </cx:axis>
      <cx:axis id="1">
        <cx:valScaling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>
      <cx:tx>
        <cx:txData>
          <cx:v>TİCARİ BORÇLAR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tr-T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TİCARİ BORÇLAR</a:t>
          </a:r>
        </a:p>
      </cx:txPr>
    </cx:title>
    <cx:plotArea>
      <cx:plotAreaRegion>
        <cx:series layoutId="waterfall" uniqueId="{00000000-6277-41B3-AEDA-7F751B818270}">
          <cx:tx>
            <cx:txData>
              <cx:f>_xlchart.v1.13</cx:f>
              <cx:v>  Ticari Borçlar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tr-TR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majorGridlines/>
        <cx:tickLabels/>
      </cx:axis>
      <cx:axis id="1">
        <cx:valScaling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val">
        <cx:f>_xlchart.v1.20</cx:f>
      </cx:numDim>
    </cx:data>
  </cx:chartData>
  <cx:chart>
    <cx:title pos="t" align="ctr" overlay="0">
      <cx:tx>
        <cx:txData>
          <cx:v>KVYK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tr-T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KVYK</a:t>
          </a:r>
        </a:p>
      </cx:txPr>
    </cx:title>
    <cx:plotArea>
      <cx:plotAreaRegion>
        <cx:series layoutId="waterfall" uniqueId="{00000000-6277-41B3-AEDA-7F751B818270}">
          <cx:tx>
            <cx:txData>
              <cx:f>_xlchart.v1.19</cx:f>
              <cx:v>Kısa Vadeli Yükümlülükler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tr-TR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majorGridlines/>
        <cx:tickLabels/>
      </cx:axis>
      <cx:axis id="1">
        <cx:valScaling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UVYK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tr-T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UVYK</a:t>
          </a:r>
        </a:p>
      </cx:txPr>
    </cx:title>
    <cx:plotArea>
      <cx:plotAreaRegion>
        <cx:series layoutId="waterfall" uniqueId="{00000000-6277-41B3-AEDA-7F751B818270}">
          <cx:tx>
            <cx:txData>
              <cx:f>_xlchart.v1.4</cx:f>
              <cx:v>Uzun Vadeli Yükümlülükler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tr-TR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majorGridlines/>
        <cx:tickLabels/>
      </cx:axis>
      <cx:axis id="1">
        <cx:valScaling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SATIŞ GELİRLERİ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ysClr val="windowText" lastClr="000000"/>
              </a:solidFill>
            </a:defRPr>
          </a:pPr>
          <a:r>
            <a:rPr lang="tr-TR" sz="1400" b="1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SATIŞ GELİRLERİ</a:t>
          </a:r>
        </a:p>
      </cx:txPr>
    </cx:title>
    <cx:plotArea>
      <cx:plotAreaRegion>
        <cx:series layoutId="waterfall" uniqueId="{00000000-6277-41B3-AEDA-7F751B818270}">
          <cx:tx>
            <cx:txData>
              <cx:f>_xlchart.v1.1</cx:f>
              <cx:v>Satış Gelirleri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tr-TR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majorGridlines/>
        <cx:tickLabels/>
      </cx:axis>
      <cx:axis id="1">
        <cx:valScaling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_xlchart.v1.33</cx:f>
      </cx:strDim>
      <cx:numDim type="val">
        <cx:f>_xlchart.v1.35</cx:f>
      </cx:numDim>
    </cx:data>
  </cx:chartData>
  <cx:chart>
    <cx:title pos="t" align="ctr" overlay="0">
      <cx:tx>
        <cx:txData>
          <cx:v>BRÜT KAR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ysClr val="windowText" lastClr="000000"/>
              </a:solidFill>
            </a:defRPr>
          </a:pPr>
          <a:r>
            <a:rPr lang="tr-TR" sz="1400" b="1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BRÜT KAR</a:t>
          </a:r>
        </a:p>
      </cx:txPr>
    </cx:title>
    <cx:plotArea>
      <cx:plotAreaRegion>
        <cx:series layoutId="waterfall" uniqueId="{00000000-6277-41B3-AEDA-7F751B818270}">
          <cx:tx>
            <cx:txData>
              <cx:f>_xlchart.v1.34</cx:f>
              <cx:v>BRÜT KAR (ZARAR)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tr-TR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majorGridlines/>
        <cx:tickLabels/>
      </cx:axis>
      <cx:axis id="1">
        <cx:valScaling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_xlchart.v1.27</cx:f>
      </cx:strDim>
      <cx:numDim type="val">
        <cx:f>_xlchart.v1.29</cx:f>
      </cx:numDim>
    </cx:data>
  </cx:chartData>
  <cx:chart>
    <cx:title pos="t" align="ctr" overlay="0">
      <cx:tx>
        <cx:txData>
          <cx:v> NET FAALİYET K/Z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ysClr val="windowText" lastClr="000000"/>
              </a:solidFill>
            </a:defRPr>
          </a:pPr>
          <a:r>
            <a:rPr lang="tr-TR" sz="1400" b="1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 NET FAALİYET K/Z</a:t>
          </a:r>
        </a:p>
      </cx:txPr>
    </cx:title>
    <cx:plotArea>
      <cx:plotAreaRegion>
        <cx:series layoutId="waterfall" uniqueId="{00000000-6277-41B3-AEDA-7F751B818270}">
          <cx:tx>
            <cx:txData>
              <cx:f>_xlchart.v1.28</cx:f>
              <cx:v>Net Faaliyet Kar/Zararı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tr-TR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majorGridlines/>
        <cx:tickLabels/>
      </cx:axis>
      <cx:axis id="1">
        <cx:valScaling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_xlchart.v1.30</cx:f>
      </cx:strDim>
      <cx:numDim type="val">
        <cx:f>_xlchart.v1.32</cx:f>
      </cx:numDim>
    </cx:data>
  </cx:chartData>
  <cx:chart>
    <cx:title pos="t" align="ctr" overlay="0">
      <cx:tx>
        <cx:txData>
          <cx:v>DÖNEM K/Z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ysClr val="windowText" lastClr="000000"/>
              </a:solidFill>
            </a:defRPr>
          </a:pPr>
          <a:r>
            <a:rPr lang="tr-TR" sz="1400" b="1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DÖNEM K/Z</a:t>
          </a:r>
        </a:p>
      </cx:txPr>
    </cx:title>
    <cx:plotArea>
      <cx:plotAreaRegion>
        <cx:series layoutId="waterfall" uniqueId="{00000000-6277-41B3-AEDA-7F751B818270}">
          <cx:tx>
            <cx:txData>
              <cx:f>_xlchart.v1.31</cx:f>
              <cx:v>Ana Ortaklık Payları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tr-TR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majorGridlines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13" Type="http://schemas.openxmlformats.org/officeDocument/2006/relationships/chart" Target="../charts/chart8.xml"/><Relationship Id="rId18" Type="http://schemas.openxmlformats.org/officeDocument/2006/relationships/chart" Target="../charts/chart9.xml"/><Relationship Id="rId3" Type="http://schemas.microsoft.com/office/2014/relationships/chartEx" Target="../charts/chartEx3.xml"/><Relationship Id="rId21" Type="http://schemas.openxmlformats.org/officeDocument/2006/relationships/chart" Target="../charts/chart12.xml"/><Relationship Id="rId7" Type="http://schemas.microsoft.com/office/2014/relationships/chartEx" Target="../charts/chartEx7.xml"/><Relationship Id="rId12" Type="http://schemas.openxmlformats.org/officeDocument/2006/relationships/chart" Target="../charts/chart7.xml"/><Relationship Id="rId17" Type="http://schemas.microsoft.com/office/2014/relationships/chartEx" Target="../charts/chartEx12.xml"/><Relationship Id="rId25" Type="http://schemas.openxmlformats.org/officeDocument/2006/relationships/chart" Target="../charts/chart16.xml"/><Relationship Id="rId2" Type="http://schemas.microsoft.com/office/2014/relationships/chartEx" Target="../charts/chartEx2.xml"/><Relationship Id="rId16" Type="http://schemas.microsoft.com/office/2014/relationships/chartEx" Target="../charts/chartEx11.xml"/><Relationship Id="rId20" Type="http://schemas.openxmlformats.org/officeDocument/2006/relationships/chart" Target="../charts/chart11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11" Type="http://schemas.openxmlformats.org/officeDocument/2006/relationships/chart" Target="../charts/chart6.xml"/><Relationship Id="rId24" Type="http://schemas.openxmlformats.org/officeDocument/2006/relationships/chart" Target="../charts/chart15.xml"/><Relationship Id="rId5" Type="http://schemas.microsoft.com/office/2014/relationships/chartEx" Target="../charts/chartEx5.xml"/><Relationship Id="rId15" Type="http://schemas.microsoft.com/office/2014/relationships/chartEx" Target="../charts/chartEx10.xml"/><Relationship Id="rId23" Type="http://schemas.openxmlformats.org/officeDocument/2006/relationships/chart" Target="../charts/chart14.xml"/><Relationship Id="rId10" Type="http://schemas.openxmlformats.org/officeDocument/2006/relationships/chart" Target="../charts/chart5.xml"/><Relationship Id="rId19" Type="http://schemas.openxmlformats.org/officeDocument/2006/relationships/chart" Target="../charts/chart10.xml"/><Relationship Id="rId4" Type="http://schemas.microsoft.com/office/2014/relationships/chartEx" Target="../charts/chartEx4.xml"/><Relationship Id="rId9" Type="http://schemas.openxmlformats.org/officeDocument/2006/relationships/chart" Target="../charts/chart4.xml"/><Relationship Id="rId14" Type="http://schemas.microsoft.com/office/2014/relationships/chartEx" Target="../charts/chartEx9.xml"/><Relationship Id="rId22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1319893</xdr:colOff>
      <xdr:row>175</xdr:row>
      <xdr:rowOff>91167</xdr:rowOff>
    </xdr:from>
    <xdr:to>
      <xdr:col>11</xdr:col>
      <xdr:colOff>925286</xdr:colOff>
      <xdr:row>208</xdr:row>
      <xdr:rowOff>40821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F35A9D83-4E5C-3ACA-5613-AD4B0A05C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27214</xdr:colOff>
      <xdr:row>174</xdr:row>
      <xdr:rowOff>95250</xdr:rowOff>
    </xdr:from>
    <xdr:to>
      <xdr:col>18</xdr:col>
      <xdr:colOff>367393</xdr:colOff>
      <xdr:row>208</xdr:row>
      <xdr:rowOff>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16A2130B-7A5A-4E3B-A00E-9052673E1C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952500</xdr:colOff>
      <xdr:row>174</xdr:row>
      <xdr:rowOff>13608</xdr:rowOff>
    </xdr:from>
    <xdr:to>
      <xdr:col>28</xdr:col>
      <xdr:colOff>108857</xdr:colOff>
      <xdr:row>206</xdr:row>
      <xdr:rowOff>153762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7BD3B2B9-F6B8-4C91-9F61-F8D2A8DE3F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40820</xdr:colOff>
      <xdr:row>0</xdr:row>
      <xdr:rowOff>0</xdr:rowOff>
    </xdr:from>
    <xdr:to>
      <xdr:col>12</xdr:col>
      <xdr:colOff>544286</xdr:colOff>
      <xdr:row>16</xdr:row>
      <xdr:rowOff>176893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k 1">
              <a:extLst>
                <a:ext uri="{FF2B5EF4-FFF2-40B4-BE49-F238E27FC236}">
                  <a16:creationId xmlns:a16="http://schemas.microsoft.com/office/drawing/2014/main" id="{22C2D739-CD6A-4A16-9C49-C328E6CA71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820" y="0"/>
              <a:ext cx="7818666" cy="32248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grafik, Excel sürümünüzde kullanılamaz.
Bu şekli düzenlemek veya bu çalışma kitabını farklı bir dosya biçiminde kaydetmek grafiğin kalıcı olarak bozulmasına neden olur.</a:t>
              </a:r>
            </a:p>
          </xdr:txBody>
        </xdr:sp>
      </mc:Fallback>
    </mc:AlternateContent>
    <xdr:clientData/>
  </xdr:twoCellAnchor>
  <xdr:twoCellAnchor>
    <xdr:from>
      <xdr:col>27</xdr:col>
      <xdr:colOff>34340</xdr:colOff>
      <xdr:row>0</xdr:row>
      <xdr:rowOff>27214</xdr:rowOff>
    </xdr:from>
    <xdr:to>
      <xdr:col>40</xdr:col>
      <xdr:colOff>149679</xdr:colOff>
      <xdr:row>18</xdr:row>
      <xdr:rowOff>40822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ik 2">
              <a:extLst>
                <a:ext uri="{FF2B5EF4-FFF2-40B4-BE49-F238E27FC236}">
                  <a16:creationId xmlns:a16="http://schemas.microsoft.com/office/drawing/2014/main" id="{12C8336A-357F-40D2-87CE-A9BD49B5F5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93540" y="27214"/>
              <a:ext cx="8040139" cy="34426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grafik, Excel sürümünüzde kullanılamaz.
Bu şekli düzenlemek veya bu çalışma kitabını farklı bir dosya biçiminde kaydetmek grafiğin kalıcı olarak bozulmasına neden olur.</a:t>
              </a:r>
            </a:p>
          </xdr:txBody>
        </xdr:sp>
      </mc:Fallback>
    </mc:AlternateContent>
    <xdr:clientData/>
  </xdr:twoCellAnchor>
  <xdr:twoCellAnchor>
    <xdr:from>
      <xdr:col>13</xdr:col>
      <xdr:colOff>285749</xdr:colOff>
      <xdr:row>0</xdr:row>
      <xdr:rowOff>23131</xdr:rowOff>
    </xdr:from>
    <xdr:to>
      <xdr:col>26</xdr:col>
      <xdr:colOff>394607</xdr:colOff>
      <xdr:row>17</xdr:row>
      <xdr:rowOff>54428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fik 3">
              <a:extLst>
                <a:ext uri="{FF2B5EF4-FFF2-40B4-BE49-F238E27FC236}">
                  <a16:creationId xmlns:a16="http://schemas.microsoft.com/office/drawing/2014/main" id="{F0740A2D-9D37-46E8-8FB2-0D39F49089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10549" y="23131"/>
              <a:ext cx="8033658" cy="32697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grafik, Excel sürümünüzde kullanılamaz.
Bu şekli düzenlemek veya bu çalışma kitabını farklı bir dosya biçiminde kaydetmek grafiğin kalıcı olarak bozulmasına neden olur.</a:t>
              </a:r>
            </a:p>
          </xdr:txBody>
        </xdr:sp>
      </mc:Fallback>
    </mc:AlternateContent>
    <xdr:clientData/>
  </xdr:twoCellAnchor>
  <xdr:twoCellAnchor>
    <xdr:from>
      <xdr:col>0</xdr:col>
      <xdr:colOff>40821</xdr:colOff>
      <xdr:row>17</xdr:row>
      <xdr:rowOff>176893</xdr:rowOff>
    </xdr:from>
    <xdr:to>
      <xdr:col>11</xdr:col>
      <xdr:colOff>231320</xdr:colOff>
      <xdr:row>35</xdr:row>
      <xdr:rowOff>122464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fik 4">
              <a:extLst>
                <a:ext uri="{FF2B5EF4-FFF2-40B4-BE49-F238E27FC236}">
                  <a16:creationId xmlns:a16="http://schemas.microsoft.com/office/drawing/2014/main" id="{679A788A-AE0B-402B-A3B3-2181EF92EB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821" y="3415393"/>
              <a:ext cx="6896099" cy="33745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grafik, Excel sürümünüzde kullanılamaz.
Bu şekli düzenlemek veya bu çalışma kitabını farklı bir dosya biçiminde kaydetmek grafiğin kalıcı olarak bozulmasına neden olur.</a:t>
              </a:r>
            </a:p>
          </xdr:txBody>
        </xdr:sp>
      </mc:Fallback>
    </mc:AlternateContent>
    <xdr:clientData/>
  </xdr:twoCellAnchor>
  <xdr:twoCellAnchor>
    <xdr:from>
      <xdr:col>11</xdr:col>
      <xdr:colOff>408213</xdr:colOff>
      <xdr:row>17</xdr:row>
      <xdr:rowOff>136072</xdr:rowOff>
    </xdr:from>
    <xdr:to>
      <xdr:col>24</xdr:col>
      <xdr:colOff>231321</xdr:colOff>
      <xdr:row>36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afik 6">
              <a:extLst>
                <a:ext uri="{FF2B5EF4-FFF2-40B4-BE49-F238E27FC236}">
                  <a16:creationId xmlns:a16="http://schemas.microsoft.com/office/drawing/2014/main" id="{6B0A4BF5-BC10-49BF-ADB0-90A7A3F919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13813" y="3374572"/>
              <a:ext cx="7747908" cy="34834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grafik, Excel sürümünüzde kullanılamaz.
Bu şekli düzenlemek veya bu çalışma kitabını farklı bir dosya biçiminde kaydetmek grafiğin kalıcı olarak bozulmasına neden olur.</a:t>
              </a:r>
            </a:p>
          </xdr:txBody>
        </xdr:sp>
      </mc:Fallback>
    </mc:AlternateContent>
    <xdr:clientData/>
  </xdr:twoCellAnchor>
  <xdr:twoCellAnchor>
    <xdr:from>
      <xdr:col>25</xdr:col>
      <xdr:colOff>27214</xdr:colOff>
      <xdr:row>18</xdr:row>
      <xdr:rowOff>108857</xdr:rowOff>
    </xdr:from>
    <xdr:to>
      <xdr:col>39</xdr:col>
      <xdr:colOff>503464</xdr:colOff>
      <xdr:row>35</xdr:row>
      <xdr:rowOff>122464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afik 7">
              <a:extLst>
                <a:ext uri="{FF2B5EF4-FFF2-40B4-BE49-F238E27FC236}">
                  <a16:creationId xmlns:a16="http://schemas.microsoft.com/office/drawing/2014/main" id="{8C7B34A4-788B-474C-9E5B-7E53A4475B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67214" y="3537857"/>
              <a:ext cx="9010650" cy="32521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grafik, Excel sürümünüzde kullanılamaz.
Bu şekli düzenlemek veya bu çalışma kitabını farklı bir dosya biçiminde kaydetmek grafiğin kalıcı olarak bozulmasına neden olur.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36</xdr:row>
      <xdr:rowOff>68035</xdr:rowOff>
    </xdr:from>
    <xdr:to>
      <xdr:col>12</xdr:col>
      <xdr:colOff>149678</xdr:colOff>
      <xdr:row>53</xdr:row>
      <xdr:rowOff>176893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afik 5">
              <a:extLst>
                <a:ext uri="{FF2B5EF4-FFF2-40B4-BE49-F238E27FC236}">
                  <a16:creationId xmlns:a16="http://schemas.microsoft.com/office/drawing/2014/main" id="{2809CC9B-2062-4F54-BB57-8FF1BB59B9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926035"/>
              <a:ext cx="7464878" cy="33473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grafik, Excel sürümünüzde kullanılamaz.
Bu şekli düzenlemek veya bu çalışma kitabını farklı bir dosya biçiminde kaydetmek grafiğin kalıcı olarak bozulmasına neden olur.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55</xdr:row>
      <xdr:rowOff>136071</xdr:rowOff>
    </xdr:from>
    <xdr:to>
      <xdr:col>13</xdr:col>
      <xdr:colOff>176893</xdr:colOff>
      <xdr:row>74</xdr:row>
      <xdr:rowOff>40821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afik 8">
              <a:extLst>
                <a:ext uri="{FF2B5EF4-FFF2-40B4-BE49-F238E27FC236}">
                  <a16:creationId xmlns:a16="http://schemas.microsoft.com/office/drawing/2014/main" id="{2FF17CB1-137A-47DE-BAB0-C7AC5442AA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613571"/>
              <a:ext cx="8101693" cy="3524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grafik, Excel sürümünüzde kullanılamaz.
Bu şekli düzenlemek veya bu çalışma kitabını farklı bir dosya biçiminde kaydetmek grafiğin kalıcı olarak bozulmasına neden olur.</a:t>
              </a:r>
            </a:p>
          </xdr:txBody>
        </xdr:sp>
      </mc:Fallback>
    </mc:AlternateContent>
    <xdr:clientData/>
  </xdr:twoCellAnchor>
  <xdr:twoCellAnchor>
    <xdr:from>
      <xdr:col>12</xdr:col>
      <xdr:colOff>340177</xdr:colOff>
      <xdr:row>35</xdr:row>
      <xdr:rowOff>122465</xdr:rowOff>
    </xdr:from>
    <xdr:to>
      <xdr:col>24</xdr:col>
      <xdr:colOff>244929</xdr:colOff>
      <xdr:row>55</xdr:row>
      <xdr:rowOff>136071</xdr:rowOff>
    </xdr:to>
    <xdr:graphicFrame macro="">
      <xdr:nvGraphicFramePr>
        <xdr:cNvPr id="10" name="Grafik 9">
          <a:extLst>
            <a:ext uri="{FF2B5EF4-FFF2-40B4-BE49-F238E27FC236}">
              <a16:creationId xmlns:a16="http://schemas.microsoft.com/office/drawing/2014/main" id="{1B4964FC-F72C-43F8-9910-CBD3D38566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136070</xdr:colOff>
      <xdr:row>36</xdr:row>
      <xdr:rowOff>136068</xdr:rowOff>
    </xdr:from>
    <xdr:to>
      <xdr:col>45</xdr:col>
      <xdr:colOff>40821</xdr:colOff>
      <xdr:row>72</xdr:row>
      <xdr:rowOff>68036</xdr:rowOff>
    </xdr:to>
    <xdr:graphicFrame macro="">
      <xdr:nvGraphicFramePr>
        <xdr:cNvPr id="11" name="Grafik 10">
          <a:extLst>
            <a:ext uri="{FF2B5EF4-FFF2-40B4-BE49-F238E27FC236}">
              <a16:creationId xmlns:a16="http://schemas.microsoft.com/office/drawing/2014/main" id="{B5A72F48-9B2B-4C55-84DD-4ACDD10A2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136070</xdr:colOff>
      <xdr:row>56</xdr:row>
      <xdr:rowOff>27215</xdr:rowOff>
    </xdr:from>
    <xdr:to>
      <xdr:col>25</xdr:col>
      <xdr:colOff>-1</xdr:colOff>
      <xdr:row>73</xdr:row>
      <xdr:rowOff>95250</xdr:rowOff>
    </xdr:to>
    <xdr:graphicFrame macro="">
      <xdr:nvGraphicFramePr>
        <xdr:cNvPr id="12" name="Grafik 11">
          <a:extLst>
            <a:ext uri="{FF2B5EF4-FFF2-40B4-BE49-F238E27FC236}">
              <a16:creationId xmlns:a16="http://schemas.microsoft.com/office/drawing/2014/main" id="{BDF8D208-C5D2-44E5-B0D3-5A87FE467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544285</xdr:colOff>
      <xdr:row>74</xdr:row>
      <xdr:rowOff>136071</xdr:rowOff>
    </xdr:from>
    <xdr:to>
      <xdr:col>13</xdr:col>
      <xdr:colOff>272142</xdr:colOff>
      <xdr:row>93</xdr:row>
      <xdr:rowOff>27214</xdr:rowOff>
    </xdr:to>
    <xdr:graphicFrame macro="">
      <xdr:nvGraphicFramePr>
        <xdr:cNvPr id="13" name="Grafik 12">
          <a:extLst>
            <a:ext uri="{FF2B5EF4-FFF2-40B4-BE49-F238E27FC236}">
              <a16:creationId xmlns:a16="http://schemas.microsoft.com/office/drawing/2014/main" id="{0A054D4F-C433-49FC-A35E-465E7E4E3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136072</xdr:colOff>
      <xdr:row>73</xdr:row>
      <xdr:rowOff>108858</xdr:rowOff>
    </xdr:from>
    <xdr:to>
      <xdr:col>30</xdr:col>
      <xdr:colOff>312964</xdr:colOff>
      <xdr:row>92</xdr:row>
      <xdr:rowOff>163286</xdr:rowOff>
    </xdr:to>
    <xdr:graphicFrame macro="">
      <xdr:nvGraphicFramePr>
        <xdr:cNvPr id="14" name="Grafik 13">
          <a:extLst>
            <a:ext uri="{FF2B5EF4-FFF2-40B4-BE49-F238E27FC236}">
              <a16:creationId xmlns:a16="http://schemas.microsoft.com/office/drawing/2014/main" id="{EDDC7A38-D9B3-4BEF-A15B-66A9915DFE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380999</xdr:colOff>
      <xdr:row>93</xdr:row>
      <xdr:rowOff>163286</xdr:rowOff>
    </xdr:from>
    <xdr:to>
      <xdr:col>10</xdr:col>
      <xdr:colOff>435428</xdr:colOff>
      <xdr:row>109</xdr:row>
      <xdr:rowOff>108857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Grafik 14">
              <a:extLst>
                <a:ext uri="{FF2B5EF4-FFF2-40B4-BE49-F238E27FC236}">
                  <a16:creationId xmlns:a16="http://schemas.microsoft.com/office/drawing/2014/main" id="{F74C87E5-C90F-49CC-8B48-4B96136DCF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999" y="17879786"/>
              <a:ext cx="6150429" cy="29935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grafik, Excel sürümünüzde kullanılamaz.
Bu şekli düzenlemek veya bu çalışma kitabını farklı bir dosya biçiminde kaydetmek grafiğin kalıcı olarak bozulmasına neden olur.</a:t>
              </a:r>
            </a:p>
          </xdr:txBody>
        </xdr:sp>
      </mc:Fallback>
    </mc:AlternateContent>
    <xdr:clientData/>
  </xdr:twoCellAnchor>
  <xdr:twoCellAnchor>
    <xdr:from>
      <xdr:col>11</xdr:col>
      <xdr:colOff>163283</xdr:colOff>
      <xdr:row>93</xdr:row>
      <xdr:rowOff>68036</xdr:rowOff>
    </xdr:from>
    <xdr:to>
      <xdr:col>22</xdr:col>
      <xdr:colOff>489858</xdr:colOff>
      <xdr:row>109</xdr:row>
      <xdr:rowOff>163286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Grafik 15">
              <a:extLst>
                <a:ext uri="{FF2B5EF4-FFF2-40B4-BE49-F238E27FC236}">
                  <a16:creationId xmlns:a16="http://schemas.microsoft.com/office/drawing/2014/main" id="{7071608F-2031-4C10-819E-CD459E4E24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68883" y="17784536"/>
              <a:ext cx="7032175" cy="3143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grafik, Excel sürümünüzde kullanılamaz.
Bu şekli düzenlemek veya bu çalışma kitabını farklı bir dosya biçiminde kaydetmek grafiğin kalıcı olarak bozulmasına neden olur.</a:t>
              </a:r>
            </a:p>
          </xdr:txBody>
        </xdr:sp>
      </mc:Fallback>
    </mc:AlternateContent>
    <xdr:clientData/>
  </xdr:twoCellAnchor>
  <xdr:twoCellAnchor>
    <xdr:from>
      <xdr:col>0</xdr:col>
      <xdr:colOff>163285</xdr:colOff>
      <xdr:row>110</xdr:row>
      <xdr:rowOff>149678</xdr:rowOff>
    </xdr:from>
    <xdr:to>
      <xdr:col>9</xdr:col>
      <xdr:colOff>285749</xdr:colOff>
      <xdr:row>132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Grafik 16">
              <a:extLst>
                <a:ext uri="{FF2B5EF4-FFF2-40B4-BE49-F238E27FC236}">
                  <a16:creationId xmlns:a16="http://schemas.microsoft.com/office/drawing/2014/main" id="{894EF771-0E24-45AD-B033-049A22DF97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285" y="21104678"/>
              <a:ext cx="5608864" cy="40413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grafik, Excel sürümünüzde kullanılamaz.
Bu şekli düzenlemek veya bu çalışma kitabını farklı bir dosya biçiminde kaydetmek grafiğin kalıcı olarak bozulmasına neden olur.</a:t>
              </a:r>
            </a:p>
          </xdr:txBody>
        </xdr:sp>
      </mc:Fallback>
    </mc:AlternateContent>
    <xdr:clientData/>
  </xdr:twoCellAnchor>
  <xdr:twoCellAnchor>
    <xdr:from>
      <xdr:col>9</xdr:col>
      <xdr:colOff>571499</xdr:colOff>
      <xdr:row>112</xdr:row>
      <xdr:rowOff>54427</xdr:rowOff>
    </xdr:from>
    <xdr:to>
      <xdr:col>19</xdr:col>
      <xdr:colOff>244928</xdr:colOff>
      <xdr:row>132</xdr:row>
      <xdr:rowOff>149678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Grafik 17">
              <a:extLst>
                <a:ext uri="{FF2B5EF4-FFF2-40B4-BE49-F238E27FC236}">
                  <a16:creationId xmlns:a16="http://schemas.microsoft.com/office/drawing/2014/main" id="{A9588D0C-9291-4B2B-B061-D35DA5EC61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57899" y="21390427"/>
              <a:ext cx="5769429" cy="39052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grafik, Excel sürümünüzde kullanılamaz.
Bu şekli düzenlemek veya bu çalışma kitabını farklı bir dosya biçiminde kaydetmek grafiğin kalıcı olarak bozulmasına neden olur.</a:t>
              </a:r>
            </a:p>
          </xdr:txBody>
        </xdr:sp>
      </mc:Fallback>
    </mc:AlternateContent>
    <xdr:clientData/>
  </xdr:twoCellAnchor>
  <xdr:twoCellAnchor>
    <xdr:from>
      <xdr:col>23</xdr:col>
      <xdr:colOff>272144</xdr:colOff>
      <xdr:row>93</xdr:row>
      <xdr:rowOff>27214</xdr:rowOff>
    </xdr:from>
    <xdr:to>
      <xdr:col>34</xdr:col>
      <xdr:colOff>489858</xdr:colOff>
      <xdr:row>112</xdr:row>
      <xdr:rowOff>81643</xdr:rowOff>
    </xdr:to>
    <xdr:graphicFrame macro="">
      <xdr:nvGraphicFramePr>
        <xdr:cNvPr id="19" name="Grafik 18">
          <a:extLst>
            <a:ext uri="{FF2B5EF4-FFF2-40B4-BE49-F238E27FC236}">
              <a16:creationId xmlns:a16="http://schemas.microsoft.com/office/drawing/2014/main" id="{1C849FB4-D0AE-4127-B8ED-F33657F69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35</xdr:col>
      <xdr:colOff>476249</xdr:colOff>
      <xdr:row>92</xdr:row>
      <xdr:rowOff>136071</xdr:rowOff>
    </xdr:from>
    <xdr:to>
      <xdr:col>47</xdr:col>
      <xdr:colOff>421822</xdr:colOff>
      <xdr:row>122</xdr:row>
      <xdr:rowOff>40821</xdr:rowOff>
    </xdr:to>
    <xdr:graphicFrame macro="">
      <xdr:nvGraphicFramePr>
        <xdr:cNvPr id="20" name="Grafik 19">
          <a:extLst>
            <a:ext uri="{FF2B5EF4-FFF2-40B4-BE49-F238E27FC236}">
              <a16:creationId xmlns:a16="http://schemas.microsoft.com/office/drawing/2014/main" id="{990D31F8-BB28-410E-90A6-22E773A33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19</xdr:col>
      <xdr:colOff>421822</xdr:colOff>
      <xdr:row>113</xdr:row>
      <xdr:rowOff>40822</xdr:rowOff>
    </xdr:from>
    <xdr:to>
      <xdr:col>31</xdr:col>
      <xdr:colOff>27215</xdr:colOff>
      <xdr:row>132</xdr:row>
      <xdr:rowOff>95251</xdr:rowOff>
    </xdr:to>
    <xdr:graphicFrame macro="">
      <xdr:nvGraphicFramePr>
        <xdr:cNvPr id="21" name="Grafik 20">
          <a:extLst>
            <a:ext uri="{FF2B5EF4-FFF2-40B4-BE49-F238E27FC236}">
              <a16:creationId xmlns:a16="http://schemas.microsoft.com/office/drawing/2014/main" id="{BC43FD35-961C-40A5-922B-4AD1D31DE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27</xdr:col>
      <xdr:colOff>122463</xdr:colOff>
      <xdr:row>133</xdr:row>
      <xdr:rowOff>68035</xdr:rowOff>
    </xdr:from>
    <xdr:to>
      <xdr:col>39</xdr:col>
      <xdr:colOff>571499</xdr:colOff>
      <xdr:row>154</xdr:row>
      <xdr:rowOff>40821</xdr:rowOff>
    </xdr:to>
    <xdr:graphicFrame macro="">
      <xdr:nvGraphicFramePr>
        <xdr:cNvPr id="22" name="Grafik 21">
          <a:extLst>
            <a:ext uri="{FF2B5EF4-FFF2-40B4-BE49-F238E27FC236}">
              <a16:creationId xmlns:a16="http://schemas.microsoft.com/office/drawing/2014/main" id="{EF0F99A9-A86A-4E70-80B2-3D444634A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122464</xdr:colOff>
      <xdr:row>134</xdr:row>
      <xdr:rowOff>40822</xdr:rowOff>
    </xdr:from>
    <xdr:to>
      <xdr:col>11</xdr:col>
      <xdr:colOff>340178</xdr:colOff>
      <xdr:row>153</xdr:row>
      <xdr:rowOff>95251</xdr:rowOff>
    </xdr:to>
    <xdr:graphicFrame macro="">
      <xdr:nvGraphicFramePr>
        <xdr:cNvPr id="23" name="Grafik 22">
          <a:extLst>
            <a:ext uri="{FF2B5EF4-FFF2-40B4-BE49-F238E27FC236}">
              <a16:creationId xmlns:a16="http://schemas.microsoft.com/office/drawing/2014/main" id="{19F5D14C-E809-4CA3-B5BE-47D781E02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122465</xdr:colOff>
      <xdr:row>133</xdr:row>
      <xdr:rowOff>163286</xdr:rowOff>
    </xdr:from>
    <xdr:to>
      <xdr:col>26</xdr:col>
      <xdr:colOff>163286</xdr:colOff>
      <xdr:row>153</xdr:row>
      <xdr:rowOff>149679</xdr:rowOff>
    </xdr:to>
    <xdr:graphicFrame macro="">
      <xdr:nvGraphicFramePr>
        <xdr:cNvPr id="24" name="Grafik 23">
          <a:extLst>
            <a:ext uri="{FF2B5EF4-FFF2-40B4-BE49-F238E27FC236}">
              <a16:creationId xmlns:a16="http://schemas.microsoft.com/office/drawing/2014/main" id="{32746D8F-DE97-4525-AF7D-F88D4DDF5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95250</xdr:colOff>
      <xdr:row>155</xdr:row>
      <xdr:rowOff>0</xdr:rowOff>
    </xdr:from>
    <xdr:to>
      <xdr:col>11</xdr:col>
      <xdr:colOff>312964</xdr:colOff>
      <xdr:row>174</xdr:row>
      <xdr:rowOff>54429</xdr:rowOff>
    </xdr:to>
    <xdr:graphicFrame macro="">
      <xdr:nvGraphicFramePr>
        <xdr:cNvPr id="25" name="Grafik 24">
          <a:extLst>
            <a:ext uri="{FF2B5EF4-FFF2-40B4-BE49-F238E27FC236}">
              <a16:creationId xmlns:a16="http://schemas.microsoft.com/office/drawing/2014/main" id="{E4E8DE24-9E26-464E-A600-A7A9DBD0B3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476250</xdr:colOff>
      <xdr:row>155</xdr:row>
      <xdr:rowOff>13607</xdr:rowOff>
    </xdr:from>
    <xdr:to>
      <xdr:col>25</xdr:col>
      <xdr:colOff>176893</xdr:colOff>
      <xdr:row>174</xdr:row>
      <xdr:rowOff>176893</xdr:rowOff>
    </xdr:to>
    <xdr:graphicFrame macro="">
      <xdr:nvGraphicFramePr>
        <xdr:cNvPr id="26" name="Grafik 25">
          <a:extLst>
            <a:ext uri="{FF2B5EF4-FFF2-40B4-BE49-F238E27FC236}">
              <a16:creationId xmlns:a16="http://schemas.microsoft.com/office/drawing/2014/main" id="{0B3960AB-C95B-450C-9598-34C7656D2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173689</xdr:colOff>
      <xdr:row>70</xdr:row>
      <xdr:rowOff>57149</xdr:rowOff>
    </xdr:from>
    <xdr:to>
      <xdr:col>8</xdr:col>
      <xdr:colOff>762000</xdr:colOff>
      <xdr:row>98</xdr:row>
      <xdr:rowOff>89647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678C711E-0ED9-8506-21B0-31A82CE7F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986118</xdr:colOff>
      <xdr:row>70</xdr:row>
      <xdr:rowOff>123265</xdr:rowOff>
    </xdr:from>
    <xdr:to>
      <xdr:col>18</xdr:col>
      <xdr:colOff>935694</xdr:colOff>
      <xdr:row>98</xdr:row>
      <xdr:rowOff>155763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A763E981-973B-4930-9A0B-54CAF7F7E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9"/>
  <sheetViews>
    <sheetView topLeftCell="A103" zoomScale="70" zoomScaleNormal="70" workbookViewId="0">
      <selection activeCell="B2" sqref="B2:X149"/>
    </sheetView>
  </sheetViews>
  <sheetFormatPr defaultRowHeight="15" x14ac:dyDescent="0.25"/>
  <cols>
    <col min="1" max="1" width="65" bestFit="1" customWidth="1"/>
    <col min="2" max="2" width="18.7109375" bestFit="1" customWidth="1"/>
    <col min="3" max="3" width="19.7109375" bestFit="1" customWidth="1"/>
    <col min="4" max="6" width="18.7109375" bestFit="1" customWidth="1"/>
    <col min="7" max="8" width="19.7109375" bestFit="1" customWidth="1"/>
    <col min="9" max="18" width="18.7109375" bestFit="1" customWidth="1"/>
    <col min="19" max="22" width="13.140625" bestFit="1" customWidth="1"/>
    <col min="23" max="23" width="13.140625" customWidth="1"/>
  </cols>
  <sheetData>
    <row r="1" spans="1:24" x14ac:dyDescent="0.25">
      <c r="B1">
        <f>IF(B2&lt;&gt;"",COLUMN(B2),"")</f>
        <v>2</v>
      </c>
      <c r="C1">
        <f t="shared" ref="C1:X1" si="0">IF(C2&lt;&gt;"",COLUMN(C2),"")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  <c r="T1">
        <f t="shared" si="0"/>
        <v>20</v>
      </c>
      <c r="U1">
        <f t="shared" si="0"/>
        <v>21</v>
      </c>
      <c r="V1">
        <f t="shared" si="0"/>
        <v>22</v>
      </c>
      <c r="W1">
        <f t="shared" si="0"/>
        <v>23</v>
      </c>
      <c r="X1">
        <f t="shared" si="0"/>
        <v>24</v>
      </c>
    </row>
    <row r="2" spans="1:24" x14ac:dyDescent="0.25">
      <c r="A2" s="1" t="s">
        <v>0</v>
      </c>
      <c r="B2" s="41" t="s">
        <v>259</v>
      </c>
      <c r="C2" s="41" t="s">
        <v>187</v>
      </c>
      <c r="D2" s="41" t="s">
        <v>185</v>
      </c>
      <c r="E2" s="41" t="s">
        <v>165</v>
      </c>
      <c r="F2" s="41" t="s">
        <v>1</v>
      </c>
      <c r="G2" s="41" t="s">
        <v>2</v>
      </c>
      <c r="H2" s="41" t="s">
        <v>3</v>
      </c>
      <c r="I2" s="41" t="s">
        <v>4</v>
      </c>
      <c r="J2" s="41" t="s">
        <v>5</v>
      </c>
      <c r="K2" s="41" t="s">
        <v>182</v>
      </c>
      <c r="L2" s="41" t="s">
        <v>183</v>
      </c>
      <c r="M2" s="41" t="s">
        <v>186</v>
      </c>
      <c r="N2" s="41" t="s">
        <v>188</v>
      </c>
      <c r="O2" s="41" t="s">
        <v>189</v>
      </c>
      <c r="P2" s="41" t="s">
        <v>190</v>
      </c>
      <c r="Q2" s="41" t="s">
        <v>191</v>
      </c>
      <c r="R2" s="41" t="s">
        <v>192</v>
      </c>
      <c r="S2" s="41" t="s">
        <v>193</v>
      </c>
      <c r="T2" s="41" t="s">
        <v>194</v>
      </c>
      <c r="U2" s="41" t="s">
        <v>195</v>
      </c>
      <c r="V2" s="41" t="s">
        <v>196</v>
      </c>
      <c r="W2" s="41" t="s">
        <v>197</v>
      </c>
      <c r="X2" s="41" t="s">
        <v>198</v>
      </c>
    </row>
    <row r="3" spans="1:24" x14ac:dyDescent="0.25">
      <c r="A3" t="s">
        <v>6</v>
      </c>
      <c r="B3">
        <v>90083589000</v>
      </c>
      <c r="C3">
        <v>84668198000</v>
      </c>
      <c r="D3">
        <v>77284896000</v>
      </c>
      <c r="E3">
        <v>81667657435</v>
      </c>
      <c r="F3">
        <v>58862926000</v>
      </c>
      <c r="G3">
        <v>47885764000</v>
      </c>
      <c r="H3">
        <v>43524184000</v>
      </c>
      <c r="I3">
        <v>53401735000</v>
      </c>
      <c r="J3">
        <v>31285963000</v>
      </c>
      <c r="K3">
        <v>29099280000</v>
      </c>
      <c r="L3">
        <v>28508097000</v>
      </c>
      <c r="M3">
        <v>41773214000</v>
      </c>
      <c r="N3">
        <v>25073546000</v>
      </c>
      <c r="O3">
        <v>22487525000</v>
      </c>
      <c r="P3">
        <v>20954562000</v>
      </c>
      <c r="Q3">
        <v>18764940000</v>
      </c>
      <c r="R3">
        <v>13852909000</v>
      </c>
      <c r="S3">
        <v>15405235000</v>
      </c>
      <c r="T3">
        <v>15365396000</v>
      </c>
      <c r="U3">
        <v>14701119000</v>
      </c>
      <c r="V3">
        <v>11927735000</v>
      </c>
      <c r="W3">
        <v>10298815000</v>
      </c>
      <c r="X3">
        <v>9224526000</v>
      </c>
    </row>
    <row r="4" spans="1:24" x14ac:dyDescent="0.25">
      <c r="A4" t="s">
        <v>7</v>
      </c>
      <c r="B4">
        <v>29570256000</v>
      </c>
      <c r="C4">
        <v>27391388000</v>
      </c>
      <c r="D4">
        <v>23936928000</v>
      </c>
      <c r="E4">
        <v>32998196584</v>
      </c>
      <c r="F4">
        <v>23329331000</v>
      </c>
      <c r="G4">
        <v>16724845000</v>
      </c>
      <c r="H4">
        <v>12662493000</v>
      </c>
      <c r="I4">
        <v>16830554000</v>
      </c>
      <c r="J4">
        <v>9682950000</v>
      </c>
      <c r="K4">
        <v>8758014000</v>
      </c>
      <c r="L4">
        <v>9861492000</v>
      </c>
      <c r="M4">
        <v>15249460000</v>
      </c>
      <c r="N4">
        <v>3765411000</v>
      </c>
      <c r="O4">
        <v>3324052000</v>
      </c>
      <c r="P4">
        <v>2985113000</v>
      </c>
      <c r="Q4">
        <v>3004834000</v>
      </c>
      <c r="R4">
        <v>2862609000</v>
      </c>
      <c r="S4">
        <v>2762136000</v>
      </c>
      <c r="T4">
        <v>3367634000</v>
      </c>
      <c r="U4">
        <v>3835520000</v>
      </c>
      <c r="V4">
        <v>3532368000</v>
      </c>
      <c r="W4">
        <v>2956000000</v>
      </c>
      <c r="X4">
        <v>1219355000</v>
      </c>
    </row>
    <row r="5" spans="1:24" x14ac:dyDescent="0.25">
      <c r="A5" t="s">
        <v>8</v>
      </c>
      <c r="B5">
        <v>6245000</v>
      </c>
      <c r="C5">
        <v>6021000</v>
      </c>
      <c r="D5">
        <v>5768000</v>
      </c>
      <c r="E5">
        <v>6827132</v>
      </c>
      <c r="F5">
        <v>4825000</v>
      </c>
      <c r="G5">
        <v>4664000</v>
      </c>
      <c r="H5">
        <v>4594000</v>
      </c>
      <c r="I5">
        <v>6107000</v>
      </c>
      <c r="J5">
        <v>3565000</v>
      </c>
      <c r="K5">
        <v>3957000</v>
      </c>
      <c r="L5">
        <v>3200000</v>
      </c>
      <c r="M5">
        <v>346842000</v>
      </c>
      <c r="N5">
        <v>5721346000</v>
      </c>
      <c r="O5">
        <v>6366126000</v>
      </c>
      <c r="P5">
        <v>6345108000</v>
      </c>
      <c r="Q5">
        <v>6414869000</v>
      </c>
      <c r="R5">
        <v>4277960000</v>
      </c>
      <c r="S5">
        <v>6005890000</v>
      </c>
      <c r="T5">
        <v>5597490000</v>
      </c>
      <c r="U5">
        <v>3639474000</v>
      </c>
      <c r="V5">
        <v>2374641000</v>
      </c>
      <c r="W5">
        <v>3605728000</v>
      </c>
      <c r="X5">
        <v>3820230000</v>
      </c>
    </row>
    <row r="6" spans="1:24" x14ac:dyDescent="0.25">
      <c r="A6" t="s">
        <v>9</v>
      </c>
      <c r="B6">
        <v>29618330000</v>
      </c>
      <c r="C6">
        <v>26522023000</v>
      </c>
      <c r="D6">
        <v>27378948000</v>
      </c>
      <c r="E6">
        <v>27468684631</v>
      </c>
      <c r="F6">
        <v>18441357000</v>
      </c>
      <c r="G6">
        <v>15131201000</v>
      </c>
      <c r="H6">
        <v>16356844000</v>
      </c>
      <c r="I6">
        <v>17421913000</v>
      </c>
      <c r="J6">
        <v>10893157000</v>
      </c>
      <c r="K6">
        <v>9892760000</v>
      </c>
      <c r="L6">
        <v>9524879000</v>
      </c>
      <c r="M6">
        <v>12173983000</v>
      </c>
      <c r="N6">
        <v>7042688000</v>
      </c>
      <c r="O6">
        <v>5789621000</v>
      </c>
      <c r="P6">
        <v>5856073000</v>
      </c>
      <c r="Q6">
        <v>4687911000</v>
      </c>
      <c r="R6">
        <v>3642113000</v>
      </c>
      <c r="S6">
        <v>3284920000</v>
      </c>
      <c r="T6">
        <v>3256697000</v>
      </c>
      <c r="U6">
        <v>3092000000</v>
      </c>
      <c r="V6">
        <v>2889558000</v>
      </c>
      <c r="W6">
        <v>2577242000</v>
      </c>
      <c r="X6">
        <v>2726899000</v>
      </c>
    </row>
    <row r="7" spans="1:24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25">
      <c r="A8" t="s">
        <v>11</v>
      </c>
      <c r="B8">
        <v>2530647000</v>
      </c>
      <c r="C8">
        <v>2651416000</v>
      </c>
      <c r="D8">
        <v>2996655000</v>
      </c>
      <c r="E8">
        <v>3328891227</v>
      </c>
      <c r="F8">
        <v>2518982000</v>
      </c>
      <c r="G8">
        <v>2353734000</v>
      </c>
      <c r="H8">
        <v>2862491000</v>
      </c>
      <c r="I8">
        <v>3124601000</v>
      </c>
      <c r="J8">
        <v>2346415000</v>
      </c>
      <c r="K8">
        <v>2126914000</v>
      </c>
      <c r="L8">
        <v>1755461000</v>
      </c>
      <c r="M8">
        <v>2566503000</v>
      </c>
      <c r="N8">
        <v>1399047000</v>
      </c>
      <c r="O8">
        <v>1190109000</v>
      </c>
      <c r="P8">
        <v>948909000</v>
      </c>
      <c r="Q8">
        <v>614402000</v>
      </c>
      <c r="R8">
        <v>609152000</v>
      </c>
      <c r="S8">
        <v>2137532000</v>
      </c>
      <c r="T8">
        <v>1974940000</v>
      </c>
      <c r="U8">
        <v>2214736000</v>
      </c>
      <c r="V8">
        <v>1870764000</v>
      </c>
      <c r="W8">
        <v>158926000</v>
      </c>
      <c r="X8">
        <v>180177000</v>
      </c>
    </row>
    <row r="9" spans="1:24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5">
      <c r="A10" t="s">
        <v>13</v>
      </c>
      <c r="B10">
        <v>23046205000</v>
      </c>
      <c r="C10">
        <v>23571112000</v>
      </c>
      <c r="D10">
        <v>19099042000</v>
      </c>
      <c r="E10">
        <v>14839141804</v>
      </c>
      <c r="F10">
        <v>10998733000</v>
      </c>
      <c r="G10">
        <v>10414885000</v>
      </c>
      <c r="H10">
        <v>8999055000</v>
      </c>
      <c r="I10">
        <v>12115210000</v>
      </c>
      <c r="J10">
        <v>6664345000</v>
      </c>
      <c r="K10">
        <v>6555159000</v>
      </c>
      <c r="L10">
        <v>5520627000</v>
      </c>
      <c r="M10">
        <v>8516384000</v>
      </c>
      <c r="N10">
        <v>5402135000</v>
      </c>
      <c r="O10">
        <v>4279769000</v>
      </c>
      <c r="P10">
        <v>3744893000</v>
      </c>
      <c r="Q10">
        <v>3218231000</v>
      </c>
      <c r="R10">
        <v>2028702000</v>
      </c>
      <c r="S10">
        <v>961339000</v>
      </c>
      <c r="T10">
        <v>928950000</v>
      </c>
      <c r="U10">
        <v>1695858000</v>
      </c>
      <c r="V10">
        <v>897909000</v>
      </c>
      <c r="W10">
        <v>804703000</v>
      </c>
      <c r="X10">
        <v>671929000</v>
      </c>
    </row>
    <row r="11" spans="1:24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25">
      <c r="A12" t="s">
        <v>15</v>
      </c>
      <c r="B12">
        <v>5311906000</v>
      </c>
      <c r="C12">
        <v>4526238000</v>
      </c>
      <c r="D12">
        <v>3867555000</v>
      </c>
      <c r="E12">
        <v>3025916057</v>
      </c>
      <c r="F12">
        <v>3569698000</v>
      </c>
      <c r="G12">
        <v>3256435000</v>
      </c>
      <c r="H12">
        <v>2638707000</v>
      </c>
      <c r="I12">
        <v>3903350000</v>
      </c>
      <c r="J12">
        <v>1695531000</v>
      </c>
      <c r="K12">
        <v>1762476000</v>
      </c>
      <c r="L12">
        <v>1842438000</v>
      </c>
      <c r="M12">
        <v>2920042000</v>
      </c>
      <c r="N12">
        <v>1742919000</v>
      </c>
      <c r="O12">
        <v>1537848000</v>
      </c>
      <c r="P12">
        <v>1074466000</v>
      </c>
      <c r="Q12">
        <v>824693000</v>
      </c>
      <c r="R12">
        <v>432373000</v>
      </c>
      <c r="S12">
        <v>253418000</v>
      </c>
      <c r="T12">
        <v>239685000</v>
      </c>
      <c r="U12">
        <v>223531000</v>
      </c>
      <c r="V12">
        <v>362495000</v>
      </c>
      <c r="W12">
        <v>196216000</v>
      </c>
      <c r="X12">
        <v>605936000</v>
      </c>
    </row>
    <row r="13" spans="1:24" x14ac:dyDescent="0.25">
      <c r="A13" t="s">
        <v>16</v>
      </c>
      <c r="B13">
        <v>90083589000</v>
      </c>
      <c r="C13">
        <v>84668198000</v>
      </c>
      <c r="D13">
        <v>77284896000</v>
      </c>
      <c r="E13">
        <v>81667657435</v>
      </c>
      <c r="F13">
        <v>58862926000</v>
      </c>
      <c r="G13">
        <v>47885764000</v>
      </c>
      <c r="H13">
        <v>43524184000</v>
      </c>
      <c r="I13">
        <v>53401735000</v>
      </c>
      <c r="J13">
        <v>31285963000</v>
      </c>
      <c r="K13">
        <v>29099280000</v>
      </c>
      <c r="L13">
        <v>28508097000</v>
      </c>
      <c r="M13">
        <v>41773214000</v>
      </c>
      <c r="N13">
        <v>25073546000</v>
      </c>
      <c r="O13">
        <v>22487525000</v>
      </c>
      <c r="P13">
        <v>20954562000</v>
      </c>
      <c r="Q13">
        <v>18764940000</v>
      </c>
      <c r="R13">
        <v>13852909000</v>
      </c>
      <c r="S13">
        <v>15405235000</v>
      </c>
      <c r="T13">
        <v>15365396000</v>
      </c>
      <c r="U13">
        <v>14701119000</v>
      </c>
      <c r="V13">
        <v>11927735000</v>
      </c>
      <c r="W13">
        <v>10298815000</v>
      </c>
      <c r="X13">
        <v>9224526000</v>
      </c>
    </row>
    <row r="14" spans="1:24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25">
      <c r="A15" t="s">
        <v>18</v>
      </c>
      <c r="B15">
        <v>39124999000</v>
      </c>
      <c r="C15">
        <v>37047265000</v>
      </c>
      <c r="D15">
        <v>34994743000</v>
      </c>
      <c r="E15">
        <v>40547718183</v>
      </c>
      <c r="F15">
        <v>31014857000</v>
      </c>
      <c r="G15">
        <v>28366804000</v>
      </c>
      <c r="H15">
        <v>26729474000</v>
      </c>
      <c r="I15">
        <v>35520636000</v>
      </c>
      <c r="J15">
        <v>16774736000</v>
      </c>
      <c r="K15">
        <v>15826788000</v>
      </c>
      <c r="L15">
        <v>12814875000</v>
      </c>
      <c r="M15">
        <v>24375958000</v>
      </c>
      <c r="N15">
        <v>9534207000</v>
      </c>
      <c r="O15">
        <v>8843321000</v>
      </c>
      <c r="P15">
        <v>7806122000</v>
      </c>
      <c r="Q15">
        <v>7478685000</v>
      </c>
      <c r="R15">
        <v>5033462000</v>
      </c>
      <c r="S15">
        <v>4890296000</v>
      </c>
      <c r="T15">
        <v>4803511000</v>
      </c>
      <c r="U15">
        <v>4790555000</v>
      </c>
      <c r="V15">
        <v>4563249000</v>
      </c>
      <c r="W15">
        <v>4347719000</v>
      </c>
      <c r="X15">
        <v>4127780000</v>
      </c>
    </row>
    <row r="16" spans="1:24" x14ac:dyDescent="0.25">
      <c r="A16" t="s">
        <v>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25">
      <c r="A17" t="s">
        <v>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25">
      <c r="A18" t="s">
        <v>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369000</v>
      </c>
      <c r="V18">
        <v>392000</v>
      </c>
      <c r="W18">
        <v>344000</v>
      </c>
      <c r="X18">
        <v>327000</v>
      </c>
    </row>
    <row r="19" spans="1:24" x14ac:dyDescent="0.25">
      <c r="A19" t="s">
        <v>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25">
      <c r="A20" t="s">
        <v>8</v>
      </c>
      <c r="B20">
        <v>5842024000</v>
      </c>
      <c r="C20">
        <v>5593308000</v>
      </c>
      <c r="D20">
        <v>5277871000</v>
      </c>
      <c r="E20">
        <v>6154145029</v>
      </c>
      <c r="F20">
        <v>4677269000</v>
      </c>
      <c r="G20">
        <v>4468086000</v>
      </c>
      <c r="H20">
        <v>4396115000</v>
      </c>
      <c r="I20">
        <v>5789065000</v>
      </c>
      <c r="J20">
        <v>3917624000</v>
      </c>
      <c r="K20">
        <v>3700845000</v>
      </c>
      <c r="L20">
        <v>2742214000</v>
      </c>
      <c r="M20">
        <v>4427784000</v>
      </c>
      <c r="N20">
        <v>2609793000</v>
      </c>
      <c r="O20">
        <v>2348069000</v>
      </c>
      <c r="P20">
        <v>1878478000</v>
      </c>
      <c r="Q20">
        <v>1878478000</v>
      </c>
      <c r="R20">
        <v>978106000</v>
      </c>
      <c r="S20">
        <v>978106000</v>
      </c>
      <c r="T20">
        <v>978106000</v>
      </c>
      <c r="U20">
        <v>978106000</v>
      </c>
      <c r="V20">
        <v>1108045000</v>
      </c>
      <c r="W20">
        <v>1108045000</v>
      </c>
      <c r="X20">
        <v>946029000</v>
      </c>
    </row>
    <row r="21" spans="1:24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5">
      <c r="A22" t="s">
        <v>14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5">
      <c r="A23" t="s">
        <v>20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26145000</v>
      </c>
      <c r="V23">
        <v>21155000</v>
      </c>
      <c r="W23">
        <v>21155000</v>
      </c>
      <c r="X23">
        <v>21155000</v>
      </c>
    </row>
    <row r="24" spans="1:24" x14ac:dyDescent="0.25">
      <c r="A24" t="s">
        <v>13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25">
      <c r="A25" t="s">
        <v>21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5">
      <c r="A26" t="s">
        <v>22</v>
      </c>
      <c r="B26">
        <v>28267630000</v>
      </c>
      <c r="C26">
        <v>26432007000</v>
      </c>
      <c r="D26">
        <v>25199949000</v>
      </c>
      <c r="E26">
        <v>29171294705</v>
      </c>
      <c r="F26">
        <v>21438911000</v>
      </c>
      <c r="G26">
        <v>19590032000</v>
      </c>
      <c r="H26">
        <v>18307403000</v>
      </c>
      <c r="I26">
        <v>23496675000</v>
      </c>
      <c r="J26">
        <v>7676919000</v>
      </c>
      <c r="K26">
        <v>7446514000</v>
      </c>
      <c r="L26">
        <v>6823652000</v>
      </c>
      <c r="M26">
        <v>14702973000</v>
      </c>
      <c r="N26">
        <v>4084893000</v>
      </c>
      <c r="O26">
        <v>3869100000</v>
      </c>
      <c r="P26">
        <v>3680546000</v>
      </c>
      <c r="Q26">
        <v>3640893000</v>
      </c>
      <c r="R26">
        <v>2943696000</v>
      </c>
      <c r="S26">
        <v>2791451000</v>
      </c>
      <c r="T26">
        <v>2747508000</v>
      </c>
      <c r="U26">
        <v>2846826000</v>
      </c>
      <c r="V26">
        <v>2491983000</v>
      </c>
      <c r="W26">
        <v>2418095000</v>
      </c>
      <c r="X26">
        <v>2394753000</v>
      </c>
    </row>
    <row r="27" spans="1:24" x14ac:dyDescent="0.25">
      <c r="A27" t="s">
        <v>23</v>
      </c>
      <c r="B27">
        <v>2779480000</v>
      </c>
      <c r="C27">
        <v>2713447000</v>
      </c>
      <c r="D27">
        <v>2434935000</v>
      </c>
      <c r="E27">
        <v>2766906467</v>
      </c>
      <c r="F27">
        <v>2272486000</v>
      </c>
      <c r="G27">
        <v>2067681000</v>
      </c>
      <c r="H27">
        <v>2029258000</v>
      </c>
      <c r="I27">
        <v>2697488000</v>
      </c>
      <c r="J27">
        <v>1670732000</v>
      </c>
      <c r="K27">
        <v>1637099000</v>
      </c>
      <c r="L27">
        <v>1180644000</v>
      </c>
      <c r="M27">
        <v>1849100000</v>
      </c>
      <c r="N27">
        <v>1027022000</v>
      </c>
      <c r="O27">
        <v>1006742000</v>
      </c>
      <c r="P27">
        <v>957117000</v>
      </c>
      <c r="Q27">
        <v>896538000</v>
      </c>
      <c r="R27">
        <v>594683000</v>
      </c>
      <c r="S27">
        <v>598840000</v>
      </c>
      <c r="T27">
        <v>570911000</v>
      </c>
      <c r="U27">
        <v>496196000</v>
      </c>
      <c r="V27">
        <v>500542000</v>
      </c>
      <c r="W27">
        <v>420567000</v>
      </c>
      <c r="X27">
        <v>402089000</v>
      </c>
    </row>
    <row r="28" spans="1:24" x14ac:dyDescent="0.25">
      <c r="A28" t="s">
        <v>24</v>
      </c>
      <c r="B28">
        <v>2026672000</v>
      </c>
      <c r="C28">
        <v>1942223000</v>
      </c>
      <c r="D28">
        <v>1826601000</v>
      </c>
      <c r="E28">
        <v>2127769968</v>
      </c>
      <c r="F28">
        <v>1658872000</v>
      </c>
      <c r="G28">
        <v>1581241000</v>
      </c>
      <c r="H28">
        <v>1556256000</v>
      </c>
      <c r="I28">
        <v>2049530000</v>
      </c>
      <c r="J28">
        <v>1307032000</v>
      </c>
      <c r="K28">
        <v>1243170000</v>
      </c>
      <c r="L28">
        <v>920027000</v>
      </c>
      <c r="M28">
        <v>1480106000</v>
      </c>
      <c r="N28">
        <v>871513000</v>
      </c>
      <c r="O28">
        <v>795929000</v>
      </c>
      <c r="P28">
        <v>710073000</v>
      </c>
      <c r="Q28">
        <v>651304000</v>
      </c>
      <c r="R28">
        <v>434733000</v>
      </c>
      <c r="S28">
        <v>429141000</v>
      </c>
      <c r="T28">
        <v>410498000</v>
      </c>
      <c r="U28">
        <v>363782000</v>
      </c>
      <c r="V28">
        <v>382076000</v>
      </c>
      <c r="W28">
        <v>333876000</v>
      </c>
      <c r="X28">
        <v>317795000</v>
      </c>
    </row>
    <row r="29" spans="1:24" x14ac:dyDescent="0.25">
      <c r="A29" t="s">
        <v>25</v>
      </c>
      <c r="B29">
        <v>80675000</v>
      </c>
      <c r="C29">
        <v>220504000</v>
      </c>
      <c r="D29">
        <v>110485000</v>
      </c>
      <c r="E29">
        <v>193234314</v>
      </c>
      <c r="F29">
        <v>756229000</v>
      </c>
      <c r="G29">
        <v>407308000</v>
      </c>
      <c r="H29">
        <v>245128000</v>
      </c>
      <c r="I29">
        <v>1168117000</v>
      </c>
      <c r="J29">
        <v>2071276000</v>
      </c>
      <c r="K29">
        <v>1678155000</v>
      </c>
      <c r="L29">
        <v>1114303000</v>
      </c>
      <c r="M29">
        <v>1703599000</v>
      </c>
      <c r="N29">
        <v>829582000</v>
      </c>
      <c r="O29">
        <v>730652000</v>
      </c>
      <c r="P29">
        <v>500654000</v>
      </c>
      <c r="Q29">
        <v>327839000</v>
      </c>
      <c r="R29">
        <v>40028000</v>
      </c>
      <c r="S29">
        <v>34417000</v>
      </c>
      <c r="T29">
        <v>31047000</v>
      </c>
      <c r="U29">
        <v>30467000</v>
      </c>
      <c r="V29">
        <v>41955000</v>
      </c>
      <c r="W29">
        <v>34275000</v>
      </c>
      <c r="X29">
        <v>40508000</v>
      </c>
    </row>
    <row r="30" spans="1:24" x14ac:dyDescent="0.25">
      <c r="A30" t="s">
        <v>26</v>
      </c>
      <c r="B30">
        <v>128518000</v>
      </c>
      <c r="C30">
        <v>145776000</v>
      </c>
      <c r="D30">
        <v>144902000</v>
      </c>
      <c r="E30">
        <v>134367700</v>
      </c>
      <c r="F30">
        <v>211090000</v>
      </c>
      <c r="G30">
        <v>252456000</v>
      </c>
      <c r="H30">
        <v>195314000</v>
      </c>
      <c r="I30">
        <v>319761000</v>
      </c>
      <c r="J30">
        <v>131153000</v>
      </c>
      <c r="K30">
        <v>121005000</v>
      </c>
      <c r="L30">
        <v>34035000</v>
      </c>
      <c r="M30">
        <v>212396000</v>
      </c>
      <c r="N30">
        <v>111404000</v>
      </c>
      <c r="O30">
        <v>92829000</v>
      </c>
      <c r="P30">
        <v>79254000</v>
      </c>
      <c r="Q30">
        <v>83633000</v>
      </c>
      <c r="R30">
        <v>42216000</v>
      </c>
      <c r="S30">
        <v>58341000</v>
      </c>
      <c r="T30">
        <v>65441000</v>
      </c>
      <c r="U30">
        <v>48664000</v>
      </c>
      <c r="V30">
        <v>17101000</v>
      </c>
      <c r="W30">
        <v>11362000</v>
      </c>
      <c r="X30">
        <v>5124000</v>
      </c>
    </row>
    <row r="31" spans="1:24" x14ac:dyDescent="0.25">
      <c r="A31" t="s">
        <v>27</v>
      </c>
      <c r="B31">
        <v>129208588000</v>
      </c>
      <c r="C31">
        <v>121715463000</v>
      </c>
      <c r="D31">
        <v>112279639000</v>
      </c>
      <c r="E31">
        <v>122215375618</v>
      </c>
      <c r="F31">
        <v>89877783000</v>
      </c>
      <c r="G31">
        <v>76252568000</v>
      </c>
      <c r="H31">
        <v>70253658000</v>
      </c>
      <c r="I31">
        <v>88922371000</v>
      </c>
      <c r="J31">
        <v>48060699000</v>
      </c>
      <c r="K31">
        <v>44926068000</v>
      </c>
      <c r="L31">
        <v>41322972000</v>
      </c>
      <c r="M31">
        <v>66149172000</v>
      </c>
      <c r="N31">
        <v>34607753000</v>
      </c>
      <c r="O31">
        <v>31330846000</v>
      </c>
      <c r="P31">
        <v>28760684000</v>
      </c>
      <c r="Q31">
        <v>26243625000</v>
      </c>
      <c r="R31">
        <v>18886371000</v>
      </c>
      <c r="S31">
        <v>20295531000</v>
      </c>
      <c r="T31">
        <v>20168907000</v>
      </c>
      <c r="U31">
        <v>19491674000</v>
      </c>
      <c r="V31">
        <v>16490984000</v>
      </c>
      <c r="W31">
        <v>14646534000</v>
      </c>
      <c r="X31">
        <v>13352306000</v>
      </c>
    </row>
    <row r="32" spans="1:24" x14ac:dyDescent="0.25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x14ac:dyDescent="0.25">
      <c r="A33" t="s">
        <v>29</v>
      </c>
      <c r="B33">
        <v>60835483000</v>
      </c>
      <c r="C33">
        <v>58458705000</v>
      </c>
      <c r="D33">
        <v>33982563000</v>
      </c>
      <c r="E33">
        <v>35677697443</v>
      </c>
      <c r="F33">
        <v>17692904000</v>
      </c>
      <c r="G33">
        <v>16466405000</v>
      </c>
      <c r="H33">
        <v>17102472000</v>
      </c>
      <c r="I33">
        <v>22302898000</v>
      </c>
      <c r="J33">
        <v>12796632000</v>
      </c>
      <c r="K33">
        <v>11932732000</v>
      </c>
      <c r="L33">
        <v>18784494000</v>
      </c>
      <c r="M33">
        <v>27825778000</v>
      </c>
      <c r="N33">
        <v>16538508000</v>
      </c>
      <c r="O33">
        <v>15092084000</v>
      </c>
      <c r="P33">
        <v>7257234000</v>
      </c>
      <c r="Q33">
        <v>6134222000</v>
      </c>
      <c r="R33">
        <v>4209866000</v>
      </c>
      <c r="S33">
        <v>2897939000</v>
      </c>
      <c r="T33">
        <v>2965605000</v>
      </c>
      <c r="U33">
        <v>3230685000</v>
      </c>
      <c r="V33">
        <v>5627811000</v>
      </c>
      <c r="W33">
        <v>4960025000</v>
      </c>
      <c r="X33">
        <v>7422098000</v>
      </c>
    </row>
    <row r="34" spans="1:24" x14ac:dyDescent="0.25">
      <c r="A34" t="s">
        <v>30</v>
      </c>
      <c r="B34">
        <v>46959327000</v>
      </c>
      <c r="C34">
        <v>44408262000</v>
      </c>
      <c r="D34">
        <v>19899598000</v>
      </c>
      <c r="E34">
        <v>19158643303</v>
      </c>
      <c r="F34">
        <v>7653636000</v>
      </c>
      <c r="G34">
        <v>6267302000</v>
      </c>
      <c r="H34">
        <v>6438378000</v>
      </c>
      <c r="I34">
        <v>7884018000</v>
      </c>
      <c r="J34">
        <v>4982022000</v>
      </c>
      <c r="K34">
        <v>5289154000</v>
      </c>
      <c r="L34">
        <v>12373188000</v>
      </c>
      <c r="M34">
        <v>18786563000</v>
      </c>
      <c r="N34">
        <v>11432567000</v>
      </c>
      <c r="O34">
        <v>10678210000</v>
      </c>
      <c r="P34">
        <v>3004645000</v>
      </c>
      <c r="Q34">
        <v>2863049000</v>
      </c>
      <c r="R34">
        <v>2176501000</v>
      </c>
      <c r="S34">
        <v>894080000</v>
      </c>
      <c r="T34">
        <v>859125000</v>
      </c>
      <c r="U34">
        <v>1422950000</v>
      </c>
      <c r="V34">
        <v>4067040000</v>
      </c>
      <c r="W34">
        <v>3480118000</v>
      </c>
      <c r="X34">
        <v>5716650000</v>
      </c>
    </row>
    <row r="35" spans="1:24" x14ac:dyDescent="0.25">
      <c r="A35" t="s">
        <v>31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5">
      <c r="A36" t="s">
        <v>32</v>
      </c>
      <c r="B36">
        <v>9726239000</v>
      </c>
      <c r="C36">
        <v>10029705000</v>
      </c>
      <c r="D36">
        <v>9861088000</v>
      </c>
      <c r="E36">
        <v>12879723429</v>
      </c>
      <c r="F36">
        <v>7032123000</v>
      </c>
      <c r="G36">
        <v>7252905000</v>
      </c>
      <c r="H36">
        <v>6946481000</v>
      </c>
      <c r="I36">
        <v>11023403000</v>
      </c>
      <c r="J36">
        <v>5478692000</v>
      </c>
      <c r="K36">
        <v>4427747000</v>
      </c>
      <c r="L36">
        <v>3870680000</v>
      </c>
      <c r="M36">
        <v>6856641000</v>
      </c>
      <c r="N36">
        <v>3798057000</v>
      </c>
      <c r="O36">
        <v>3270039000</v>
      </c>
      <c r="P36">
        <v>2949594000</v>
      </c>
      <c r="Q36">
        <v>2270421000</v>
      </c>
      <c r="R36">
        <v>1371172000</v>
      </c>
      <c r="S36">
        <v>1416899000</v>
      </c>
      <c r="T36">
        <v>1417206000</v>
      </c>
      <c r="U36">
        <v>1275410000</v>
      </c>
      <c r="V36">
        <v>1001858000</v>
      </c>
      <c r="W36">
        <v>954499000</v>
      </c>
      <c r="X36">
        <v>1163014000</v>
      </c>
    </row>
    <row r="37" spans="1:24" x14ac:dyDescent="0.25">
      <c r="A37" t="s">
        <v>33</v>
      </c>
      <c r="B37">
        <v>2218000</v>
      </c>
      <c r="C37">
        <v>2301000</v>
      </c>
      <c r="D37">
        <v>2244000</v>
      </c>
      <c r="E37">
        <v>11050347</v>
      </c>
      <c r="F37">
        <v>6093000</v>
      </c>
      <c r="G37">
        <v>5744000</v>
      </c>
      <c r="H37">
        <v>5639000</v>
      </c>
      <c r="I37">
        <v>7693000</v>
      </c>
      <c r="J37">
        <v>5007000</v>
      </c>
      <c r="K37">
        <v>4849000</v>
      </c>
      <c r="L37">
        <v>3906000</v>
      </c>
      <c r="M37">
        <v>4984000</v>
      </c>
      <c r="N37">
        <v>2111000</v>
      </c>
      <c r="O37">
        <v>30971000</v>
      </c>
      <c r="P37">
        <v>30907000</v>
      </c>
      <c r="Q37">
        <v>12672000</v>
      </c>
      <c r="R37">
        <v>8430000</v>
      </c>
      <c r="S37">
        <v>7804000</v>
      </c>
      <c r="T37">
        <v>7683000</v>
      </c>
      <c r="U37">
        <v>5531000</v>
      </c>
      <c r="V37">
        <v>5171000</v>
      </c>
      <c r="W37">
        <v>4684000</v>
      </c>
      <c r="X37">
        <v>6492000</v>
      </c>
    </row>
    <row r="38" spans="1:24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25">
      <c r="A39" t="s">
        <v>35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25">
      <c r="A40" t="s">
        <v>36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 t="s">
        <v>37</v>
      </c>
      <c r="B41">
        <v>76076000</v>
      </c>
      <c r="C41">
        <v>80087000</v>
      </c>
      <c r="D41">
        <v>59289000</v>
      </c>
      <c r="E41">
        <v>126621169</v>
      </c>
      <c r="F41">
        <v>76492000</v>
      </c>
      <c r="G41">
        <v>65732000</v>
      </c>
      <c r="H41">
        <v>92102000</v>
      </c>
      <c r="I41">
        <v>116766000</v>
      </c>
      <c r="J41">
        <v>53963000</v>
      </c>
      <c r="K41">
        <v>67724000</v>
      </c>
      <c r="L41">
        <v>65022000</v>
      </c>
      <c r="M41">
        <v>135542000</v>
      </c>
      <c r="N41">
        <v>14186000</v>
      </c>
      <c r="O41">
        <v>70840000</v>
      </c>
      <c r="P41">
        <v>61087000</v>
      </c>
      <c r="Q41">
        <v>83754000</v>
      </c>
      <c r="R41">
        <v>50739000</v>
      </c>
      <c r="S41">
        <v>26251000</v>
      </c>
      <c r="T41">
        <v>42964000</v>
      </c>
      <c r="U41">
        <v>77384000</v>
      </c>
      <c r="V41">
        <v>12171000</v>
      </c>
      <c r="W41">
        <v>9887000</v>
      </c>
      <c r="X41">
        <v>13062000</v>
      </c>
    </row>
    <row r="42" spans="1:24" x14ac:dyDescent="0.25">
      <c r="A42" t="s">
        <v>38</v>
      </c>
      <c r="B42">
        <v>636709000</v>
      </c>
      <c r="C42">
        <v>224470000</v>
      </c>
      <c r="D42">
        <v>423464000</v>
      </c>
      <c r="E42">
        <v>333978855</v>
      </c>
      <c r="F42">
        <v>274723000</v>
      </c>
      <c r="G42">
        <v>447954000</v>
      </c>
      <c r="H42">
        <v>663934000</v>
      </c>
      <c r="I42">
        <v>725141000</v>
      </c>
      <c r="J42">
        <v>341965000</v>
      </c>
      <c r="K42">
        <v>505411000</v>
      </c>
      <c r="L42">
        <v>541648000</v>
      </c>
      <c r="M42">
        <v>431628000</v>
      </c>
      <c r="N42">
        <v>285481000</v>
      </c>
      <c r="O42">
        <v>226167000</v>
      </c>
      <c r="P42">
        <v>267712000</v>
      </c>
      <c r="Q42">
        <v>301535000</v>
      </c>
      <c r="R42">
        <v>114442000</v>
      </c>
      <c r="S42">
        <v>154150000</v>
      </c>
      <c r="T42">
        <v>189461000</v>
      </c>
      <c r="U42">
        <v>85888000</v>
      </c>
      <c r="V42">
        <v>120129000</v>
      </c>
      <c r="W42">
        <v>143905000</v>
      </c>
      <c r="X42">
        <v>102249000</v>
      </c>
    </row>
    <row r="43" spans="1:24" x14ac:dyDescent="0.25">
      <c r="A43" t="s">
        <v>39</v>
      </c>
      <c r="B43">
        <v>2287036000</v>
      </c>
      <c r="C43">
        <v>2268990000</v>
      </c>
      <c r="D43">
        <v>2536582000</v>
      </c>
      <c r="E43">
        <v>1821972633</v>
      </c>
      <c r="F43">
        <v>1647778000</v>
      </c>
      <c r="G43">
        <v>1633219000</v>
      </c>
      <c r="H43">
        <v>1732310000</v>
      </c>
      <c r="I43">
        <v>1530792000</v>
      </c>
      <c r="J43">
        <v>1231441000</v>
      </c>
      <c r="K43">
        <v>1158150000</v>
      </c>
      <c r="L43">
        <v>1324621000</v>
      </c>
      <c r="M43">
        <v>1005416000</v>
      </c>
      <c r="N43">
        <v>718097000</v>
      </c>
      <c r="O43">
        <v>638228000</v>
      </c>
      <c r="P43">
        <v>698069000</v>
      </c>
      <c r="Q43">
        <v>422558000</v>
      </c>
      <c r="R43">
        <v>330903000</v>
      </c>
      <c r="S43">
        <v>284437000</v>
      </c>
      <c r="T43">
        <v>312489000</v>
      </c>
      <c r="U43">
        <v>257348000</v>
      </c>
      <c r="V43">
        <v>327049000</v>
      </c>
      <c r="W43">
        <v>276714000</v>
      </c>
      <c r="X43">
        <v>327652000</v>
      </c>
    </row>
    <row r="44" spans="1:24" x14ac:dyDescent="0.25">
      <c r="A44" t="s">
        <v>40</v>
      </c>
      <c r="B44">
        <v>1147878000</v>
      </c>
      <c r="C44">
        <v>1444890000</v>
      </c>
      <c r="D44">
        <v>1200298000</v>
      </c>
      <c r="E44">
        <v>1345707708</v>
      </c>
      <c r="F44">
        <v>1002059000</v>
      </c>
      <c r="G44">
        <v>793549000</v>
      </c>
      <c r="H44">
        <v>1223628000</v>
      </c>
      <c r="I44">
        <v>1015085000</v>
      </c>
      <c r="J44">
        <v>703542000</v>
      </c>
      <c r="K44">
        <v>479697000</v>
      </c>
      <c r="L44">
        <v>605429000</v>
      </c>
      <c r="M44">
        <v>605004000</v>
      </c>
      <c r="N44">
        <v>288009000</v>
      </c>
      <c r="O44">
        <v>177629000</v>
      </c>
      <c r="P44">
        <v>245220000</v>
      </c>
      <c r="Q44">
        <v>180233000</v>
      </c>
      <c r="R44">
        <v>157679000</v>
      </c>
      <c r="S44">
        <v>114318000</v>
      </c>
      <c r="T44">
        <v>136677000</v>
      </c>
      <c r="U44">
        <v>106174000</v>
      </c>
      <c r="V44">
        <v>94393000</v>
      </c>
      <c r="W44">
        <v>90218000</v>
      </c>
      <c r="X44">
        <v>92979000</v>
      </c>
    </row>
    <row r="45" spans="1:24" x14ac:dyDescent="0.25">
      <c r="A45" t="s">
        <v>16</v>
      </c>
      <c r="B45">
        <v>60835483000</v>
      </c>
      <c r="C45">
        <v>58458705000</v>
      </c>
      <c r="D45">
        <v>33982563000</v>
      </c>
      <c r="E45">
        <v>35677697443</v>
      </c>
      <c r="F45">
        <v>17692904000</v>
      </c>
      <c r="G45">
        <v>16466405000</v>
      </c>
      <c r="H45">
        <v>17102472000</v>
      </c>
      <c r="I45">
        <v>22302898000</v>
      </c>
      <c r="J45">
        <v>12796632000</v>
      </c>
      <c r="K45">
        <v>11932732000</v>
      </c>
      <c r="L45">
        <v>18784494000</v>
      </c>
      <c r="M45">
        <v>27825778000</v>
      </c>
      <c r="N45">
        <v>16538508000</v>
      </c>
      <c r="O45">
        <v>15092084000</v>
      </c>
      <c r="P45">
        <v>7257234000</v>
      </c>
      <c r="Q45">
        <v>6134222000</v>
      </c>
      <c r="R45">
        <v>4209866000</v>
      </c>
      <c r="S45">
        <v>2897939000</v>
      </c>
      <c r="T45">
        <v>2965605000</v>
      </c>
      <c r="U45">
        <v>3230685000</v>
      </c>
      <c r="V45">
        <v>5627811000</v>
      </c>
      <c r="W45">
        <v>4960025000</v>
      </c>
      <c r="X45">
        <v>7422098000</v>
      </c>
    </row>
    <row r="46" spans="1:24" x14ac:dyDescent="0.25">
      <c r="A46" t="s">
        <v>41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25">
      <c r="A47" t="s">
        <v>42</v>
      </c>
      <c r="B47">
        <v>25789527000</v>
      </c>
      <c r="C47">
        <v>24883203000</v>
      </c>
      <c r="D47">
        <v>39120533000</v>
      </c>
      <c r="E47">
        <v>44548745179</v>
      </c>
      <c r="F47">
        <v>43137967000</v>
      </c>
      <c r="G47">
        <v>33776513000</v>
      </c>
      <c r="H47">
        <v>29664747000</v>
      </c>
      <c r="I47">
        <v>38029627000</v>
      </c>
      <c r="J47">
        <v>24755025000</v>
      </c>
      <c r="K47">
        <v>24354012000</v>
      </c>
      <c r="L47">
        <v>13816036000</v>
      </c>
      <c r="M47">
        <v>22680279000</v>
      </c>
      <c r="N47">
        <v>13518395000</v>
      </c>
      <c r="O47">
        <v>12005655000</v>
      </c>
      <c r="P47">
        <v>17408642000</v>
      </c>
      <c r="Q47">
        <v>15795501000</v>
      </c>
      <c r="R47">
        <v>10962464000</v>
      </c>
      <c r="S47">
        <v>10294116000</v>
      </c>
      <c r="T47">
        <v>10103946000</v>
      </c>
      <c r="U47">
        <v>9444296000</v>
      </c>
      <c r="V47">
        <v>4723797000</v>
      </c>
      <c r="W47">
        <v>4057727000</v>
      </c>
      <c r="X47">
        <v>1000094000</v>
      </c>
    </row>
    <row r="48" spans="1:24" x14ac:dyDescent="0.25">
      <c r="A48" t="s">
        <v>30</v>
      </c>
      <c r="B48">
        <v>21513932000</v>
      </c>
      <c r="C48">
        <v>20879282000</v>
      </c>
      <c r="D48">
        <v>35521562000</v>
      </c>
      <c r="E48">
        <v>41059306589</v>
      </c>
      <c r="F48">
        <v>39885968000</v>
      </c>
      <c r="G48">
        <v>31478927000</v>
      </c>
      <c r="H48">
        <v>27876010000</v>
      </c>
      <c r="I48">
        <v>36242814000</v>
      </c>
      <c r="J48">
        <v>23592388000</v>
      </c>
      <c r="K48">
        <v>23317042000</v>
      </c>
      <c r="L48">
        <v>12830370000</v>
      </c>
      <c r="M48">
        <v>20348024000</v>
      </c>
      <c r="N48">
        <v>12796732000</v>
      </c>
      <c r="O48">
        <v>11412432000</v>
      </c>
      <c r="P48">
        <v>16865507000</v>
      </c>
      <c r="Q48">
        <v>15313776000</v>
      </c>
      <c r="R48">
        <v>10558359000</v>
      </c>
      <c r="S48">
        <v>9910917000</v>
      </c>
      <c r="T48">
        <v>9729709000</v>
      </c>
      <c r="U48">
        <v>9058346000</v>
      </c>
      <c r="V48">
        <v>4392082000</v>
      </c>
      <c r="W48">
        <v>3753105000</v>
      </c>
      <c r="X48">
        <v>711872000</v>
      </c>
    </row>
    <row r="49" spans="1:24" x14ac:dyDescent="0.25">
      <c r="A49" t="s">
        <v>31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25">
      <c r="A50" t="s">
        <v>32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25">
      <c r="A51" t="s">
        <v>33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25">
      <c r="A52" t="s">
        <v>43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25">
      <c r="A53" t="s">
        <v>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5">
      <c r="A54" t="s">
        <v>36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25">
      <c r="A55" t="s">
        <v>44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25">
      <c r="A56" t="s">
        <v>45</v>
      </c>
      <c r="B56">
        <v>2154022000</v>
      </c>
      <c r="C56">
        <v>2086916000</v>
      </c>
      <c r="D56">
        <v>1803119000</v>
      </c>
      <c r="E56">
        <v>2103457951</v>
      </c>
      <c r="F56">
        <v>1540129000</v>
      </c>
      <c r="G56">
        <v>1454045000</v>
      </c>
      <c r="H56">
        <v>1281941000</v>
      </c>
      <c r="I56">
        <v>1490659000</v>
      </c>
      <c r="J56">
        <v>1081973000</v>
      </c>
      <c r="K56">
        <v>956486000</v>
      </c>
      <c r="L56">
        <v>831251000</v>
      </c>
      <c r="M56">
        <v>1258484000</v>
      </c>
      <c r="N56">
        <v>578599000</v>
      </c>
      <c r="O56">
        <v>461592000</v>
      </c>
      <c r="P56">
        <v>407234000</v>
      </c>
      <c r="Q56">
        <v>346828000</v>
      </c>
      <c r="R56">
        <v>275296000</v>
      </c>
      <c r="S56">
        <v>243918000</v>
      </c>
      <c r="T56">
        <v>235830000</v>
      </c>
      <c r="U56">
        <v>228105000</v>
      </c>
      <c r="V56">
        <v>206032000</v>
      </c>
      <c r="W56">
        <v>186693000</v>
      </c>
      <c r="X56">
        <v>176946000</v>
      </c>
    </row>
    <row r="57" spans="1:24" x14ac:dyDescent="0.25">
      <c r="A57" t="s">
        <v>46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25">
      <c r="A58" t="s">
        <v>47</v>
      </c>
      <c r="B58">
        <v>2121573000</v>
      </c>
      <c r="C58">
        <v>1917005000</v>
      </c>
      <c r="D58">
        <v>1795852000</v>
      </c>
      <c r="E58">
        <v>1385980640</v>
      </c>
      <c r="F58">
        <v>1711870000</v>
      </c>
      <c r="G58">
        <v>843541000</v>
      </c>
      <c r="H58">
        <v>506796000</v>
      </c>
      <c r="I58">
        <v>296154000</v>
      </c>
      <c r="J58">
        <v>80664000</v>
      </c>
      <c r="K58">
        <v>80484000</v>
      </c>
      <c r="L58">
        <v>154415000</v>
      </c>
      <c r="M58">
        <v>1073771000</v>
      </c>
      <c r="N58">
        <v>143064000</v>
      </c>
      <c r="O58">
        <v>131631000</v>
      </c>
      <c r="P58">
        <v>135901000</v>
      </c>
      <c r="Q58">
        <v>134897000</v>
      </c>
      <c r="R58">
        <v>128809000</v>
      </c>
      <c r="S58">
        <v>139281000</v>
      </c>
      <c r="T58">
        <v>138407000</v>
      </c>
      <c r="U58">
        <v>157845000</v>
      </c>
      <c r="V58">
        <v>125683000</v>
      </c>
      <c r="W58">
        <v>117929000</v>
      </c>
      <c r="X58">
        <v>111276000</v>
      </c>
    </row>
    <row r="59" spans="1:24" x14ac:dyDescent="0.25">
      <c r="A59" t="s">
        <v>48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25">
      <c r="A60" t="s">
        <v>49</v>
      </c>
      <c r="B60">
        <v>42583578000</v>
      </c>
      <c r="C60">
        <v>38373555000</v>
      </c>
      <c r="D60">
        <v>39176543000</v>
      </c>
      <c r="E60">
        <v>41988932996</v>
      </c>
      <c r="F60">
        <v>29046912000</v>
      </c>
      <c r="G60">
        <v>26009650000</v>
      </c>
      <c r="H60">
        <v>23486439000</v>
      </c>
      <c r="I60">
        <v>28589846000</v>
      </c>
      <c r="J60">
        <v>10509042000</v>
      </c>
      <c r="K60">
        <v>8639324000</v>
      </c>
      <c r="L60">
        <v>8722442000</v>
      </c>
      <c r="M60">
        <v>15643115000</v>
      </c>
      <c r="N60">
        <v>4550850000</v>
      </c>
      <c r="O60">
        <v>4233107000</v>
      </c>
      <c r="P60">
        <v>4094808000</v>
      </c>
      <c r="Q60">
        <v>4313902000</v>
      </c>
      <c r="R60">
        <v>3714041000</v>
      </c>
      <c r="S60">
        <v>7103476000</v>
      </c>
      <c r="T60">
        <v>7099356000</v>
      </c>
      <c r="U60">
        <v>6816693000</v>
      </c>
      <c r="V60">
        <v>6139376000</v>
      </c>
      <c r="W60">
        <v>5628782000</v>
      </c>
      <c r="X60">
        <v>4930114000</v>
      </c>
    </row>
    <row r="61" spans="1:24" x14ac:dyDescent="0.25">
      <c r="A61" t="s">
        <v>50</v>
      </c>
      <c r="B61">
        <v>40151407000</v>
      </c>
      <c r="C61">
        <v>36116656000</v>
      </c>
      <c r="D61">
        <v>36650682000</v>
      </c>
      <c r="E61">
        <v>39237845709</v>
      </c>
      <c r="F61">
        <v>27015414000</v>
      </c>
      <c r="G61">
        <v>24127966000</v>
      </c>
      <c r="H61">
        <v>21407330000</v>
      </c>
      <c r="I61">
        <v>25946933000</v>
      </c>
      <c r="J61">
        <v>8896407000</v>
      </c>
      <c r="K61">
        <v>5908268000</v>
      </c>
      <c r="L61">
        <v>6511844000</v>
      </c>
      <c r="M61">
        <v>12035858000</v>
      </c>
      <c r="N61">
        <v>2734275000</v>
      </c>
      <c r="O61">
        <v>2516873000</v>
      </c>
      <c r="P61">
        <v>2588162000</v>
      </c>
      <c r="Q61">
        <v>2986714000</v>
      </c>
      <c r="R61">
        <v>2800809000</v>
      </c>
      <c r="S61">
        <v>6232316000</v>
      </c>
      <c r="T61">
        <v>6266620000</v>
      </c>
      <c r="U61">
        <v>6036780000</v>
      </c>
      <c r="V61">
        <v>5372639000</v>
      </c>
      <c r="W61">
        <v>4970991000</v>
      </c>
      <c r="X61">
        <v>4320951000</v>
      </c>
    </row>
    <row r="62" spans="1:24" x14ac:dyDescent="0.25">
      <c r="A62" t="s">
        <v>51</v>
      </c>
      <c r="B62">
        <v>369276000</v>
      </c>
      <c r="C62">
        <v>369276000</v>
      </c>
      <c r="D62">
        <v>369276000</v>
      </c>
      <c r="E62">
        <v>369276000</v>
      </c>
      <c r="F62">
        <v>369276000</v>
      </c>
      <c r="G62">
        <v>369276000</v>
      </c>
      <c r="H62">
        <v>369276000</v>
      </c>
      <c r="I62">
        <v>369276000</v>
      </c>
      <c r="J62">
        <v>369276000</v>
      </c>
      <c r="K62">
        <v>342000000</v>
      </c>
      <c r="L62">
        <v>342000000</v>
      </c>
      <c r="M62">
        <v>342000000</v>
      </c>
      <c r="N62">
        <v>342000000</v>
      </c>
      <c r="O62">
        <v>342000000</v>
      </c>
      <c r="P62">
        <v>342000000</v>
      </c>
      <c r="Q62">
        <v>342000000</v>
      </c>
      <c r="R62">
        <v>342000000</v>
      </c>
      <c r="S62">
        <v>342000000</v>
      </c>
      <c r="T62">
        <v>342000000</v>
      </c>
      <c r="U62">
        <v>342000000</v>
      </c>
      <c r="V62">
        <v>342000000</v>
      </c>
      <c r="W62">
        <v>342000000</v>
      </c>
      <c r="X62">
        <v>342000000</v>
      </c>
    </row>
    <row r="63" spans="1:24" x14ac:dyDescent="0.25">
      <c r="A63" t="s">
        <v>52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 x14ac:dyDescent="0.25">
      <c r="A64" t="s">
        <v>53</v>
      </c>
      <c r="B64">
        <v>6039584000</v>
      </c>
      <c r="C64">
        <v>5617989000</v>
      </c>
      <c r="D64">
        <v>5299653000</v>
      </c>
      <c r="E64">
        <v>6039583915</v>
      </c>
      <c r="F64">
        <v>4531024000</v>
      </c>
      <c r="G64">
        <v>0</v>
      </c>
      <c r="H64">
        <v>0</v>
      </c>
      <c r="I64">
        <v>4815119000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 x14ac:dyDescent="0.25">
      <c r="A65" t="s">
        <v>54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 x14ac:dyDescent="0.25">
      <c r="A66" t="s">
        <v>55</v>
      </c>
      <c r="B66">
        <v>-2307013000</v>
      </c>
      <c r="C66">
        <v>-1826444000</v>
      </c>
      <c r="D66">
        <v>-1793664000</v>
      </c>
      <c r="E66">
        <v>-2210142087</v>
      </c>
      <c r="F66">
        <v>-1340934000</v>
      </c>
      <c r="G66">
        <v>-1461364000</v>
      </c>
      <c r="H66">
        <v>-1001506000</v>
      </c>
      <c r="I66">
        <v>-505000</v>
      </c>
      <c r="J66">
        <v>1590682000</v>
      </c>
      <c r="K66">
        <v>1549157000</v>
      </c>
      <c r="L66">
        <v>842540000</v>
      </c>
      <c r="M66">
        <v>-1064911000</v>
      </c>
      <c r="N66">
        <v>818644000</v>
      </c>
      <c r="O66">
        <v>766418000</v>
      </c>
      <c r="P66">
        <v>652853000</v>
      </c>
      <c r="Q66">
        <v>607882000</v>
      </c>
      <c r="R66">
        <v>147334000</v>
      </c>
      <c r="S66">
        <v>153723000</v>
      </c>
      <c r="T66">
        <v>118142000</v>
      </c>
      <c r="U66">
        <v>22444000</v>
      </c>
      <c r="V66">
        <v>33003000</v>
      </c>
      <c r="W66">
        <v>-47703000</v>
      </c>
      <c r="X66">
        <v>-48106000</v>
      </c>
    </row>
    <row r="67" spans="1:24" x14ac:dyDescent="0.25">
      <c r="A67" t="s">
        <v>56</v>
      </c>
      <c r="B67">
        <v>3085474000</v>
      </c>
      <c r="C67">
        <v>2870086000</v>
      </c>
      <c r="D67">
        <v>2428090000</v>
      </c>
      <c r="E67">
        <v>2767097120</v>
      </c>
      <c r="F67">
        <v>2075934000</v>
      </c>
      <c r="G67">
        <v>1905933000</v>
      </c>
      <c r="H67">
        <v>1758162000</v>
      </c>
      <c r="I67">
        <v>2206096000</v>
      </c>
      <c r="J67">
        <v>173080000</v>
      </c>
      <c r="K67">
        <v>157537000</v>
      </c>
      <c r="L67">
        <v>157537000</v>
      </c>
      <c r="M67">
        <v>1406764000</v>
      </c>
      <c r="N67">
        <v>157537000</v>
      </c>
      <c r="O67">
        <v>157537000</v>
      </c>
      <c r="P67">
        <v>157537000</v>
      </c>
      <c r="Q67">
        <v>157537000</v>
      </c>
      <c r="R67">
        <v>157537000</v>
      </c>
      <c r="S67">
        <v>157537000</v>
      </c>
      <c r="T67">
        <v>131587000</v>
      </c>
      <c r="U67">
        <v>131587000</v>
      </c>
      <c r="V67">
        <v>131587000</v>
      </c>
      <c r="W67">
        <v>131587000</v>
      </c>
      <c r="X67">
        <v>131587000</v>
      </c>
    </row>
    <row r="68" spans="1:24" x14ac:dyDescent="0.25">
      <c r="A68" t="s">
        <v>57</v>
      </c>
      <c r="B68">
        <v>18703612000</v>
      </c>
      <c r="C68">
        <v>17398002000</v>
      </c>
      <c r="D68">
        <v>19502679000</v>
      </c>
      <c r="E68">
        <v>12943177003</v>
      </c>
      <c r="F68">
        <v>27985057000</v>
      </c>
      <c r="G68">
        <v>25693330000</v>
      </c>
      <c r="H68">
        <v>23701266000</v>
      </c>
      <c r="I68">
        <v>24861335000</v>
      </c>
      <c r="J68">
        <v>3567203000</v>
      </c>
      <c r="K68">
        <v>3567203000</v>
      </c>
      <c r="L68">
        <v>3567203000</v>
      </c>
      <c r="M68">
        <v>16234730000</v>
      </c>
      <c r="N68">
        <v>3920304000</v>
      </c>
      <c r="O68">
        <v>3920304000</v>
      </c>
      <c r="P68">
        <v>3920304000</v>
      </c>
      <c r="Q68">
        <v>4384636000</v>
      </c>
      <c r="R68">
        <v>4384635000</v>
      </c>
      <c r="S68">
        <v>4043431000</v>
      </c>
      <c r="T68">
        <v>4345981000</v>
      </c>
      <c r="U68">
        <v>3541181000</v>
      </c>
      <c r="V68">
        <v>3324334000</v>
      </c>
      <c r="W68">
        <v>2506455000</v>
      </c>
      <c r="X68">
        <v>2415254000</v>
      </c>
    </row>
    <row r="69" spans="1:24" x14ac:dyDescent="0.25">
      <c r="A69" t="s">
        <v>58</v>
      </c>
      <c r="B69">
        <v>4593516000</v>
      </c>
      <c r="C69">
        <v>3279913000</v>
      </c>
      <c r="D69">
        <v>2413368000</v>
      </c>
      <c r="E69">
        <v>9282439224</v>
      </c>
      <c r="F69">
        <v>4402276000</v>
      </c>
      <c r="G69">
        <v>3609816000</v>
      </c>
      <c r="H69">
        <v>2167307000</v>
      </c>
      <c r="I69">
        <v>4878383000</v>
      </c>
      <c r="J69">
        <v>659305000</v>
      </c>
      <c r="K69">
        <v>-796751000</v>
      </c>
      <c r="L69">
        <v>895647000</v>
      </c>
      <c r="M69">
        <v>984793000</v>
      </c>
      <c r="N69">
        <v>-1336418000</v>
      </c>
      <c r="O69">
        <v>-1119340000</v>
      </c>
      <c r="P69">
        <v>-470705000</v>
      </c>
      <c r="Q69">
        <v>-464332000</v>
      </c>
      <c r="R69">
        <v>654654000</v>
      </c>
      <c r="S69">
        <v>685878000</v>
      </c>
      <c r="T69">
        <v>479294000</v>
      </c>
      <c r="U69">
        <v>1081394000</v>
      </c>
      <c r="V69">
        <v>729375000</v>
      </c>
      <c r="W69">
        <v>406151000</v>
      </c>
      <c r="X69">
        <v>-98292000</v>
      </c>
    </row>
    <row r="70" spans="1:24" x14ac:dyDescent="0.25">
      <c r="A70" t="s">
        <v>59</v>
      </c>
      <c r="B70">
        <v>9666958000</v>
      </c>
      <c r="C70">
        <v>8407834000</v>
      </c>
      <c r="D70">
        <v>8431280000</v>
      </c>
      <c r="E70">
        <v>9952509169</v>
      </c>
      <c r="F70">
        <v>-11007219000</v>
      </c>
      <c r="G70">
        <v>-5989025000</v>
      </c>
      <c r="H70">
        <v>-5587175000</v>
      </c>
      <c r="I70">
        <v>-11182771000</v>
      </c>
      <c r="J70">
        <v>2536861000</v>
      </c>
      <c r="K70">
        <v>1089122000</v>
      </c>
      <c r="L70">
        <v>706917000</v>
      </c>
      <c r="M70">
        <v>-5867518000</v>
      </c>
      <c r="N70">
        <v>-1167792000</v>
      </c>
      <c r="O70">
        <v>-1550046000</v>
      </c>
      <c r="P70">
        <v>-2013827000</v>
      </c>
      <c r="Q70">
        <v>-2041009000</v>
      </c>
      <c r="R70">
        <v>-2885351000</v>
      </c>
      <c r="S70">
        <v>849747000</v>
      </c>
      <c r="T70">
        <v>849616000</v>
      </c>
      <c r="U70">
        <v>918174000</v>
      </c>
      <c r="V70">
        <v>812340000</v>
      </c>
      <c r="W70">
        <v>1632501000</v>
      </c>
      <c r="X70">
        <v>1578508000</v>
      </c>
    </row>
    <row r="71" spans="1:24" x14ac:dyDescent="0.25">
      <c r="A71" t="s">
        <v>60</v>
      </c>
      <c r="B71">
        <v>2432171000</v>
      </c>
      <c r="C71">
        <v>2256899000</v>
      </c>
      <c r="D71">
        <v>2525861000</v>
      </c>
      <c r="E71">
        <v>2751087287</v>
      </c>
      <c r="F71">
        <v>2031498000</v>
      </c>
      <c r="G71">
        <v>1881684000</v>
      </c>
      <c r="H71">
        <v>2079109000</v>
      </c>
      <c r="I71">
        <v>2642913000</v>
      </c>
      <c r="J71">
        <v>1612635000</v>
      </c>
      <c r="K71">
        <v>2731056000</v>
      </c>
      <c r="L71">
        <v>2210598000</v>
      </c>
      <c r="M71">
        <v>3607257000</v>
      </c>
      <c r="N71">
        <v>1816575000</v>
      </c>
      <c r="O71">
        <v>1716234000</v>
      </c>
      <c r="P71">
        <v>1506646000</v>
      </c>
      <c r="Q71">
        <v>1327188000</v>
      </c>
      <c r="R71">
        <v>913232000</v>
      </c>
      <c r="S71">
        <v>871160000</v>
      </c>
      <c r="T71">
        <v>832736000</v>
      </c>
      <c r="U71">
        <v>779913000</v>
      </c>
      <c r="V71">
        <v>766737000</v>
      </c>
      <c r="W71">
        <v>657791000</v>
      </c>
      <c r="X71">
        <v>609163000</v>
      </c>
    </row>
    <row r="72" spans="1:24" x14ac:dyDescent="0.25">
      <c r="A72" t="s">
        <v>61</v>
      </c>
      <c r="B72">
        <v>129208588000</v>
      </c>
      <c r="C72">
        <v>121715463000</v>
      </c>
      <c r="D72">
        <v>112279639000</v>
      </c>
      <c r="E72">
        <v>122215375618</v>
      </c>
      <c r="F72">
        <v>89877783000</v>
      </c>
      <c r="G72">
        <v>76252568000</v>
      </c>
      <c r="H72">
        <v>70253658000</v>
      </c>
      <c r="I72">
        <v>88922371000</v>
      </c>
      <c r="J72">
        <v>48060699000</v>
      </c>
      <c r="K72">
        <v>44926068000</v>
      </c>
      <c r="L72">
        <v>41322972000</v>
      </c>
      <c r="M72">
        <v>66149172000</v>
      </c>
      <c r="N72">
        <v>34607753000</v>
      </c>
      <c r="O72">
        <v>31330846000</v>
      </c>
      <c r="P72">
        <v>28760684000</v>
      </c>
      <c r="Q72">
        <v>26243625000</v>
      </c>
      <c r="R72">
        <v>18886371000</v>
      </c>
      <c r="S72">
        <v>20295531000</v>
      </c>
      <c r="T72">
        <v>20168907000</v>
      </c>
      <c r="U72">
        <v>19491674000</v>
      </c>
      <c r="V72">
        <v>16490984000</v>
      </c>
      <c r="W72">
        <v>14646534000</v>
      </c>
      <c r="X72">
        <v>13352306000</v>
      </c>
    </row>
    <row r="73" spans="1:24" x14ac:dyDescent="0.25">
      <c r="A73" t="s">
        <v>62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 x14ac:dyDescent="0.25">
      <c r="A74" t="s">
        <v>63</v>
      </c>
      <c r="B74">
        <v>80925915000</v>
      </c>
      <c r="C74">
        <v>51639553000</v>
      </c>
      <c r="D74">
        <v>26962317000</v>
      </c>
      <c r="E74">
        <v>105483659375</v>
      </c>
      <c r="F74">
        <v>77330367000</v>
      </c>
      <c r="G74">
        <v>49370684000</v>
      </c>
      <c r="H74">
        <v>27069643000</v>
      </c>
      <c r="I74">
        <v>80615534000</v>
      </c>
      <c r="J74">
        <v>56149663000</v>
      </c>
      <c r="K74">
        <v>38340257000</v>
      </c>
      <c r="L74">
        <v>18804838000</v>
      </c>
      <c r="M74">
        <v>51981208000</v>
      </c>
      <c r="N74">
        <v>19178880000</v>
      </c>
      <c r="O74">
        <v>11877060000</v>
      </c>
      <c r="P74">
        <v>5886018000</v>
      </c>
      <c r="Q74">
        <v>12537080000</v>
      </c>
      <c r="R74">
        <v>8418957000</v>
      </c>
      <c r="S74">
        <v>5442824000</v>
      </c>
      <c r="T74">
        <v>2783757000</v>
      </c>
      <c r="U74">
        <v>9715630000</v>
      </c>
      <c r="V74">
        <v>6976612000</v>
      </c>
      <c r="W74">
        <v>4520767000</v>
      </c>
      <c r="X74">
        <v>2376126000</v>
      </c>
    </row>
    <row r="75" spans="1:24" x14ac:dyDescent="0.25">
      <c r="A75" t="s">
        <v>64</v>
      </c>
      <c r="B75">
        <v>-56468934000</v>
      </c>
      <c r="C75">
        <v>-35801158000</v>
      </c>
      <c r="D75">
        <v>-17946855000</v>
      </c>
      <c r="E75">
        <v>-74043027344</v>
      </c>
      <c r="F75">
        <v>-54106872000</v>
      </c>
      <c r="G75">
        <v>-33882146000</v>
      </c>
      <c r="H75">
        <v>-18417380000</v>
      </c>
      <c r="I75">
        <v>-57260016000</v>
      </c>
      <c r="J75">
        <v>-39568789000</v>
      </c>
      <c r="K75">
        <v>-27160097000</v>
      </c>
      <c r="L75">
        <v>-13025103000</v>
      </c>
      <c r="M75">
        <v>-40653018000</v>
      </c>
      <c r="N75">
        <v>-13611178000</v>
      </c>
      <c r="O75">
        <v>-8330260000</v>
      </c>
      <c r="P75">
        <v>-4036928000</v>
      </c>
      <c r="Q75">
        <v>-8924665000</v>
      </c>
      <c r="R75">
        <v>-6041077000</v>
      </c>
      <c r="S75">
        <v>-3869128000</v>
      </c>
      <c r="T75">
        <v>-1921419000</v>
      </c>
      <c r="U75">
        <v>-6778372000</v>
      </c>
      <c r="V75">
        <v>-4864280000</v>
      </c>
      <c r="W75">
        <v>-3217351000</v>
      </c>
      <c r="X75">
        <v>-1659845000</v>
      </c>
    </row>
    <row r="76" spans="1:24" x14ac:dyDescent="0.25">
      <c r="A76" t="s">
        <v>65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x14ac:dyDescent="0.25">
      <c r="A77" t="s">
        <v>66</v>
      </c>
      <c r="B77">
        <v>24456981000</v>
      </c>
      <c r="C77">
        <v>15838395000</v>
      </c>
      <c r="D77">
        <v>9015462000</v>
      </c>
      <c r="E77">
        <v>31440632031</v>
      </c>
      <c r="F77">
        <v>23223495000</v>
      </c>
      <c r="G77">
        <v>15488538000</v>
      </c>
      <c r="H77">
        <v>8652263000</v>
      </c>
      <c r="I77">
        <v>23355518000</v>
      </c>
      <c r="J77">
        <v>16580874000</v>
      </c>
      <c r="K77">
        <v>11180160000</v>
      </c>
      <c r="L77">
        <v>5779735000</v>
      </c>
      <c r="M77">
        <v>11328190000</v>
      </c>
      <c r="N77">
        <v>5567702000</v>
      </c>
      <c r="O77">
        <v>3546800000</v>
      </c>
      <c r="P77">
        <v>1849090000</v>
      </c>
      <c r="Q77">
        <v>3612415000</v>
      </c>
      <c r="R77">
        <v>2377880000</v>
      </c>
      <c r="S77">
        <v>1573696000</v>
      </c>
      <c r="T77">
        <v>862338000</v>
      </c>
      <c r="U77">
        <v>2937258000</v>
      </c>
      <c r="V77">
        <v>2112332000</v>
      </c>
      <c r="W77">
        <v>1303416000</v>
      </c>
      <c r="X77">
        <v>716281000</v>
      </c>
    </row>
    <row r="78" spans="1:24" x14ac:dyDescent="0.25">
      <c r="A78" t="s">
        <v>67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 x14ac:dyDescent="0.25">
      <c r="A79" t="s">
        <v>68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x14ac:dyDescent="0.25">
      <c r="A80" t="s">
        <v>69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 x14ac:dyDescent="0.25">
      <c r="A81" t="s">
        <v>70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 x14ac:dyDescent="0.25">
      <c r="A82" t="s">
        <v>71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 x14ac:dyDescent="0.25">
      <c r="A83" t="s">
        <v>72</v>
      </c>
      <c r="B83">
        <v>24456981000</v>
      </c>
      <c r="C83">
        <v>15838395000</v>
      </c>
      <c r="D83">
        <v>9015462000</v>
      </c>
      <c r="E83">
        <v>31440632031</v>
      </c>
      <c r="F83">
        <v>23223495000</v>
      </c>
      <c r="G83">
        <v>15488538000</v>
      </c>
      <c r="H83">
        <v>8652263000</v>
      </c>
      <c r="I83">
        <v>23355518000</v>
      </c>
      <c r="J83">
        <v>16580874000</v>
      </c>
      <c r="K83">
        <v>11180160000</v>
      </c>
      <c r="L83">
        <v>5779735000</v>
      </c>
      <c r="M83">
        <v>11328190000</v>
      </c>
      <c r="N83">
        <v>5567702000</v>
      </c>
      <c r="O83">
        <v>3546800000</v>
      </c>
      <c r="P83">
        <v>1849090000</v>
      </c>
      <c r="Q83">
        <v>3612415000</v>
      </c>
      <c r="R83">
        <v>2377880000</v>
      </c>
      <c r="S83">
        <v>1573696000</v>
      </c>
      <c r="T83">
        <v>862338000</v>
      </c>
      <c r="U83">
        <v>2937258000</v>
      </c>
      <c r="V83">
        <v>2112332000</v>
      </c>
      <c r="W83">
        <v>1303416000</v>
      </c>
      <c r="X83">
        <v>716281000</v>
      </c>
    </row>
    <row r="84" spans="1:24" x14ac:dyDescent="0.25">
      <c r="A84" t="s">
        <v>73</v>
      </c>
      <c r="B84">
        <v>-9247760000</v>
      </c>
      <c r="C84">
        <v>-6091594000</v>
      </c>
      <c r="D84">
        <v>-3251343000</v>
      </c>
      <c r="E84">
        <v>-10787416168</v>
      </c>
      <c r="F84">
        <v>-7936163000</v>
      </c>
      <c r="G84">
        <v>-5201700000</v>
      </c>
      <c r="H84">
        <v>-2818513000</v>
      </c>
      <c r="I84">
        <v>-7411104000</v>
      </c>
      <c r="J84">
        <v>-5157593000</v>
      </c>
      <c r="K84">
        <v>-3664507000</v>
      </c>
      <c r="L84">
        <v>-1834367000</v>
      </c>
      <c r="M84">
        <v>-4389641000</v>
      </c>
      <c r="N84">
        <v>-1661640000</v>
      </c>
      <c r="O84">
        <v>-1021269000</v>
      </c>
      <c r="P84">
        <v>-537250000</v>
      </c>
      <c r="Q84">
        <v>-1120598000</v>
      </c>
      <c r="R84">
        <v>-780580000</v>
      </c>
      <c r="S84">
        <v>-510175000</v>
      </c>
      <c r="T84">
        <v>-281943000</v>
      </c>
      <c r="U84">
        <v>-923064000</v>
      </c>
      <c r="V84">
        <v>-671055000</v>
      </c>
      <c r="W84">
        <v>-459455000</v>
      </c>
      <c r="X84">
        <v>-275631000</v>
      </c>
    </row>
    <row r="85" spans="1:24" x14ac:dyDescent="0.25">
      <c r="A85" t="s">
        <v>74</v>
      </c>
      <c r="B85">
        <v>-2144839000</v>
      </c>
      <c r="C85">
        <v>-1344671000</v>
      </c>
      <c r="D85">
        <v>-660350000</v>
      </c>
      <c r="E85">
        <v>-2854184137</v>
      </c>
      <c r="F85">
        <v>-2100192000</v>
      </c>
      <c r="G85">
        <v>-1245971000</v>
      </c>
      <c r="H85">
        <v>-664690000</v>
      </c>
      <c r="I85">
        <v>-2004377000</v>
      </c>
      <c r="J85">
        <v>-1412903000</v>
      </c>
      <c r="K85">
        <v>-869885000</v>
      </c>
      <c r="L85">
        <v>-388910000</v>
      </c>
      <c r="M85">
        <v>-1238763000</v>
      </c>
      <c r="N85">
        <v>-473180000</v>
      </c>
      <c r="O85">
        <v>-278375000</v>
      </c>
      <c r="P85">
        <v>-132796000</v>
      </c>
      <c r="Q85">
        <v>-353681000</v>
      </c>
      <c r="R85">
        <v>-242968000</v>
      </c>
      <c r="S85">
        <v>-160863000</v>
      </c>
      <c r="T85">
        <v>-78118000</v>
      </c>
      <c r="U85">
        <v>-267314000</v>
      </c>
      <c r="V85">
        <v>-195877000</v>
      </c>
      <c r="W85">
        <v>-127624000</v>
      </c>
      <c r="X85">
        <v>-63816000</v>
      </c>
    </row>
    <row r="86" spans="1:24" x14ac:dyDescent="0.25">
      <c r="A86" t="s">
        <v>75</v>
      </c>
      <c r="B86">
        <v>-452859000</v>
      </c>
      <c r="C86">
        <v>-282400000</v>
      </c>
      <c r="D86">
        <v>-140298000</v>
      </c>
      <c r="E86">
        <v>-520693339</v>
      </c>
      <c r="F86">
        <v>-327627000</v>
      </c>
      <c r="G86">
        <v>-206325000</v>
      </c>
      <c r="H86">
        <v>-107188000</v>
      </c>
      <c r="I86">
        <v>-344639000</v>
      </c>
      <c r="J86">
        <v>-238559000</v>
      </c>
      <c r="K86">
        <v>-157045000</v>
      </c>
      <c r="L86">
        <v>-75297000</v>
      </c>
      <c r="M86">
        <v>-164649000</v>
      </c>
      <c r="N86">
        <v>-50545000</v>
      </c>
      <c r="O86">
        <v>-29714000</v>
      </c>
      <c r="P86">
        <v>-12484000</v>
      </c>
      <c r="Q86">
        <v>-39786000</v>
      </c>
      <c r="R86">
        <v>-27070000</v>
      </c>
      <c r="S86">
        <v>-18760000</v>
      </c>
      <c r="T86">
        <v>-8865000</v>
      </c>
      <c r="U86">
        <v>-24114000</v>
      </c>
      <c r="V86">
        <v>-16702000</v>
      </c>
      <c r="W86">
        <v>-11176000</v>
      </c>
      <c r="X86">
        <v>-5682000</v>
      </c>
    </row>
    <row r="87" spans="1:24" x14ac:dyDescent="0.25">
      <c r="A87" t="s">
        <v>76</v>
      </c>
      <c r="B87">
        <v>2419912000</v>
      </c>
      <c r="C87">
        <v>1627459000</v>
      </c>
      <c r="D87">
        <v>1131685000</v>
      </c>
      <c r="E87">
        <v>2606435615</v>
      </c>
      <c r="F87">
        <v>2311060000</v>
      </c>
      <c r="G87">
        <v>1982666000</v>
      </c>
      <c r="H87">
        <v>1866214000</v>
      </c>
      <c r="I87">
        <v>3964120000</v>
      </c>
      <c r="J87">
        <v>3123473000</v>
      </c>
      <c r="K87">
        <v>2535746000</v>
      </c>
      <c r="L87">
        <v>437588000</v>
      </c>
      <c r="M87">
        <v>2401751000</v>
      </c>
      <c r="N87">
        <v>1045410000</v>
      </c>
      <c r="O87">
        <v>680062000</v>
      </c>
      <c r="P87">
        <v>422510000</v>
      </c>
      <c r="Q87">
        <v>895987000</v>
      </c>
      <c r="R87">
        <v>200454000</v>
      </c>
      <c r="S87">
        <v>187152000</v>
      </c>
      <c r="T87">
        <v>126614000</v>
      </c>
      <c r="U87">
        <v>289555000</v>
      </c>
      <c r="V87">
        <v>246971000</v>
      </c>
      <c r="W87">
        <v>97242000</v>
      </c>
      <c r="X87">
        <v>54783000</v>
      </c>
    </row>
    <row r="88" spans="1:24" x14ac:dyDescent="0.25">
      <c r="A88" t="s">
        <v>77</v>
      </c>
      <c r="B88">
        <v>-1679257000</v>
      </c>
      <c r="C88">
        <v>-1129405000</v>
      </c>
      <c r="D88">
        <v>-720551000</v>
      </c>
      <c r="E88">
        <v>-1975677812</v>
      </c>
      <c r="F88">
        <v>-1592246000</v>
      </c>
      <c r="G88">
        <v>-1213763000</v>
      </c>
      <c r="H88">
        <v>-1142493000</v>
      </c>
      <c r="I88">
        <v>-1688082000</v>
      </c>
      <c r="J88">
        <v>-1248978000</v>
      </c>
      <c r="K88">
        <v>-556868000</v>
      </c>
      <c r="L88">
        <v>-391040000</v>
      </c>
      <c r="M88">
        <v>-878881000</v>
      </c>
      <c r="N88">
        <v>-262162000</v>
      </c>
      <c r="O88">
        <v>-277791000</v>
      </c>
      <c r="P88">
        <v>-254476000</v>
      </c>
      <c r="Q88">
        <v>-564347000</v>
      </c>
      <c r="R88">
        <v>-227837000</v>
      </c>
      <c r="S88">
        <v>-220476000</v>
      </c>
      <c r="T88">
        <v>-122723000</v>
      </c>
      <c r="U88">
        <v>-273805000</v>
      </c>
      <c r="V88">
        <v>-163189000</v>
      </c>
      <c r="W88">
        <v>-61805000</v>
      </c>
      <c r="X88">
        <v>-28728000</v>
      </c>
    </row>
    <row r="89" spans="1:24" x14ac:dyDescent="0.25">
      <c r="A89" t="s">
        <v>78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 x14ac:dyDescent="0.25">
      <c r="A90" t="s">
        <v>79</v>
      </c>
      <c r="B90">
        <v>13352178000</v>
      </c>
      <c r="C90">
        <v>8617784000</v>
      </c>
      <c r="D90">
        <v>5374605000</v>
      </c>
      <c r="E90">
        <v>17909096189</v>
      </c>
      <c r="F90">
        <v>13578327000</v>
      </c>
      <c r="G90">
        <v>9603445000</v>
      </c>
      <c r="H90">
        <v>5785593000</v>
      </c>
      <c r="I90">
        <v>15871436000</v>
      </c>
      <c r="J90">
        <v>11646314000</v>
      </c>
      <c r="K90">
        <v>8467601000</v>
      </c>
      <c r="L90">
        <v>3527709000</v>
      </c>
      <c r="M90">
        <v>7058007000</v>
      </c>
      <c r="N90">
        <v>4165585000</v>
      </c>
      <c r="O90">
        <v>2619713000</v>
      </c>
      <c r="P90">
        <v>1334594000</v>
      </c>
      <c r="Q90">
        <v>2429990000</v>
      </c>
      <c r="R90">
        <v>1299879000</v>
      </c>
      <c r="S90">
        <v>850574000</v>
      </c>
      <c r="T90">
        <v>497303000</v>
      </c>
      <c r="U90">
        <v>1738516000</v>
      </c>
      <c r="V90">
        <v>1312480000</v>
      </c>
      <c r="W90">
        <v>740598000</v>
      </c>
      <c r="X90">
        <v>397207000</v>
      </c>
    </row>
    <row r="91" spans="1:24" x14ac:dyDescent="0.25">
      <c r="A91" t="s">
        <v>80</v>
      </c>
      <c r="B91">
        <v>12611523000</v>
      </c>
      <c r="C91">
        <v>8119730000</v>
      </c>
      <c r="D91">
        <v>4963471000</v>
      </c>
      <c r="E91">
        <v>17278338386</v>
      </c>
      <c r="F91">
        <v>12859513000</v>
      </c>
      <c r="G91">
        <v>8834542000</v>
      </c>
      <c r="H91">
        <v>5061872000</v>
      </c>
      <c r="I91">
        <v>13595398000</v>
      </c>
      <c r="J91">
        <v>9771819000</v>
      </c>
      <c r="K91">
        <v>6488723000</v>
      </c>
      <c r="L91">
        <v>3481161000</v>
      </c>
      <c r="M91">
        <v>5535137000</v>
      </c>
      <c r="N91">
        <v>3382337000</v>
      </c>
      <c r="O91">
        <v>2217442000</v>
      </c>
      <c r="P91">
        <v>1166560000</v>
      </c>
      <c r="Q91">
        <v>2098350000</v>
      </c>
      <c r="R91">
        <v>1327262000</v>
      </c>
      <c r="S91">
        <v>883898000</v>
      </c>
      <c r="T91">
        <v>493412000</v>
      </c>
      <c r="U91">
        <v>1722766000</v>
      </c>
      <c r="V91">
        <v>1228698000</v>
      </c>
      <c r="W91">
        <v>705161000</v>
      </c>
      <c r="X91">
        <v>371152000</v>
      </c>
    </row>
    <row r="92" spans="1:24" x14ac:dyDescent="0.25">
      <c r="A92" t="s">
        <v>81</v>
      </c>
      <c r="B92">
        <v>9855269000</v>
      </c>
      <c r="C92">
        <v>6692227000</v>
      </c>
      <c r="D92">
        <v>3389556000</v>
      </c>
      <c r="E92">
        <v>7661698297</v>
      </c>
      <c r="F92">
        <v>5795548000</v>
      </c>
      <c r="G92">
        <v>2792627000</v>
      </c>
      <c r="H92">
        <v>1834284000</v>
      </c>
      <c r="I92">
        <v>11006892000</v>
      </c>
      <c r="J92">
        <v>8638023000</v>
      </c>
      <c r="K92">
        <v>7134687000</v>
      </c>
      <c r="L92">
        <v>969515000</v>
      </c>
      <c r="M92">
        <v>7811620000</v>
      </c>
      <c r="N92">
        <v>3694542000</v>
      </c>
      <c r="O92">
        <v>2387324000</v>
      </c>
      <c r="P92">
        <v>1082949000</v>
      </c>
      <c r="Q92">
        <v>6096145000</v>
      </c>
      <c r="R92">
        <v>2227413000</v>
      </c>
      <c r="S92">
        <v>2333409000</v>
      </c>
      <c r="T92">
        <v>1480763000</v>
      </c>
      <c r="U92">
        <v>2580794000</v>
      </c>
      <c r="V92">
        <v>2306725000</v>
      </c>
      <c r="W92">
        <v>1044715000</v>
      </c>
      <c r="X92">
        <v>725238000</v>
      </c>
    </row>
    <row r="93" spans="1:24" x14ac:dyDescent="0.25">
      <c r="A93" t="s">
        <v>82</v>
      </c>
      <c r="B93">
        <v>-739055000</v>
      </c>
      <c r="C93">
        <v>-616948000</v>
      </c>
      <c r="D93">
        <v>-575094000</v>
      </c>
      <c r="E93">
        <v>-330067960</v>
      </c>
      <c r="F93">
        <v>-161924000</v>
      </c>
      <c r="G93">
        <v>-12881000</v>
      </c>
      <c r="H93">
        <v>-5220000</v>
      </c>
      <c r="I93">
        <v>-604641000</v>
      </c>
      <c r="J93">
        <v>-577542000</v>
      </c>
      <c r="K93">
        <v>-341761000</v>
      </c>
      <c r="L93">
        <v>-66668000</v>
      </c>
      <c r="M93">
        <v>-3247512000</v>
      </c>
      <c r="N93">
        <v>-1903434000</v>
      </c>
      <c r="O93">
        <v>-1498442000</v>
      </c>
      <c r="P93">
        <v>-739621000</v>
      </c>
      <c r="Q93">
        <v>-130934000</v>
      </c>
      <c r="R93">
        <v>-16775000</v>
      </c>
      <c r="S93">
        <v>-1771000</v>
      </c>
      <c r="T93">
        <v>-1360000</v>
      </c>
      <c r="U93">
        <v>-685234000</v>
      </c>
      <c r="V93">
        <v>-116556000</v>
      </c>
      <c r="W93">
        <v>-243204000</v>
      </c>
      <c r="X93">
        <v>-672328000</v>
      </c>
    </row>
    <row r="94" spans="1:24" x14ac:dyDescent="0.25">
      <c r="A94" t="s">
        <v>83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25">
      <c r="A95" t="s">
        <v>84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5">
      <c r="A96" t="s">
        <v>85</v>
      </c>
      <c r="B96">
        <v>22468392000</v>
      </c>
      <c r="C96">
        <v>14693063000</v>
      </c>
      <c r="D96">
        <v>8189067000</v>
      </c>
      <c r="E96">
        <v>25240726526</v>
      </c>
      <c r="F96">
        <v>19211951000</v>
      </c>
      <c r="G96">
        <v>12383191000</v>
      </c>
      <c r="H96">
        <v>7614657000</v>
      </c>
      <c r="I96">
        <v>26273687000</v>
      </c>
      <c r="J96">
        <v>19706795000</v>
      </c>
      <c r="K96">
        <v>15260527000</v>
      </c>
      <c r="L96">
        <v>4430556000</v>
      </c>
      <c r="M96">
        <v>11622115000</v>
      </c>
      <c r="N96">
        <v>5956693000</v>
      </c>
      <c r="O96">
        <v>3508595000</v>
      </c>
      <c r="P96">
        <v>1677922000</v>
      </c>
      <c r="Q96">
        <v>8395201000</v>
      </c>
      <c r="R96">
        <v>3510517000</v>
      </c>
      <c r="S96">
        <v>3182212000</v>
      </c>
      <c r="T96">
        <v>1976706000</v>
      </c>
      <c r="U96">
        <v>3634076000</v>
      </c>
      <c r="V96">
        <v>3502649000</v>
      </c>
      <c r="W96">
        <v>1542109000</v>
      </c>
      <c r="X96">
        <v>450117000</v>
      </c>
    </row>
    <row r="97" spans="1:24" x14ac:dyDescent="0.25">
      <c r="A97" t="s">
        <v>86</v>
      </c>
      <c r="B97">
        <v>4056000</v>
      </c>
      <c r="C97">
        <v>2531000</v>
      </c>
      <c r="D97">
        <v>1204000</v>
      </c>
      <c r="E97">
        <v>326489454</v>
      </c>
      <c r="F97">
        <v>99543000</v>
      </c>
      <c r="G97">
        <v>68544000</v>
      </c>
      <c r="H97">
        <v>19260000</v>
      </c>
      <c r="I97">
        <v>459638000</v>
      </c>
      <c r="J97">
        <v>220943000</v>
      </c>
      <c r="K97">
        <v>280919000</v>
      </c>
      <c r="L97">
        <v>245146000</v>
      </c>
      <c r="M97">
        <v>339665000</v>
      </c>
      <c r="N97">
        <v>108781000</v>
      </c>
      <c r="O97">
        <v>6556000</v>
      </c>
      <c r="P97">
        <v>28219000</v>
      </c>
      <c r="Q97">
        <v>444638000</v>
      </c>
      <c r="R97">
        <v>453477000</v>
      </c>
      <c r="S97">
        <v>5282000</v>
      </c>
      <c r="T97">
        <v>18892000</v>
      </c>
      <c r="U97">
        <v>613053000</v>
      </c>
      <c r="V97">
        <v>250892000</v>
      </c>
      <c r="W97">
        <v>189838000</v>
      </c>
      <c r="X97">
        <v>7697000</v>
      </c>
    </row>
    <row r="98" spans="1:24" x14ac:dyDescent="0.25">
      <c r="A98" t="s">
        <v>87</v>
      </c>
      <c r="B98">
        <v>-15602089000</v>
      </c>
      <c r="C98">
        <v>-10071194000</v>
      </c>
      <c r="D98">
        <v>-4732062000</v>
      </c>
      <c r="E98">
        <v>-11813639664</v>
      </c>
      <c r="F98">
        <v>-9416829000</v>
      </c>
      <c r="G98">
        <v>-4801197000</v>
      </c>
      <c r="H98">
        <v>-2622827000</v>
      </c>
      <c r="I98">
        <v>-19836152000</v>
      </c>
      <c r="J98">
        <v>-14260483000</v>
      </c>
      <c r="K98">
        <v>-14611614000</v>
      </c>
      <c r="L98">
        <v>-1180678000</v>
      </c>
      <c r="M98">
        <v>-10588785000</v>
      </c>
      <c r="N98">
        <v>-7019178000</v>
      </c>
      <c r="O98">
        <v>-4438036000</v>
      </c>
      <c r="P98">
        <v>-2025085000</v>
      </c>
      <c r="Q98">
        <v>-8910373000</v>
      </c>
      <c r="R98">
        <v>-2920628000</v>
      </c>
      <c r="S98">
        <v>-2183458000</v>
      </c>
      <c r="T98">
        <v>-1387968000</v>
      </c>
      <c r="U98">
        <v>-2670960000</v>
      </c>
      <c r="V98">
        <v>-2738080000</v>
      </c>
      <c r="W98">
        <v>-1120446000</v>
      </c>
      <c r="X98">
        <v>-528393000</v>
      </c>
    </row>
    <row r="99" spans="1:24" x14ac:dyDescent="0.25">
      <c r="A99" t="s">
        <v>88</v>
      </c>
      <c r="B99">
        <v>9116214000</v>
      </c>
      <c r="C99">
        <v>6075279000</v>
      </c>
      <c r="D99">
        <v>2814462000</v>
      </c>
      <c r="E99">
        <v>7331630336</v>
      </c>
      <c r="F99">
        <v>5633624000</v>
      </c>
      <c r="G99">
        <v>2779746000</v>
      </c>
      <c r="H99">
        <v>1829064000</v>
      </c>
      <c r="I99">
        <v>10402251000</v>
      </c>
      <c r="J99">
        <v>8060481000</v>
      </c>
      <c r="K99">
        <v>6792926000</v>
      </c>
      <c r="L99">
        <v>902847000</v>
      </c>
      <c r="M99">
        <v>4564108000</v>
      </c>
      <c r="N99">
        <v>1791108000</v>
      </c>
      <c r="O99">
        <v>888882000</v>
      </c>
      <c r="P99">
        <v>343328000</v>
      </c>
      <c r="Q99">
        <v>5965211000</v>
      </c>
      <c r="R99">
        <v>2210638000</v>
      </c>
      <c r="S99">
        <v>2331638000</v>
      </c>
      <c r="T99">
        <v>1479403000</v>
      </c>
      <c r="U99">
        <v>1895560000</v>
      </c>
      <c r="V99">
        <v>2190169000</v>
      </c>
      <c r="W99">
        <v>801511000</v>
      </c>
      <c r="X99">
        <v>52910000</v>
      </c>
    </row>
    <row r="100" spans="1:24" x14ac:dyDescent="0.25">
      <c r="A100" t="s">
        <v>89</v>
      </c>
      <c r="B100">
        <v>6870359000</v>
      </c>
      <c r="C100">
        <v>4624400000</v>
      </c>
      <c r="D100">
        <v>3458209000</v>
      </c>
      <c r="E100">
        <v>13753576316</v>
      </c>
      <c r="F100">
        <v>9894665000</v>
      </c>
      <c r="G100">
        <v>7650538000</v>
      </c>
      <c r="H100">
        <v>5011090000</v>
      </c>
      <c r="I100">
        <v>6897173000</v>
      </c>
      <c r="J100">
        <v>5667255000</v>
      </c>
      <c r="K100">
        <v>929832000</v>
      </c>
      <c r="L100">
        <v>3495024000</v>
      </c>
      <c r="M100">
        <v>1372995000</v>
      </c>
      <c r="N100">
        <v>-953704000</v>
      </c>
      <c r="O100">
        <v>-922885000</v>
      </c>
      <c r="P100">
        <v>-318944000</v>
      </c>
      <c r="Q100">
        <v>-70534000</v>
      </c>
      <c r="R100">
        <v>1043366000</v>
      </c>
      <c r="S100">
        <v>1004036000</v>
      </c>
      <c r="T100">
        <v>607630000</v>
      </c>
      <c r="U100">
        <v>1576169000</v>
      </c>
      <c r="V100">
        <v>1015461000</v>
      </c>
      <c r="W100">
        <v>611501000</v>
      </c>
      <c r="X100">
        <v>-70579000</v>
      </c>
    </row>
    <row r="101" spans="1:24" x14ac:dyDescent="0.25">
      <c r="A101" t="s">
        <v>90</v>
      </c>
      <c r="B101">
        <v>-2015327000</v>
      </c>
      <c r="C101">
        <v>-1134262000</v>
      </c>
      <c r="D101">
        <v>-879164000</v>
      </c>
      <c r="E101">
        <v>-3699007600</v>
      </c>
      <c r="F101">
        <v>-3373930000</v>
      </c>
      <c r="G101">
        <v>-2216058000</v>
      </c>
      <c r="H101">
        <v>-1584619000</v>
      </c>
      <c r="I101">
        <v>-800398000</v>
      </c>
      <c r="J101">
        <v>-1597854000</v>
      </c>
      <c r="K101">
        <v>-249835000</v>
      </c>
      <c r="L101">
        <v>-795511000</v>
      </c>
      <c r="M101">
        <v>56511000</v>
      </c>
      <c r="N101">
        <v>-32089000</v>
      </c>
      <c r="O101">
        <v>37194000</v>
      </c>
      <c r="P101">
        <v>-12112000</v>
      </c>
      <c r="Q101">
        <v>-91885000</v>
      </c>
      <c r="R101">
        <v>-270123000</v>
      </c>
      <c r="S101">
        <v>-263997000</v>
      </c>
      <c r="T101">
        <v>-114654000</v>
      </c>
      <c r="U101">
        <v>-307604000</v>
      </c>
      <c r="V101">
        <v>-194490000</v>
      </c>
      <c r="W101">
        <v>-116170000</v>
      </c>
      <c r="X101">
        <v>26436000</v>
      </c>
    </row>
    <row r="102" spans="1:24" x14ac:dyDescent="0.25">
      <c r="A102" t="s">
        <v>91</v>
      </c>
      <c r="B102">
        <v>-1016953000</v>
      </c>
      <c r="C102">
        <v>-327470000</v>
      </c>
      <c r="D102">
        <v>-287036000</v>
      </c>
      <c r="E102">
        <v>-787983791</v>
      </c>
      <c r="F102">
        <v>-630138000</v>
      </c>
      <c r="G102">
        <v>-617611000</v>
      </c>
      <c r="H102">
        <v>-281770000</v>
      </c>
      <c r="I102">
        <v>-1872594000</v>
      </c>
      <c r="J102">
        <v>-1516642000</v>
      </c>
      <c r="K102">
        <v>-1032612000</v>
      </c>
      <c r="L102">
        <v>-530223000</v>
      </c>
      <c r="M102">
        <v>-1300719000</v>
      </c>
      <c r="N102">
        <v>-568168000</v>
      </c>
      <c r="O102">
        <v>-364274000</v>
      </c>
      <c r="P102">
        <v>-190297000</v>
      </c>
      <c r="Q102">
        <v>-450711000</v>
      </c>
      <c r="R102">
        <v>-309068000</v>
      </c>
      <c r="S102">
        <v>-292588000</v>
      </c>
      <c r="T102">
        <v>-133122000</v>
      </c>
      <c r="U102">
        <v>-354315000</v>
      </c>
      <c r="V102">
        <v>-299353000</v>
      </c>
      <c r="W102">
        <v>-201400000</v>
      </c>
      <c r="X102">
        <v>-67338000</v>
      </c>
    </row>
    <row r="103" spans="1:24" x14ac:dyDescent="0.25">
      <c r="A103" t="s">
        <v>92</v>
      </c>
      <c r="B103">
        <v>-998374000</v>
      </c>
      <c r="C103">
        <v>-806792000</v>
      </c>
      <c r="D103">
        <v>-592128000</v>
      </c>
      <c r="E103">
        <v>-2911023809</v>
      </c>
      <c r="F103">
        <v>-2743792000</v>
      </c>
      <c r="G103">
        <v>-1598447000</v>
      </c>
      <c r="H103">
        <v>-1302849000</v>
      </c>
      <c r="I103">
        <v>1072196000</v>
      </c>
      <c r="J103">
        <v>-81212000</v>
      </c>
      <c r="K103">
        <v>782777000</v>
      </c>
      <c r="L103">
        <v>-265288000</v>
      </c>
      <c r="M103">
        <v>1357230000</v>
      </c>
      <c r="N103">
        <v>536079000</v>
      </c>
      <c r="O103">
        <v>401468000</v>
      </c>
      <c r="P103">
        <v>178185000</v>
      </c>
      <c r="Q103">
        <v>358826000</v>
      </c>
      <c r="R103">
        <v>38945000</v>
      </c>
      <c r="S103">
        <v>28591000</v>
      </c>
      <c r="T103">
        <v>18468000</v>
      </c>
      <c r="U103">
        <v>46711000</v>
      </c>
      <c r="V103">
        <v>104863000</v>
      </c>
      <c r="W103">
        <v>85230000</v>
      </c>
      <c r="X103">
        <v>93774000</v>
      </c>
    </row>
    <row r="104" spans="1:24" x14ac:dyDescent="0.25">
      <c r="A104" t="s">
        <v>93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 x14ac:dyDescent="0.25">
      <c r="A105" t="s">
        <v>94</v>
      </c>
      <c r="B105">
        <v>4855032000</v>
      </c>
      <c r="C105">
        <v>3490138000</v>
      </c>
      <c r="D105">
        <v>2579045000</v>
      </c>
      <c r="E105">
        <v>10054568716</v>
      </c>
      <c r="F105">
        <v>6520735000</v>
      </c>
      <c r="G105">
        <v>5434480000</v>
      </c>
      <c r="H105">
        <v>3426471000</v>
      </c>
      <c r="I105">
        <v>6096775000</v>
      </c>
      <c r="J105">
        <v>4069401000</v>
      </c>
      <c r="K105">
        <v>679997000</v>
      </c>
      <c r="L105">
        <v>2699513000</v>
      </c>
      <c r="M105">
        <v>1429506000</v>
      </c>
      <c r="N105">
        <v>-985793000</v>
      </c>
      <c r="O105">
        <v>-885691000</v>
      </c>
      <c r="P105">
        <v>-331056000</v>
      </c>
      <c r="Q105">
        <v>-162419000</v>
      </c>
      <c r="R105">
        <v>773243000</v>
      </c>
      <c r="S105">
        <v>740039000</v>
      </c>
      <c r="T105">
        <v>492976000</v>
      </c>
      <c r="U105">
        <v>1268565000</v>
      </c>
      <c r="V105">
        <v>820971000</v>
      </c>
      <c r="W105">
        <v>495331000</v>
      </c>
      <c r="X105">
        <v>-44143000</v>
      </c>
    </row>
    <row r="106" spans="1:24" x14ac:dyDescent="0.25">
      <c r="A106" t="s">
        <v>95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 x14ac:dyDescent="0.25">
      <c r="A107" t="s">
        <v>96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 x14ac:dyDescent="0.25">
      <c r="A108" t="s">
        <v>97</v>
      </c>
      <c r="B108">
        <v>4855032000</v>
      </c>
      <c r="C108">
        <v>3490138000</v>
      </c>
      <c r="D108">
        <v>2579045000</v>
      </c>
      <c r="E108">
        <v>10054568716</v>
      </c>
      <c r="F108">
        <v>6520735000</v>
      </c>
      <c r="G108">
        <v>5434480000</v>
      </c>
      <c r="H108">
        <v>3426471000</v>
      </c>
      <c r="I108">
        <v>6096775000</v>
      </c>
      <c r="J108">
        <v>4069401000</v>
      </c>
      <c r="K108">
        <v>679997000</v>
      </c>
      <c r="L108">
        <v>2699513000</v>
      </c>
      <c r="M108">
        <v>1429506000</v>
      </c>
      <c r="N108">
        <v>-985793000</v>
      </c>
      <c r="O108">
        <v>-885691000</v>
      </c>
      <c r="P108">
        <v>-331056000</v>
      </c>
      <c r="Q108">
        <v>-162419000</v>
      </c>
      <c r="R108">
        <v>773243000</v>
      </c>
      <c r="S108">
        <v>740039000</v>
      </c>
      <c r="T108">
        <v>492976000</v>
      </c>
      <c r="U108">
        <v>1268565000</v>
      </c>
      <c r="V108">
        <v>820971000</v>
      </c>
      <c r="W108">
        <v>495331000</v>
      </c>
      <c r="X108">
        <v>-44143000</v>
      </c>
    </row>
    <row r="109" spans="1:24" x14ac:dyDescent="0.25">
      <c r="A109" t="s">
        <v>98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x14ac:dyDescent="0.25">
      <c r="A110" t="s">
        <v>99</v>
      </c>
      <c r="B110">
        <v>261516000</v>
      </c>
      <c r="C110">
        <v>210225000</v>
      </c>
      <c r="D110">
        <v>165677000</v>
      </c>
      <c r="E110">
        <v>772129491</v>
      </c>
      <c r="F110">
        <v>652765000</v>
      </c>
      <c r="G110">
        <v>559472000</v>
      </c>
      <c r="H110">
        <v>433337000</v>
      </c>
      <c r="I110">
        <v>1218392000</v>
      </c>
      <c r="J110">
        <v>1080658000</v>
      </c>
      <c r="K110">
        <v>743657000</v>
      </c>
      <c r="L110">
        <v>286580000</v>
      </c>
      <c r="M110">
        <v>444713000</v>
      </c>
      <c r="N110">
        <v>350625000</v>
      </c>
      <c r="O110">
        <v>233649000</v>
      </c>
      <c r="P110">
        <v>139649000</v>
      </c>
      <c r="Q110">
        <v>301913000</v>
      </c>
      <c r="R110">
        <v>118589000</v>
      </c>
      <c r="S110">
        <v>87842000</v>
      </c>
      <c r="T110">
        <v>61829000</v>
      </c>
      <c r="U110">
        <v>187171000</v>
      </c>
      <c r="V110">
        <v>139438000</v>
      </c>
      <c r="W110">
        <v>89180000</v>
      </c>
      <c r="X110">
        <v>54149000</v>
      </c>
    </row>
    <row r="111" spans="1:24" x14ac:dyDescent="0.25">
      <c r="A111" t="s">
        <v>100</v>
      </c>
      <c r="B111">
        <v>4593516000</v>
      </c>
      <c r="C111">
        <v>3279913000</v>
      </c>
      <c r="D111">
        <v>2413368000</v>
      </c>
      <c r="E111">
        <v>9282439224</v>
      </c>
      <c r="F111">
        <v>5867970000</v>
      </c>
      <c r="G111">
        <v>4875008000</v>
      </c>
      <c r="H111">
        <v>2993134000</v>
      </c>
      <c r="I111">
        <v>4878383000</v>
      </c>
      <c r="J111">
        <v>2988743000</v>
      </c>
      <c r="K111">
        <v>-63660000</v>
      </c>
      <c r="L111">
        <v>2412933000</v>
      </c>
      <c r="M111">
        <v>984793000</v>
      </c>
      <c r="N111">
        <v>-1336418000</v>
      </c>
      <c r="O111">
        <v>-1119340000</v>
      </c>
      <c r="P111">
        <v>-470705000</v>
      </c>
      <c r="Q111">
        <v>-464332000</v>
      </c>
      <c r="R111">
        <v>654654000</v>
      </c>
      <c r="S111">
        <v>652197000</v>
      </c>
      <c r="T111">
        <v>431147000</v>
      </c>
      <c r="U111">
        <v>1081394000</v>
      </c>
      <c r="V111">
        <v>681533000</v>
      </c>
      <c r="W111">
        <v>406151000</v>
      </c>
      <c r="X111">
        <v>-98292000</v>
      </c>
    </row>
    <row r="112" spans="1:24" x14ac:dyDescent="0.25">
      <c r="A112" t="s">
        <v>101</v>
      </c>
      <c r="B112">
        <v>12</v>
      </c>
      <c r="C112">
        <v>9</v>
      </c>
      <c r="D112">
        <v>7</v>
      </c>
      <c r="E112">
        <v>25</v>
      </c>
      <c r="F112">
        <v>16</v>
      </c>
      <c r="G112">
        <v>13</v>
      </c>
      <c r="H112">
        <v>8</v>
      </c>
      <c r="I112">
        <v>13</v>
      </c>
      <c r="J112">
        <v>8</v>
      </c>
      <c r="K112">
        <v>0</v>
      </c>
      <c r="L112">
        <v>7</v>
      </c>
      <c r="M112">
        <v>3</v>
      </c>
      <c r="N112">
        <v>-4</v>
      </c>
      <c r="O112">
        <v>-3</v>
      </c>
      <c r="P112">
        <v>-1</v>
      </c>
      <c r="Q112">
        <v>-1</v>
      </c>
      <c r="R112">
        <v>2</v>
      </c>
      <c r="S112">
        <v>2</v>
      </c>
      <c r="T112">
        <v>1</v>
      </c>
      <c r="U112">
        <v>3</v>
      </c>
      <c r="V112">
        <v>2</v>
      </c>
      <c r="W112">
        <v>1</v>
      </c>
      <c r="X112">
        <v>0</v>
      </c>
    </row>
    <row r="113" spans="1:24" x14ac:dyDescent="0.25">
      <c r="A113" t="s">
        <v>102</v>
      </c>
      <c r="B113">
        <v>12</v>
      </c>
      <c r="C113">
        <v>9</v>
      </c>
      <c r="D113">
        <v>7</v>
      </c>
      <c r="E113">
        <v>25</v>
      </c>
      <c r="F113">
        <v>16</v>
      </c>
      <c r="G113">
        <v>13</v>
      </c>
      <c r="H113">
        <v>8</v>
      </c>
      <c r="I113">
        <v>13</v>
      </c>
      <c r="J113">
        <v>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 x14ac:dyDescent="0.25">
      <c r="A114" t="s">
        <v>103</v>
      </c>
      <c r="B114">
        <v>12</v>
      </c>
      <c r="C114">
        <v>9</v>
      </c>
      <c r="D114">
        <v>7</v>
      </c>
      <c r="E114">
        <v>25</v>
      </c>
      <c r="F114">
        <v>16</v>
      </c>
      <c r="G114">
        <v>13</v>
      </c>
      <c r="H114">
        <v>8</v>
      </c>
      <c r="I114">
        <v>13</v>
      </c>
      <c r="J114">
        <v>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 x14ac:dyDescent="0.25">
      <c r="A115" t="s">
        <v>104</v>
      </c>
      <c r="B115">
        <v>12</v>
      </c>
      <c r="C115">
        <v>9</v>
      </c>
      <c r="D115">
        <v>7</v>
      </c>
      <c r="E115">
        <v>25</v>
      </c>
      <c r="F115">
        <v>16</v>
      </c>
      <c r="G115">
        <v>13</v>
      </c>
      <c r="H115">
        <v>8</v>
      </c>
      <c r="I115">
        <v>13</v>
      </c>
      <c r="J115">
        <v>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 x14ac:dyDescent="0.25">
      <c r="A116" t="s">
        <v>105</v>
      </c>
      <c r="B116">
        <v>1770984000</v>
      </c>
      <c r="C116">
        <v>1065995000</v>
      </c>
      <c r="D116">
        <v>520989000</v>
      </c>
      <c r="E116">
        <v>2283603688</v>
      </c>
      <c r="F116">
        <v>1631880000</v>
      </c>
      <c r="G116">
        <v>1047090000</v>
      </c>
      <c r="H116">
        <v>520654000</v>
      </c>
      <c r="I116">
        <v>1709601000</v>
      </c>
      <c r="J116">
        <v>1230234000</v>
      </c>
      <c r="K116">
        <v>776516000</v>
      </c>
      <c r="L116">
        <v>360836000</v>
      </c>
      <c r="M116">
        <v>1167767000</v>
      </c>
      <c r="N116">
        <v>250409000</v>
      </c>
      <c r="O116">
        <v>161554000</v>
      </c>
      <c r="P116">
        <v>78065000</v>
      </c>
      <c r="Q116">
        <v>230009000</v>
      </c>
      <c r="R116">
        <v>168489000</v>
      </c>
      <c r="S116">
        <v>109110000</v>
      </c>
      <c r="T116">
        <v>52972000</v>
      </c>
      <c r="U116">
        <v>199294000</v>
      </c>
      <c r="V116">
        <v>145813000</v>
      </c>
      <c r="W116">
        <v>89785000</v>
      </c>
      <c r="X116">
        <v>44015000</v>
      </c>
    </row>
    <row r="117" spans="1:24" x14ac:dyDescent="0.25">
      <c r="A117" t="s">
        <v>106</v>
      </c>
      <c r="B117">
        <v>516224000</v>
      </c>
      <c r="C117">
        <v>343664000</v>
      </c>
      <c r="D117">
        <v>168023000</v>
      </c>
      <c r="E117">
        <v>234953450</v>
      </c>
      <c r="F117">
        <v>432848000</v>
      </c>
      <c r="G117">
        <v>301319000</v>
      </c>
      <c r="H117">
        <v>172689000</v>
      </c>
      <c r="I117">
        <v>221861000</v>
      </c>
      <c r="J117">
        <v>311611000</v>
      </c>
      <c r="K117">
        <v>191746000</v>
      </c>
      <c r="L117">
        <v>61995000</v>
      </c>
      <c r="M117">
        <v>164628000</v>
      </c>
      <c r="N117">
        <v>224262000</v>
      </c>
      <c r="O117">
        <v>0</v>
      </c>
      <c r="P117">
        <v>62079000</v>
      </c>
      <c r="Q117">
        <v>102268000</v>
      </c>
      <c r="R117">
        <v>69835000</v>
      </c>
      <c r="S117">
        <v>48549000</v>
      </c>
      <c r="T117">
        <v>23999000</v>
      </c>
      <c r="U117">
        <v>42536000</v>
      </c>
      <c r="V117">
        <v>48416000</v>
      </c>
      <c r="W117">
        <v>25718000</v>
      </c>
      <c r="X117">
        <v>13491000</v>
      </c>
    </row>
    <row r="118" spans="1:24" x14ac:dyDescent="0.25">
      <c r="A118" t="s">
        <v>107</v>
      </c>
      <c r="B118">
        <v>-15602089000</v>
      </c>
      <c r="C118">
        <v>-10071194000</v>
      </c>
      <c r="D118">
        <v>-4732062000</v>
      </c>
      <c r="E118">
        <v>-11813639664</v>
      </c>
      <c r="F118">
        <v>-9416829000</v>
      </c>
      <c r="G118">
        <v>-4801197000</v>
      </c>
      <c r="H118">
        <v>-2622827000</v>
      </c>
      <c r="I118">
        <v>-19836152000</v>
      </c>
      <c r="J118">
        <v>-14260483000</v>
      </c>
      <c r="K118">
        <v>-14611614000</v>
      </c>
      <c r="L118">
        <v>-1180678000</v>
      </c>
      <c r="M118">
        <v>-10588785000</v>
      </c>
      <c r="N118">
        <v>-7019178000</v>
      </c>
      <c r="O118">
        <v>-4438036000</v>
      </c>
      <c r="P118">
        <v>-2025085000</v>
      </c>
      <c r="Q118">
        <v>-8910373000</v>
      </c>
      <c r="R118">
        <v>-2920628000</v>
      </c>
      <c r="S118">
        <v>-2183458000</v>
      </c>
      <c r="T118">
        <v>-1387968000</v>
      </c>
      <c r="U118">
        <v>-2670960000</v>
      </c>
      <c r="V118">
        <v>-2738080000</v>
      </c>
      <c r="W118">
        <v>-1120446000</v>
      </c>
      <c r="X118">
        <v>-528393000</v>
      </c>
    </row>
    <row r="119" spans="1:24" x14ac:dyDescent="0.25">
      <c r="A119" t="s">
        <v>108</v>
      </c>
      <c r="B119">
        <v>74942876000</v>
      </c>
      <c r="C119">
        <v>37224303000</v>
      </c>
      <c r="D119">
        <v>25559447000</v>
      </c>
      <c r="E119">
        <v>95564187106</v>
      </c>
      <c r="F119">
        <v>71035079000</v>
      </c>
      <c r="G119">
        <v>34216422000</v>
      </c>
      <c r="H119">
        <v>25188647000</v>
      </c>
      <c r="I119">
        <v>92193212000</v>
      </c>
      <c r="J119">
        <v>63825818000</v>
      </c>
      <c r="K119">
        <v>39779866000</v>
      </c>
      <c r="L119">
        <v>20088391000</v>
      </c>
      <c r="M119">
        <v>57369966000</v>
      </c>
      <c r="N119">
        <v>21036729000</v>
      </c>
      <c r="O119">
        <v>12769891000</v>
      </c>
      <c r="P119">
        <v>6608501000</v>
      </c>
      <c r="Q119">
        <v>13361997000</v>
      </c>
      <c r="R119">
        <v>9156368000</v>
      </c>
      <c r="S119">
        <v>5909332000</v>
      </c>
      <c r="T119">
        <v>3099251000</v>
      </c>
      <c r="U119">
        <v>10502249000</v>
      </c>
      <c r="V119">
        <v>7549272000</v>
      </c>
      <c r="W119">
        <v>4983984000</v>
      </c>
      <c r="X119">
        <v>2699695000</v>
      </c>
    </row>
    <row r="120" spans="1:24" x14ac:dyDescent="0.25">
      <c r="A120" t="s">
        <v>109</v>
      </c>
      <c r="B120">
        <v>14668452000</v>
      </c>
      <c r="C120">
        <v>14415250000</v>
      </c>
      <c r="D120">
        <v>3920202000</v>
      </c>
      <c r="E120">
        <v>19576192130</v>
      </c>
      <c r="F120">
        <v>13737906000</v>
      </c>
      <c r="G120">
        <v>15154262000</v>
      </c>
      <c r="H120">
        <v>4563131000</v>
      </c>
      <c r="I120">
        <v>15975816000</v>
      </c>
      <c r="J120">
        <v>10850238000</v>
      </c>
      <c r="K120">
        <v>6732068000</v>
      </c>
      <c r="L120">
        <v>3032955000</v>
      </c>
      <c r="M120">
        <v>11136504000</v>
      </c>
      <c r="N120">
        <v>4105800000</v>
      </c>
      <c r="O120">
        <v>2711674000</v>
      </c>
      <c r="P120">
        <v>1192202000</v>
      </c>
      <c r="Q120">
        <v>2837277000</v>
      </c>
      <c r="R120">
        <v>1719332000</v>
      </c>
      <c r="S120">
        <v>1113122000</v>
      </c>
      <c r="T120">
        <v>530233000</v>
      </c>
      <c r="U120">
        <v>2079909000</v>
      </c>
      <c r="V120">
        <v>1447797000</v>
      </c>
      <c r="W120">
        <v>880002000</v>
      </c>
      <c r="X120">
        <v>397441000</v>
      </c>
    </row>
    <row r="121" spans="1:24" x14ac:dyDescent="0.25">
      <c r="A121" t="s">
        <v>110</v>
      </c>
      <c r="B121">
        <v>-36190717000</v>
      </c>
      <c r="C121">
        <v>-32978772000</v>
      </c>
      <c r="D121">
        <v>-25772677000</v>
      </c>
      <c r="E121">
        <v>-22696948007</v>
      </c>
      <c r="F121">
        <v>-20759475000</v>
      </c>
      <c r="G121">
        <v>-17631100000</v>
      </c>
      <c r="H121">
        <v>-16610835000</v>
      </c>
      <c r="I121">
        <v>-20251575000</v>
      </c>
      <c r="J121">
        <v>-14008195000</v>
      </c>
      <c r="K121">
        <v>-14440310000</v>
      </c>
      <c r="L121">
        <v>-13207830000</v>
      </c>
      <c r="M121">
        <v>-20096479000</v>
      </c>
      <c r="N121">
        <v>-11764312000</v>
      </c>
      <c r="O121">
        <v>-10069885000</v>
      </c>
      <c r="P121">
        <v>-8446785000</v>
      </c>
      <c r="Q121">
        <v>-7062499000</v>
      </c>
      <c r="R121">
        <v>-4387313000</v>
      </c>
      <c r="S121">
        <v>1062695000</v>
      </c>
      <c r="T121">
        <v>776006000</v>
      </c>
      <c r="U121">
        <v>-621277000</v>
      </c>
      <c r="V121">
        <v>157883000</v>
      </c>
      <c r="W121">
        <v>185636000</v>
      </c>
      <c r="X121">
        <v>-512042000</v>
      </c>
    </row>
    <row r="122" spans="1:24" x14ac:dyDescent="0.25">
      <c r="A122" t="s">
        <v>111</v>
      </c>
      <c r="B122">
        <v>-36639550000</v>
      </c>
      <c r="C122">
        <v>-33276788000</v>
      </c>
      <c r="D122">
        <v>-27098107000</v>
      </c>
      <c r="E122">
        <v>-24554077299</v>
      </c>
      <c r="F122">
        <v>-21148306000</v>
      </c>
      <c r="G122">
        <v>-17714410000</v>
      </c>
      <c r="H122">
        <v>-16631242000</v>
      </c>
      <c r="I122">
        <v>-20590561000</v>
      </c>
      <c r="J122">
        <v>-14251252000</v>
      </c>
      <c r="K122">
        <v>-14797766000</v>
      </c>
      <c r="L122">
        <v>-13591595000</v>
      </c>
      <c r="M122">
        <v>-20878853000</v>
      </c>
      <c r="N122">
        <v>-12090303000</v>
      </c>
      <c r="O122">
        <v>-10311390000</v>
      </c>
      <c r="P122">
        <v>-8725020000</v>
      </c>
      <c r="Q122">
        <v>-7261010000</v>
      </c>
      <c r="R122">
        <v>-4524615000</v>
      </c>
      <c r="S122">
        <v>1044122000</v>
      </c>
      <c r="T122">
        <v>760998000</v>
      </c>
      <c r="U122">
        <v>-633481000</v>
      </c>
      <c r="V122">
        <v>138531000</v>
      </c>
      <c r="W122">
        <v>174938000</v>
      </c>
      <c r="X122">
        <v>-521234000</v>
      </c>
    </row>
    <row r="123" spans="1:24" x14ac:dyDescent="0.25">
      <c r="A123" t="s">
        <v>112</v>
      </c>
      <c r="B123">
        <v>-13389289000</v>
      </c>
      <c r="C123">
        <v>-11171136000</v>
      </c>
      <c r="D123">
        <v>-10339381000</v>
      </c>
      <c r="E123">
        <v>-5255878527</v>
      </c>
      <c r="F123">
        <v>-6874409000</v>
      </c>
      <c r="G123">
        <v>-8809704000</v>
      </c>
      <c r="H123">
        <v>-5798779000</v>
      </c>
      <c r="I123">
        <v>-6147931000</v>
      </c>
      <c r="J123">
        <v>-4093954000</v>
      </c>
      <c r="K123">
        <v>-6941264000</v>
      </c>
      <c r="L123">
        <v>-6667879000</v>
      </c>
      <c r="M123">
        <v>-10963355000</v>
      </c>
      <c r="N123">
        <v>-6421995000</v>
      </c>
      <c r="O123">
        <v>-5680714000</v>
      </c>
      <c r="P123">
        <v>-6003960000</v>
      </c>
      <c r="Q123">
        <v>-6983294000</v>
      </c>
      <c r="R123">
        <v>-4387313000</v>
      </c>
      <c r="S123">
        <v>1062695000</v>
      </c>
      <c r="T123">
        <v>776006000</v>
      </c>
      <c r="U123">
        <v>-486158000</v>
      </c>
      <c r="V123">
        <v>157883000</v>
      </c>
      <c r="W123">
        <v>185636000</v>
      </c>
      <c r="X123">
        <v>460264000</v>
      </c>
    </row>
    <row r="124" spans="1:24" x14ac:dyDescent="0.25">
      <c r="A124" t="s">
        <v>113</v>
      </c>
      <c r="B124">
        <v>-2365851000</v>
      </c>
      <c r="C124">
        <v>-4480642000</v>
      </c>
      <c r="D124">
        <v>-5741318000</v>
      </c>
      <c r="E124">
        <v>7259933530</v>
      </c>
      <c r="F124">
        <v>1666173000</v>
      </c>
      <c r="G124">
        <v>3003562000</v>
      </c>
      <c r="H124">
        <v>-1261460000</v>
      </c>
      <c r="I124">
        <v>10613347000</v>
      </c>
      <c r="J124">
        <v>5858853000</v>
      </c>
      <c r="K124">
        <v>2875651000</v>
      </c>
      <c r="L124">
        <v>188699000</v>
      </c>
      <c r="M124">
        <v>4021785000</v>
      </c>
      <c r="N124">
        <v>562839000</v>
      </c>
      <c r="O124">
        <v>739351000</v>
      </c>
      <c r="P124">
        <v>360405000</v>
      </c>
      <c r="Q124">
        <v>27339000</v>
      </c>
      <c r="R124">
        <v>309308000</v>
      </c>
      <c r="S124">
        <v>71257000</v>
      </c>
      <c r="T124">
        <v>-197696000</v>
      </c>
      <c r="U124">
        <v>630027000</v>
      </c>
      <c r="V124">
        <v>292658000</v>
      </c>
      <c r="W124">
        <v>117066000</v>
      </c>
      <c r="X124">
        <v>77499000</v>
      </c>
    </row>
    <row r="125" spans="1:24" x14ac:dyDescent="0.25">
      <c r="A125" t="s">
        <v>114</v>
      </c>
      <c r="B125">
        <v>4855032000</v>
      </c>
      <c r="C125">
        <v>3490138000</v>
      </c>
      <c r="D125">
        <v>2579045000</v>
      </c>
      <c r="E125">
        <v>10054568716</v>
      </c>
      <c r="F125">
        <v>6520735000</v>
      </c>
      <c r="G125">
        <v>5434480000</v>
      </c>
      <c r="H125">
        <v>3426471000</v>
      </c>
      <c r="I125">
        <v>6096775000</v>
      </c>
      <c r="J125">
        <v>4069401000</v>
      </c>
      <c r="K125">
        <v>624313000</v>
      </c>
      <c r="L125">
        <v>2490214000</v>
      </c>
      <c r="M125">
        <v>1429506000</v>
      </c>
      <c r="N125">
        <v>-985793000</v>
      </c>
      <c r="O125">
        <v>-885691000</v>
      </c>
      <c r="P125">
        <v>-331056000</v>
      </c>
      <c r="Q125">
        <v>-162419000</v>
      </c>
      <c r="R125">
        <v>773243000</v>
      </c>
      <c r="S125">
        <v>740039000</v>
      </c>
      <c r="T125">
        <v>492976000</v>
      </c>
      <c r="U125">
        <v>1268565000</v>
      </c>
      <c r="V125">
        <v>820971000</v>
      </c>
      <c r="W125">
        <v>495331000</v>
      </c>
      <c r="X125">
        <v>-44143000</v>
      </c>
    </row>
    <row r="126" spans="1:24" x14ac:dyDescent="0.25">
      <c r="A126" t="s">
        <v>115</v>
      </c>
      <c r="B126">
        <v>12904940000</v>
      </c>
      <c r="C126">
        <v>8544713000</v>
      </c>
      <c r="D126">
        <v>4903943000</v>
      </c>
      <c r="E126">
        <v>12807179972</v>
      </c>
      <c r="F126">
        <v>10657772000</v>
      </c>
      <c r="G126">
        <v>6553999000</v>
      </c>
      <c r="H126">
        <v>4279819000</v>
      </c>
      <c r="I126">
        <v>13663174000</v>
      </c>
      <c r="J126">
        <v>11444409000</v>
      </c>
      <c r="K126">
        <v>10535346000</v>
      </c>
      <c r="L126">
        <v>3090432000</v>
      </c>
      <c r="M126">
        <v>9162595000</v>
      </c>
      <c r="N126">
        <v>6004634000</v>
      </c>
      <c r="O126">
        <v>4061636000</v>
      </c>
      <c r="P126">
        <v>2090583000</v>
      </c>
      <c r="Q126">
        <v>3145238000</v>
      </c>
      <c r="R126">
        <v>966143000</v>
      </c>
      <c r="S126">
        <v>486238000</v>
      </c>
      <c r="T126">
        <v>180820000</v>
      </c>
      <c r="U126">
        <v>885141000</v>
      </c>
      <c r="V126">
        <v>905681000</v>
      </c>
      <c r="W126">
        <v>511826000</v>
      </c>
      <c r="X126">
        <v>659566000</v>
      </c>
    </row>
    <row r="127" spans="1:24" x14ac:dyDescent="0.25">
      <c r="A127" t="s">
        <v>116</v>
      </c>
      <c r="B127">
        <v>1770984000</v>
      </c>
      <c r="C127">
        <v>1065995000</v>
      </c>
      <c r="D127">
        <v>520989000</v>
      </c>
      <c r="E127">
        <v>2283603688</v>
      </c>
      <c r="F127">
        <v>1631880000</v>
      </c>
      <c r="G127">
        <v>1047090000</v>
      </c>
      <c r="H127">
        <v>520654000</v>
      </c>
      <c r="I127">
        <v>1709601000</v>
      </c>
      <c r="J127">
        <v>1230234000</v>
      </c>
      <c r="K127">
        <v>776516000</v>
      </c>
      <c r="L127">
        <v>360836000</v>
      </c>
      <c r="M127">
        <v>1167767000</v>
      </c>
      <c r="N127">
        <v>250409000</v>
      </c>
      <c r="O127">
        <v>161554000</v>
      </c>
      <c r="P127">
        <v>78065000</v>
      </c>
      <c r="Q127">
        <v>230009000</v>
      </c>
      <c r="R127">
        <v>168489000</v>
      </c>
      <c r="S127">
        <v>109110000</v>
      </c>
      <c r="T127">
        <v>52972000</v>
      </c>
      <c r="U127">
        <v>199294000</v>
      </c>
      <c r="V127">
        <v>145813000</v>
      </c>
      <c r="W127">
        <v>89785000</v>
      </c>
      <c r="X127">
        <v>44015000</v>
      </c>
    </row>
    <row r="128" spans="1:24" x14ac:dyDescent="0.25">
      <c r="A128" t="s">
        <v>117</v>
      </c>
      <c r="B128">
        <v>1943905000</v>
      </c>
      <c r="C128">
        <v>1633440000</v>
      </c>
      <c r="D128">
        <v>1530928000</v>
      </c>
      <c r="E128">
        <v>1373810207</v>
      </c>
      <c r="F128">
        <v>1560248000</v>
      </c>
      <c r="G128">
        <v>1397336000</v>
      </c>
      <c r="H128">
        <v>1273170000</v>
      </c>
      <c r="I128">
        <v>1182273000</v>
      </c>
      <c r="J128">
        <v>1408591000</v>
      </c>
      <c r="K128">
        <v>1356641000</v>
      </c>
      <c r="L128">
        <v>1461990000</v>
      </c>
      <c r="M128">
        <v>456974000</v>
      </c>
      <c r="N128">
        <v>589488000</v>
      </c>
      <c r="O128">
        <v>387079000</v>
      </c>
      <c r="P128">
        <v>340234000</v>
      </c>
      <c r="Q128">
        <v>317939000</v>
      </c>
      <c r="R128">
        <v>268788000</v>
      </c>
      <c r="S128">
        <v>228404000</v>
      </c>
      <c r="T128">
        <v>129507000</v>
      </c>
      <c r="U128">
        <v>202674000</v>
      </c>
      <c r="V128">
        <v>260233000</v>
      </c>
      <c r="W128">
        <v>170527000</v>
      </c>
      <c r="X128">
        <v>168533000</v>
      </c>
    </row>
    <row r="129" spans="1:24" x14ac:dyDescent="0.25">
      <c r="A129" t="s">
        <v>118</v>
      </c>
      <c r="B129">
        <v>11009921000</v>
      </c>
      <c r="C129">
        <v>6737992000</v>
      </c>
      <c r="D129">
        <v>3520417000</v>
      </c>
      <c r="E129">
        <v>12583279378</v>
      </c>
      <c r="F129">
        <v>11226633000</v>
      </c>
      <c r="G129">
        <v>7254138000</v>
      </c>
      <c r="H129">
        <v>4177443000</v>
      </c>
      <c r="I129">
        <v>16323687000</v>
      </c>
      <c r="J129">
        <v>13645057000</v>
      </c>
      <c r="K129">
        <v>9777698000</v>
      </c>
      <c r="L129">
        <v>1267606000</v>
      </c>
      <c r="M129">
        <v>7537854000</v>
      </c>
      <c r="N129">
        <v>5164737000</v>
      </c>
      <c r="O129">
        <v>3513003000</v>
      </c>
      <c r="P129">
        <v>1672284000</v>
      </c>
      <c r="Q129">
        <v>2597290000</v>
      </c>
      <c r="R129">
        <v>528866000</v>
      </c>
      <c r="S129">
        <v>148724000</v>
      </c>
      <c r="T129">
        <v>-1659000</v>
      </c>
      <c r="U129">
        <v>483173000</v>
      </c>
      <c r="V129">
        <v>499635000</v>
      </c>
      <c r="W129">
        <v>251514000</v>
      </c>
      <c r="X129">
        <v>447018000</v>
      </c>
    </row>
    <row r="130" spans="1:24" x14ac:dyDescent="0.25">
      <c r="A130" t="s">
        <v>119</v>
      </c>
      <c r="B130">
        <v>17759972000</v>
      </c>
      <c r="C130">
        <v>12034851000</v>
      </c>
      <c r="D130">
        <v>7482988000</v>
      </c>
      <c r="E130">
        <v>22861748688</v>
      </c>
      <c r="F130">
        <v>17178507000</v>
      </c>
      <c r="G130">
        <v>11988479000</v>
      </c>
      <c r="H130">
        <v>7706290000</v>
      </c>
      <c r="I130">
        <v>19759949000</v>
      </c>
      <c r="J130">
        <v>15513810000</v>
      </c>
      <c r="K130">
        <v>11159659000</v>
      </c>
      <c r="L130">
        <v>5580646000</v>
      </c>
      <c r="M130">
        <v>10592101000</v>
      </c>
      <c r="N130">
        <v>5018841000</v>
      </c>
      <c r="O130">
        <v>3175945000</v>
      </c>
      <c r="P130">
        <v>1759527000</v>
      </c>
      <c r="Q130">
        <v>2982819000</v>
      </c>
      <c r="R130">
        <v>1739386000</v>
      </c>
      <c r="S130">
        <v>1226277000</v>
      </c>
      <c r="T130">
        <v>673796000</v>
      </c>
      <c r="U130">
        <v>2153706000</v>
      </c>
      <c r="V130">
        <v>1726652000</v>
      </c>
      <c r="W130">
        <v>1007157000</v>
      </c>
      <c r="X130">
        <v>615423000</v>
      </c>
    </row>
    <row r="131" spans="1:24" x14ac:dyDescent="0.25">
      <c r="A131" t="s">
        <v>120</v>
      </c>
      <c r="B131">
        <v>-18584189000</v>
      </c>
      <c r="C131">
        <v>-15456990000</v>
      </c>
      <c r="D131">
        <v>-12750482000</v>
      </c>
      <c r="E131">
        <v>-13347190722</v>
      </c>
      <c r="F131">
        <v>-13581182000</v>
      </c>
      <c r="G131">
        <v>-7523923000</v>
      </c>
      <c r="H131">
        <v>-8453548000</v>
      </c>
      <c r="I131">
        <v>-6181227000</v>
      </c>
      <c r="J131">
        <v>-7054940000</v>
      </c>
      <c r="K131">
        <v>-6700838000</v>
      </c>
      <c r="L131">
        <v>-4862573000</v>
      </c>
      <c r="M131">
        <v>-4994943000</v>
      </c>
      <c r="N131">
        <v>-3881659000</v>
      </c>
      <c r="O131">
        <v>-2016796000</v>
      </c>
      <c r="P131">
        <v>-1149287000</v>
      </c>
      <c r="Q131">
        <v>-2425350000</v>
      </c>
      <c r="R131">
        <v>-971542000</v>
      </c>
      <c r="S131">
        <v>-836911000</v>
      </c>
      <c r="T131">
        <v>-795278000</v>
      </c>
      <c r="U131">
        <v>-1074252000</v>
      </c>
      <c r="V131">
        <v>-1096323000</v>
      </c>
      <c r="W131">
        <v>-709905000</v>
      </c>
      <c r="X131">
        <v>-492378000</v>
      </c>
    </row>
    <row r="132" spans="1:24" x14ac:dyDescent="0.25">
      <c r="A132" t="s">
        <v>121</v>
      </c>
      <c r="B132">
        <v>-824217000</v>
      </c>
      <c r="C132">
        <v>-3422139000</v>
      </c>
      <c r="D132">
        <v>-5267494000</v>
      </c>
      <c r="E132">
        <v>9514557965</v>
      </c>
      <c r="F132">
        <v>3597325000</v>
      </c>
      <c r="G132">
        <v>4464556000</v>
      </c>
      <c r="H132">
        <v>-747258000</v>
      </c>
      <c r="I132">
        <v>13578722000</v>
      </c>
      <c r="J132">
        <v>8458870000</v>
      </c>
      <c r="K132">
        <v>4458821000</v>
      </c>
      <c r="L132">
        <v>718073000</v>
      </c>
      <c r="M132">
        <v>5597158000</v>
      </c>
      <c r="N132">
        <v>1137182000</v>
      </c>
      <c r="O132">
        <v>1159149000</v>
      </c>
      <c r="P132">
        <v>610240000</v>
      </c>
      <c r="Q132">
        <v>557469000</v>
      </c>
      <c r="R132">
        <v>767844000</v>
      </c>
      <c r="S132">
        <v>389366000</v>
      </c>
      <c r="T132">
        <v>-121482000</v>
      </c>
      <c r="U132">
        <v>1079454000</v>
      </c>
      <c r="V132">
        <v>630329000</v>
      </c>
      <c r="W132">
        <v>297252000</v>
      </c>
      <c r="X132">
        <v>123045000</v>
      </c>
    </row>
    <row r="133" spans="1:24" x14ac:dyDescent="0.25">
      <c r="A133" t="s">
        <v>122</v>
      </c>
      <c r="B133">
        <v>-1541634000</v>
      </c>
      <c r="C133">
        <v>-1058503000</v>
      </c>
      <c r="D133">
        <v>-473824000</v>
      </c>
      <c r="E133">
        <v>-2254624436</v>
      </c>
      <c r="F133">
        <v>-1931152000</v>
      </c>
      <c r="G133">
        <v>-1460994000</v>
      </c>
      <c r="H133">
        <v>-514202000</v>
      </c>
      <c r="I133">
        <v>-2965375000</v>
      </c>
      <c r="J133">
        <v>-2600017000</v>
      </c>
      <c r="K133">
        <v>-1583170000</v>
      </c>
      <c r="L133">
        <v>-529374000</v>
      </c>
      <c r="M133">
        <v>-1575373000</v>
      </c>
      <c r="N133">
        <v>-574343000</v>
      </c>
      <c r="O133">
        <v>-419798000</v>
      </c>
      <c r="P133">
        <v>-249835000</v>
      </c>
      <c r="Q133">
        <v>-530130000</v>
      </c>
      <c r="R133">
        <v>-458536000</v>
      </c>
      <c r="S133">
        <v>-318109000</v>
      </c>
      <c r="T133">
        <v>-76214000</v>
      </c>
      <c r="U133">
        <v>-449427000</v>
      </c>
      <c r="V133">
        <v>-337671000</v>
      </c>
      <c r="W133">
        <v>-180186000</v>
      </c>
      <c r="X133">
        <v>-45546000</v>
      </c>
    </row>
    <row r="134" spans="1:24" x14ac:dyDescent="0.25">
      <c r="A134" t="s">
        <v>123</v>
      </c>
      <c r="B134">
        <v>-1086068000</v>
      </c>
      <c r="C134">
        <v>-455323000</v>
      </c>
      <c r="D134">
        <v>-175842000</v>
      </c>
      <c r="E134">
        <v>-3197591534</v>
      </c>
      <c r="F134">
        <v>-1704862000</v>
      </c>
      <c r="G134">
        <v>-828502000</v>
      </c>
      <c r="H134">
        <v>-372893000</v>
      </c>
      <c r="I134">
        <v>-1604351000</v>
      </c>
      <c r="J134">
        <v>-978139000</v>
      </c>
      <c r="K134">
        <v>-514736000</v>
      </c>
      <c r="L134">
        <v>-255102000</v>
      </c>
      <c r="M134">
        <v>-1146434000</v>
      </c>
      <c r="N134">
        <v>-324683000</v>
      </c>
      <c r="O134">
        <v>-180176000</v>
      </c>
      <c r="P134">
        <v>-74890000</v>
      </c>
      <c r="Q134">
        <v>-464987000</v>
      </c>
      <c r="R134">
        <v>-124780000</v>
      </c>
      <c r="S134">
        <v>-97708000</v>
      </c>
      <c r="T134">
        <v>-28222000</v>
      </c>
      <c r="U134">
        <v>-216858000</v>
      </c>
      <c r="V134">
        <v>-100099000</v>
      </c>
      <c r="W134">
        <v>-49386000</v>
      </c>
      <c r="X134">
        <v>-23046000</v>
      </c>
    </row>
    <row r="135" spans="1:24" x14ac:dyDescent="0.25">
      <c r="A135" t="s">
        <v>124</v>
      </c>
      <c r="B135">
        <v>3825566000</v>
      </c>
      <c r="C135">
        <v>2159329000</v>
      </c>
      <c r="D135">
        <v>726181000</v>
      </c>
      <c r="E135">
        <v>3628095983</v>
      </c>
      <c r="F135">
        <v>1999977000</v>
      </c>
      <c r="G135">
        <v>917034000</v>
      </c>
      <c r="H135">
        <v>123067000</v>
      </c>
      <c r="I135">
        <v>985158000</v>
      </c>
      <c r="J135">
        <v>857203000</v>
      </c>
      <c r="K135">
        <v>176895000</v>
      </c>
      <c r="L135">
        <v>687180000</v>
      </c>
      <c r="M135">
        <v>11483124000</v>
      </c>
      <c r="N135">
        <v>641345000</v>
      </c>
      <c r="O135">
        <v>-226711000</v>
      </c>
      <c r="P135">
        <v>-242347000</v>
      </c>
      <c r="Q135">
        <v>-1078837000</v>
      </c>
      <c r="R135">
        <v>-1099345000</v>
      </c>
      <c r="S135">
        <v>-1025944000</v>
      </c>
      <c r="T135">
        <v>-1071938000</v>
      </c>
      <c r="U135">
        <v>-550396000</v>
      </c>
      <c r="V135">
        <v>841357000</v>
      </c>
      <c r="W135">
        <v>161698000</v>
      </c>
      <c r="X135">
        <v>-765911000</v>
      </c>
    </row>
    <row r="136" spans="1:24" x14ac:dyDescent="0.25">
      <c r="A136" t="s">
        <v>125</v>
      </c>
      <c r="B136">
        <v>2739498000</v>
      </c>
      <c r="C136">
        <v>1704006000</v>
      </c>
      <c r="D136">
        <v>550339000</v>
      </c>
      <c r="E136">
        <v>430504449</v>
      </c>
      <c r="F136">
        <v>295115000</v>
      </c>
      <c r="G136">
        <v>88532000</v>
      </c>
      <c r="H136">
        <v>-249826000</v>
      </c>
      <c r="I136">
        <v>-619193000</v>
      </c>
      <c r="J136">
        <v>-120936000</v>
      </c>
      <c r="K136">
        <v>-337841000</v>
      </c>
      <c r="L136">
        <v>432078000</v>
      </c>
      <c r="M136">
        <v>10336690000</v>
      </c>
      <c r="N136">
        <v>316662000</v>
      </c>
      <c r="O136">
        <v>-406887000</v>
      </c>
      <c r="P136">
        <v>-317237000</v>
      </c>
      <c r="Q136">
        <v>-1543824000</v>
      </c>
      <c r="R136">
        <v>-1224125000</v>
      </c>
      <c r="S136">
        <v>-1123652000</v>
      </c>
      <c r="T136">
        <v>-1100160000</v>
      </c>
      <c r="U136">
        <v>-767254000</v>
      </c>
      <c r="V136">
        <v>741258000</v>
      </c>
      <c r="W136">
        <v>112312000</v>
      </c>
      <c r="X136">
        <v>-788957000</v>
      </c>
    </row>
    <row r="137" spans="1:24" x14ac:dyDescent="0.25">
      <c r="A137" t="s">
        <v>126</v>
      </c>
      <c r="B137">
        <v>373647000</v>
      </c>
      <c r="C137">
        <v>-2776636000</v>
      </c>
      <c r="D137">
        <v>-5190979000</v>
      </c>
      <c r="E137">
        <v>7690437978</v>
      </c>
      <c r="F137">
        <v>1961288000</v>
      </c>
      <c r="G137">
        <v>3092094000</v>
      </c>
      <c r="H137">
        <v>-1511286000</v>
      </c>
      <c r="I137">
        <v>9994154000</v>
      </c>
      <c r="J137">
        <v>5737917000</v>
      </c>
      <c r="K137">
        <v>2537810000</v>
      </c>
      <c r="L137">
        <v>620777000</v>
      </c>
      <c r="M137">
        <v>14358475000</v>
      </c>
      <c r="N137">
        <v>879501000</v>
      </c>
      <c r="O137">
        <v>332464000</v>
      </c>
      <c r="P137">
        <v>43168000</v>
      </c>
      <c r="Q137">
        <v>-1516485000</v>
      </c>
      <c r="R137">
        <v>-914817000</v>
      </c>
      <c r="S137">
        <v>-1052395000</v>
      </c>
      <c r="T137">
        <v>-1297856000</v>
      </c>
      <c r="U137">
        <v>-137227000</v>
      </c>
      <c r="V137">
        <v>1033916000</v>
      </c>
      <c r="W137">
        <v>229378000</v>
      </c>
      <c r="X137">
        <v>-711458000</v>
      </c>
    </row>
    <row r="138" spans="1:24" x14ac:dyDescent="0.25">
      <c r="A138" t="s">
        <v>127</v>
      </c>
      <c r="B138">
        <v>8042648000</v>
      </c>
      <c r="C138">
        <v>8040171000</v>
      </c>
      <c r="D138">
        <v>3185491000</v>
      </c>
      <c r="E138">
        <v>13802758511</v>
      </c>
      <c r="F138">
        <v>14803159000</v>
      </c>
      <c r="G138">
        <v>5487096000</v>
      </c>
      <c r="H138">
        <v>572826000</v>
      </c>
      <c r="I138">
        <v>-9960507000</v>
      </c>
      <c r="J138">
        <v>-9753497000</v>
      </c>
      <c r="K138">
        <v>-6874901000</v>
      </c>
      <c r="L138">
        <v>276619000</v>
      </c>
      <c r="M138">
        <v>-2000276000</v>
      </c>
      <c r="N138">
        <v>-68961000</v>
      </c>
      <c r="O138">
        <v>169549000</v>
      </c>
      <c r="P138">
        <v>-229116000</v>
      </c>
      <c r="Q138">
        <v>-117631000</v>
      </c>
      <c r="R138">
        <v>246394000</v>
      </c>
      <c r="S138">
        <v>536183000</v>
      </c>
      <c r="T138">
        <v>624753000</v>
      </c>
      <c r="U138">
        <v>1862513000</v>
      </c>
      <c r="V138">
        <v>192781000</v>
      </c>
      <c r="W138">
        <v>390558000</v>
      </c>
      <c r="X138">
        <v>-55801000</v>
      </c>
    </row>
    <row r="139" spans="1:24" x14ac:dyDescent="0.25">
      <c r="A139" t="s">
        <v>128</v>
      </c>
      <c r="B139">
        <v>-3680249000</v>
      </c>
      <c r="C139">
        <v>-3436324000</v>
      </c>
      <c r="D139">
        <v>0</v>
      </c>
      <c r="E139">
        <v>-457530762</v>
      </c>
      <c r="F139">
        <v>-455571000</v>
      </c>
      <c r="G139">
        <v>-461568000</v>
      </c>
      <c r="H139">
        <v>0</v>
      </c>
      <c r="I139">
        <v>-288485000</v>
      </c>
      <c r="J139">
        <v>-298488000</v>
      </c>
      <c r="K139">
        <v>-342871000</v>
      </c>
      <c r="L139">
        <v>0</v>
      </c>
      <c r="M139">
        <v>-198768000</v>
      </c>
      <c r="N139">
        <v>-119590000</v>
      </c>
      <c r="O139">
        <v>0</v>
      </c>
      <c r="P139">
        <v>0</v>
      </c>
      <c r="Q139">
        <v>-373341000</v>
      </c>
      <c r="R139">
        <v>-349291000</v>
      </c>
      <c r="S139">
        <v>-349292000</v>
      </c>
      <c r="T139">
        <v>-66025000</v>
      </c>
      <c r="U139">
        <v>-6686000</v>
      </c>
      <c r="V139">
        <v>0</v>
      </c>
      <c r="W139">
        <v>0</v>
      </c>
      <c r="X139">
        <v>0</v>
      </c>
    </row>
    <row r="140" spans="1:24" x14ac:dyDescent="0.25">
      <c r="A140" t="s">
        <v>129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x14ac:dyDescent="0.25">
      <c r="A141" t="s">
        <v>130</v>
      </c>
      <c r="B141">
        <v>-6545604000</v>
      </c>
      <c r="C141">
        <v>-4410798000</v>
      </c>
      <c r="D141">
        <v>-2262233000</v>
      </c>
      <c r="E141">
        <v>-5973409773</v>
      </c>
      <c r="F141">
        <v>-3647415000</v>
      </c>
      <c r="G141">
        <v>-2693591000</v>
      </c>
      <c r="H141">
        <v>-204277000</v>
      </c>
      <c r="I141">
        <v>-4711070000</v>
      </c>
      <c r="J141">
        <v>-1330067000</v>
      </c>
      <c r="K141">
        <v>-1172108000</v>
      </c>
      <c r="L141">
        <v>-149312000</v>
      </c>
      <c r="M141">
        <v>-4033243000</v>
      </c>
      <c r="N141">
        <v>-857858000</v>
      </c>
      <c r="O141">
        <v>-809991000</v>
      </c>
      <c r="P141">
        <v>-74280000</v>
      </c>
      <c r="Q141">
        <v>-764403000</v>
      </c>
      <c r="R141">
        <v>-469045000</v>
      </c>
      <c r="S141">
        <v>-421950000</v>
      </c>
      <c r="T141">
        <v>-47314000</v>
      </c>
      <c r="U141">
        <v>71847000</v>
      </c>
      <c r="V141">
        <v>266255000</v>
      </c>
      <c r="W141">
        <v>308465000</v>
      </c>
      <c r="X141">
        <v>-40985000</v>
      </c>
    </row>
    <row r="142" spans="1:24" x14ac:dyDescent="0.25">
      <c r="A142" t="s">
        <v>131</v>
      </c>
      <c r="B142">
        <v>-2183205000</v>
      </c>
      <c r="C142">
        <v>193049000</v>
      </c>
      <c r="D142">
        <v>923258000</v>
      </c>
      <c r="E142">
        <v>7371817976</v>
      </c>
      <c r="F142">
        <v>10700173000</v>
      </c>
      <c r="G142">
        <v>2331937000</v>
      </c>
      <c r="H142">
        <v>368549000</v>
      </c>
      <c r="I142">
        <v>-14960062000</v>
      </c>
      <c r="J142">
        <v>-11382052000</v>
      </c>
      <c r="K142">
        <v>-8389880000</v>
      </c>
      <c r="L142">
        <v>127307000</v>
      </c>
      <c r="M142">
        <v>-6232287000</v>
      </c>
      <c r="N142">
        <v>-1046409000</v>
      </c>
      <c r="O142">
        <v>-640442000</v>
      </c>
      <c r="P142">
        <v>-303396000</v>
      </c>
      <c r="Q142">
        <v>-1255375000</v>
      </c>
      <c r="R142">
        <v>-571942000</v>
      </c>
      <c r="S142">
        <v>-235059000</v>
      </c>
      <c r="T142">
        <v>511414000</v>
      </c>
      <c r="U142">
        <v>1927674000</v>
      </c>
      <c r="V142">
        <v>459036000</v>
      </c>
      <c r="W142">
        <v>699023000</v>
      </c>
      <c r="X142">
        <v>-96786000</v>
      </c>
    </row>
    <row r="143" spans="1:24" x14ac:dyDescent="0.25">
      <c r="A143" t="s">
        <v>132</v>
      </c>
      <c r="B143">
        <v>-8499611000</v>
      </c>
      <c r="C143">
        <v>-6970189000</v>
      </c>
      <c r="D143">
        <v>-6915048000</v>
      </c>
      <c r="E143">
        <v>8573366950</v>
      </c>
      <c r="F143">
        <v>7089343000</v>
      </c>
      <c r="G143">
        <v>1530084000</v>
      </c>
      <c r="H143">
        <v>-3567840000</v>
      </c>
      <c r="I143">
        <v>-13620877000</v>
      </c>
      <c r="J143">
        <v>-12536771000</v>
      </c>
      <c r="K143">
        <v>-8992389000</v>
      </c>
      <c r="L143">
        <v>748084000</v>
      </c>
      <c r="M143">
        <v>8126188000</v>
      </c>
      <c r="N143">
        <v>-166908000</v>
      </c>
      <c r="O143">
        <v>-307978000</v>
      </c>
      <c r="P143">
        <v>-260228000</v>
      </c>
      <c r="Q143">
        <v>-2771860000</v>
      </c>
      <c r="R143">
        <v>-1486759000</v>
      </c>
      <c r="S143">
        <v>-1287454000</v>
      </c>
      <c r="T143">
        <v>-786442000</v>
      </c>
      <c r="U143">
        <v>1790447000</v>
      </c>
      <c r="V143">
        <v>1492952000</v>
      </c>
      <c r="W143">
        <v>928401000</v>
      </c>
      <c r="X143">
        <v>-808244000</v>
      </c>
    </row>
    <row r="144" spans="1:24" x14ac:dyDescent="0.25">
      <c r="A144" t="s">
        <v>133</v>
      </c>
      <c r="B144">
        <v>5071670000</v>
      </c>
      <c r="C144">
        <v>3666831000</v>
      </c>
      <c r="D144">
        <v>1896505000</v>
      </c>
      <c r="E144">
        <v>3314335123</v>
      </c>
      <c r="F144">
        <v>2896763000</v>
      </c>
      <c r="G144">
        <v>1419726000</v>
      </c>
      <c r="H144">
        <v>2531055000</v>
      </c>
      <c r="I144">
        <v>8434448000</v>
      </c>
      <c r="J144">
        <v>6283677000</v>
      </c>
      <c r="K144">
        <v>4999541000</v>
      </c>
      <c r="L144">
        <v>-1678507000</v>
      </c>
      <c r="M144">
        <v>-1009967000</v>
      </c>
      <c r="N144">
        <v>927485000</v>
      </c>
      <c r="O144">
        <v>627196000</v>
      </c>
      <c r="P144">
        <v>240507000</v>
      </c>
      <c r="Q144">
        <v>1941174000</v>
      </c>
      <c r="R144">
        <v>513848000</v>
      </c>
      <c r="S144">
        <v>501871000</v>
      </c>
      <c r="T144">
        <v>345477000</v>
      </c>
      <c r="U144">
        <v>0</v>
      </c>
      <c r="V144">
        <v>0</v>
      </c>
      <c r="W144">
        <v>0</v>
      </c>
      <c r="X144">
        <v>0</v>
      </c>
    </row>
    <row r="145" spans="1:24" x14ac:dyDescent="0.25">
      <c r="A145" t="s">
        <v>134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 x14ac:dyDescent="0.25">
      <c r="A146" t="s">
        <v>135</v>
      </c>
      <c r="B146">
        <v>-3427941000</v>
      </c>
      <c r="C146">
        <v>-3303358000</v>
      </c>
      <c r="D146">
        <v>-5018543000</v>
      </c>
      <c r="E146">
        <v>11887702073</v>
      </c>
      <c r="F146">
        <v>9986106000</v>
      </c>
      <c r="G146">
        <v>2949810000</v>
      </c>
      <c r="H146">
        <v>-1036785000</v>
      </c>
      <c r="I146">
        <v>-5186429000</v>
      </c>
      <c r="J146">
        <v>-6253094000</v>
      </c>
      <c r="K146">
        <v>-3992848000</v>
      </c>
      <c r="L146">
        <v>-930423000</v>
      </c>
      <c r="M146">
        <v>7116221000</v>
      </c>
      <c r="N146">
        <v>760577000</v>
      </c>
      <c r="O146">
        <v>319218000</v>
      </c>
      <c r="P146">
        <v>-19721000</v>
      </c>
      <c r="Q146">
        <v>-830686000</v>
      </c>
      <c r="R146">
        <v>-972911000</v>
      </c>
      <c r="S146">
        <v>-785583000</v>
      </c>
      <c r="T146">
        <v>-440965000</v>
      </c>
      <c r="U146">
        <v>1790447000</v>
      </c>
      <c r="V146">
        <v>1492952000</v>
      </c>
      <c r="W146">
        <v>928401000</v>
      </c>
      <c r="X146">
        <v>-808244000</v>
      </c>
    </row>
    <row r="147" spans="1:24" x14ac:dyDescent="0.25">
      <c r="A147" t="s">
        <v>136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 x14ac:dyDescent="0.25">
      <c r="A148" t="s">
        <v>137</v>
      </c>
      <c r="B148">
        <v>32998197000</v>
      </c>
      <c r="C148">
        <v>30694746000</v>
      </c>
      <c r="D148">
        <v>28955471000</v>
      </c>
      <c r="E148">
        <v>21110494511</v>
      </c>
      <c r="F148">
        <v>21110495000</v>
      </c>
      <c r="G148">
        <v>19636869000</v>
      </c>
      <c r="H148">
        <v>18524173000</v>
      </c>
      <c r="I148">
        <v>22016983000</v>
      </c>
      <c r="J148">
        <v>20717968000</v>
      </c>
      <c r="K148">
        <v>19021351000</v>
      </c>
      <c r="L148">
        <v>17546581000</v>
      </c>
      <c r="M148">
        <v>8133239000</v>
      </c>
      <c r="N148">
        <v>3004834000</v>
      </c>
      <c r="O148">
        <v>3004834000</v>
      </c>
      <c r="P148">
        <v>3004834000</v>
      </c>
      <c r="Q148">
        <v>3835520000</v>
      </c>
      <c r="R148">
        <v>3835520000</v>
      </c>
      <c r="S148">
        <v>3835520000</v>
      </c>
      <c r="T148">
        <v>3835520000</v>
      </c>
      <c r="U148">
        <v>2045073000</v>
      </c>
      <c r="V148">
        <v>2045073000</v>
      </c>
      <c r="W148">
        <v>2027599000</v>
      </c>
      <c r="X148">
        <v>2027599000</v>
      </c>
    </row>
    <row r="149" spans="1:24" x14ac:dyDescent="0.25">
      <c r="A149" t="s">
        <v>138</v>
      </c>
      <c r="B149">
        <v>29570256000</v>
      </c>
      <c r="C149">
        <v>27391388000</v>
      </c>
      <c r="D149">
        <v>23936928000</v>
      </c>
      <c r="E149">
        <v>32998196584</v>
      </c>
      <c r="F149">
        <v>31096601000</v>
      </c>
      <c r="G149">
        <v>22586679000</v>
      </c>
      <c r="H149">
        <v>17487388000</v>
      </c>
      <c r="I149">
        <v>16830554000</v>
      </c>
      <c r="J149">
        <v>14464874000</v>
      </c>
      <c r="K149">
        <v>15028503000</v>
      </c>
      <c r="L149">
        <v>16616158000</v>
      </c>
      <c r="M149">
        <v>15249460000</v>
      </c>
      <c r="N149">
        <v>3765411000</v>
      </c>
      <c r="O149">
        <v>3324052000</v>
      </c>
      <c r="P149">
        <v>2985113000</v>
      </c>
      <c r="Q149">
        <v>3004834000</v>
      </c>
      <c r="R149">
        <v>2862609000</v>
      </c>
      <c r="S149">
        <v>3049937000</v>
      </c>
      <c r="T149">
        <v>3394555000</v>
      </c>
      <c r="U149">
        <v>3835520000</v>
      </c>
      <c r="V149">
        <v>3538025000</v>
      </c>
      <c r="W149">
        <v>2956000000</v>
      </c>
      <c r="X149">
        <v>1219355000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E283D-EE9A-409C-84BC-1D44A285F7FC}">
  <dimension ref="A1:Y176"/>
  <sheetViews>
    <sheetView topLeftCell="H154" zoomScale="70" zoomScaleNormal="70" workbookViewId="0">
      <selection activeCell="X155" sqref="X155"/>
    </sheetView>
  </sheetViews>
  <sheetFormatPr defaultRowHeight="15" x14ac:dyDescent="0.25"/>
  <cols>
    <col min="1" max="1" width="65" bestFit="1" customWidth="1"/>
    <col min="2" max="3" width="16.85546875" bestFit="1" customWidth="1"/>
    <col min="4" max="7" width="20.140625" bestFit="1" customWidth="1"/>
    <col min="8" max="11" width="16.85546875" bestFit="1" customWidth="1"/>
    <col min="12" max="19" width="20.7109375" customWidth="1"/>
    <col min="20" max="24" width="18.7109375" bestFit="1" customWidth="1"/>
  </cols>
  <sheetData>
    <row r="1" spans="1:25" x14ac:dyDescent="0.25">
      <c r="B1">
        <f>COUNT(Data!$1:$1)+1</f>
        <v>24</v>
      </c>
      <c r="C1">
        <f>($B$1+1)-COLUMN(B1)</f>
        <v>23</v>
      </c>
      <c r="D1">
        <f t="shared" ref="D1:U1" si="0">($B$1+1)-COLUMN(C1)</f>
        <v>22</v>
      </c>
      <c r="E1">
        <f t="shared" si="0"/>
        <v>21</v>
      </c>
      <c r="F1">
        <f t="shared" si="0"/>
        <v>20</v>
      </c>
      <c r="G1">
        <f t="shared" si="0"/>
        <v>19</v>
      </c>
      <c r="H1">
        <f t="shared" si="0"/>
        <v>18</v>
      </c>
      <c r="I1">
        <f t="shared" si="0"/>
        <v>17</v>
      </c>
      <c r="J1">
        <f t="shared" si="0"/>
        <v>16</v>
      </c>
      <c r="K1">
        <f t="shared" si="0"/>
        <v>15</v>
      </c>
      <c r="L1">
        <f t="shared" si="0"/>
        <v>14</v>
      </c>
      <c r="M1">
        <f t="shared" si="0"/>
        <v>13</v>
      </c>
      <c r="N1">
        <f t="shared" si="0"/>
        <v>12</v>
      </c>
      <c r="O1">
        <f t="shared" si="0"/>
        <v>11</v>
      </c>
      <c r="P1">
        <f t="shared" si="0"/>
        <v>10</v>
      </c>
      <c r="Q1">
        <f t="shared" si="0"/>
        <v>9</v>
      </c>
      <c r="R1">
        <f t="shared" si="0"/>
        <v>8</v>
      </c>
      <c r="S1">
        <f t="shared" si="0"/>
        <v>7</v>
      </c>
      <c r="T1">
        <f t="shared" si="0"/>
        <v>6</v>
      </c>
      <c r="U1">
        <f t="shared" si="0"/>
        <v>5</v>
      </c>
      <c r="V1">
        <f t="shared" ref="V1" si="1">($B$1+1)-COLUMN(U1)</f>
        <v>4</v>
      </c>
      <c r="W1">
        <f t="shared" ref="W1" si="2">($B$1+1)-COLUMN(V1)</f>
        <v>3</v>
      </c>
      <c r="X1">
        <f t="shared" ref="X1" si="3">($B$1+1)-COLUMN(W1)</f>
        <v>2</v>
      </c>
      <c r="Y1">
        <f t="shared" ref="Y1" si="4">($B$1+1)-COLUMN(X1)</f>
        <v>1</v>
      </c>
    </row>
    <row r="2" spans="1:25" x14ac:dyDescent="0.25">
      <c r="A2" t="str">
        <f>Data!A2</f>
        <v>Bilanço</v>
      </c>
      <c r="B2" t="str">
        <f>IFERROR(HLOOKUP(B$1,Data!$1:$149,ROW(Bilanço!$A2),0),"")</f>
        <v>2020/3</v>
      </c>
      <c r="C2" t="str">
        <f>IFERROR(HLOOKUP(C$1,Data!$1:$149,ROW(Bilanço!$A2),0),"")</f>
        <v>2020/6</v>
      </c>
      <c r="D2" t="str">
        <f>IFERROR(HLOOKUP(D$1,Data!$1:$149,ROW(Bilanço!$A2),0),"")</f>
        <v>2020/9</v>
      </c>
      <c r="E2" t="str">
        <f>IFERROR(HLOOKUP(E$1,Data!$1:$149,ROW(Bilanço!$A2),0),"")</f>
        <v>2020/12</v>
      </c>
      <c r="F2" t="str">
        <f>IFERROR(HLOOKUP(F$1,Data!$1:$149,ROW(Bilanço!$A2),0),"")</f>
        <v>2021/3</v>
      </c>
      <c r="G2" t="str">
        <f>IFERROR(HLOOKUP(G$1,Data!$1:$149,ROW(Bilanço!$A2),0),"")</f>
        <v>2021/6</v>
      </c>
      <c r="H2" t="str">
        <f>IFERROR(HLOOKUP(H$1,Data!$1:$149,ROW(Bilanço!$A2),0),"")</f>
        <v>2021/9</v>
      </c>
      <c r="I2" t="str">
        <f>IFERROR(HLOOKUP(I$1,Data!$1:$149,ROW(Bilanço!$A2),0),"")</f>
        <v>2021/12</v>
      </c>
      <c r="J2" t="str">
        <f>IFERROR(HLOOKUP(J$1,Data!$1:$149,ROW(Bilanço!$A2),0),"")</f>
        <v>2022/3</v>
      </c>
      <c r="K2" t="str">
        <f>IFERROR(HLOOKUP(K$1,Data!$1:$149,ROW(Bilanço!$A2),0),"")</f>
        <v>2022/6</v>
      </c>
      <c r="L2" t="str">
        <f>IFERROR(HLOOKUP(L$1,Data!$1:$149,ROW(Bilanço!$A2),0),"")</f>
        <v>2022/9</v>
      </c>
      <c r="M2" t="str">
        <f>IFERROR(HLOOKUP(M$1,Data!$1:$149,ROW(Bilanço!$A2),0),"")</f>
        <v>2022/12</v>
      </c>
      <c r="N2" t="str">
        <f>IFERROR(HLOOKUP(N$1,Data!$1:$149,ROW(Bilanço!$A2),0),"")</f>
        <v>2023/3</v>
      </c>
      <c r="O2" t="str">
        <f>IFERROR(HLOOKUP(O$1,Data!$1:$149,ROW(Bilanço!$A2),0),"")</f>
        <v>2023/6</v>
      </c>
      <c r="P2" t="str">
        <f>IFERROR(HLOOKUP(P$1,Data!$1:$149,ROW(Bilanço!$A2),0),"")</f>
        <v>2023/9</v>
      </c>
      <c r="Q2" t="str">
        <f>IFERROR(HLOOKUP(Q$1,Data!$1:$149,ROW(Bilanço!$A2),0),"")</f>
        <v>2023/12</v>
      </c>
      <c r="R2" t="str">
        <f>IFERROR(HLOOKUP(R$1,Data!$1:$149,ROW(Bilanço!$A2),0),"")</f>
        <v>2024/3</v>
      </c>
      <c r="S2" t="str">
        <f>IFERROR(HLOOKUP(S$1,Data!$1:$149,ROW(Bilanço!$A2),0),"")</f>
        <v>2024/6</v>
      </c>
      <c r="T2" t="str">
        <f>IFERROR(HLOOKUP(T$1,Data!$1:$149,ROW(Bilanço!$A2),0),"")</f>
        <v>2024/9</v>
      </c>
      <c r="U2" t="str">
        <f>IFERROR(HLOOKUP(U$1,Data!$1:$149,ROW(Bilanço!$A2),0),"")</f>
        <v>2024/12</v>
      </c>
      <c r="V2" t="str">
        <f>IFERROR(HLOOKUP(V$1,Data!$1:$149,ROW(Bilanço!$A2),0),"")</f>
        <v>2025/3</v>
      </c>
      <c r="W2" t="str">
        <f>IFERROR(HLOOKUP(W$1,Data!$1:$149,ROW(Bilanço!$A2),0),"")</f>
        <v>2025/6</v>
      </c>
      <c r="X2" t="str">
        <f>IFERROR(HLOOKUP(X$1,Data!$1:$149,ROW(Bilanço!$A2),0),"")</f>
        <v>2025/9</v>
      </c>
    </row>
    <row r="3" spans="1:25" x14ac:dyDescent="0.25">
      <c r="A3" t="str">
        <f>Data!A3</f>
        <v>Dönen Varlıklar</v>
      </c>
      <c r="B3" s="2">
        <f>IFERROR(HLOOKUP(B$1,Data!$1:$149,ROW(Bilanço!$A3),0),"")</f>
        <v>9224526000</v>
      </c>
      <c r="C3" s="2">
        <f>IFERROR(HLOOKUP(C$1,Data!$1:$149,ROW(Bilanço!$A3),0),"")</f>
        <v>10298815000</v>
      </c>
      <c r="D3" s="2">
        <f>IFERROR(HLOOKUP(D$1,Data!$1:$149,ROW(Bilanço!$A3),0),"")</f>
        <v>11927735000</v>
      </c>
      <c r="E3" s="2">
        <f>IFERROR(HLOOKUP(E$1,Data!$1:$149,ROW(Bilanço!$A3),0),"")</f>
        <v>14701119000</v>
      </c>
      <c r="F3" s="2">
        <f>IFERROR(HLOOKUP(F$1,Data!$1:$149,ROW(Bilanço!$A3),0),"")</f>
        <v>15365396000</v>
      </c>
      <c r="G3" s="2">
        <f>IFERROR(HLOOKUP(G$1,Data!$1:$149,ROW(Bilanço!$A3),0),"")</f>
        <v>15405235000</v>
      </c>
      <c r="H3" s="2">
        <f>IFERROR(HLOOKUP(H$1,Data!$1:$149,ROW(Bilanço!$A3),0),"")</f>
        <v>13852909000</v>
      </c>
      <c r="I3" s="2">
        <f>IFERROR(HLOOKUP(I$1,Data!$1:$149,ROW(Bilanço!$A3),0),"")</f>
        <v>18764940000</v>
      </c>
      <c r="J3" s="3">
        <f>IFERROR(HLOOKUP(J$1,Data!$1:$149,ROW(Bilanço!$A3),0),"")</f>
        <v>20954562000</v>
      </c>
      <c r="K3" s="3">
        <f>IFERROR(HLOOKUP(K$1,Data!$1:$149,ROW(Bilanço!$A3),0),"")</f>
        <v>22487525000</v>
      </c>
      <c r="L3" s="3">
        <f>IFERROR(HLOOKUP(L$1,Data!$1:$149,ROW(Bilanço!$A3),0),"")</f>
        <v>25073546000</v>
      </c>
      <c r="M3" s="3">
        <f>IFERROR(HLOOKUP(M$1,Data!$1:$149,ROW(Bilanço!$A3),0),"")</f>
        <v>41773214000</v>
      </c>
      <c r="N3" s="3">
        <f>IFERROR(HLOOKUP(N$1,Data!$1:$149,ROW(Bilanço!$A3),0),"")</f>
        <v>28508097000</v>
      </c>
      <c r="O3" s="3">
        <f>IFERROR(HLOOKUP(O$1,Data!$1:$149,ROW(Bilanço!$A3),0),"")</f>
        <v>29099280000</v>
      </c>
      <c r="P3" s="3">
        <f>IFERROR(HLOOKUP(P$1,Data!$1:$149,ROW(Bilanço!$A3),0),"")</f>
        <v>31285963000</v>
      </c>
      <c r="Q3" s="3">
        <f>IFERROR(HLOOKUP(Q$1,Data!$1:$149,ROW(Bilanço!$A3),0),"")</f>
        <v>53401735000</v>
      </c>
      <c r="R3" s="3">
        <f>IFERROR(HLOOKUP(R$1,Data!$1:$149,ROW(Bilanço!$A3),0),"")</f>
        <v>43524184000</v>
      </c>
      <c r="S3" s="3">
        <f>IFERROR(HLOOKUP(S$1,Data!$1:$149,ROW(Bilanço!$A3),0),"")</f>
        <v>47885764000</v>
      </c>
      <c r="T3" s="3">
        <f>IFERROR(HLOOKUP(T$1,Data!$1:$149,ROW(Bilanço!$A3),0),"")</f>
        <v>58862926000</v>
      </c>
      <c r="U3" s="3">
        <f>IFERROR(HLOOKUP(U$1,Data!$1:$149,ROW(Bilanço!$A3),0),"")</f>
        <v>81667657435</v>
      </c>
      <c r="V3" s="3">
        <f>IFERROR(HLOOKUP(V$1,Data!$1:$149,ROW(Bilanço!$A3),0),"")</f>
        <v>77284896000</v>
      </c>
      <c r="W3" s="3">
        <f>IFERROR(HLOOKUP(W$1,Data!$1:$149,ROW(Bilanço!$A3),0),"")</f>
        <v>84668198000</v>
      </c>
      <c r="X3" s="3">
        <f>IFERROR(HLOOKUP(X$1,Data!$1:$149,ROW(Bilanço!$A3),0),"")</f>
        <v>90083589000</v>
      </c>
    </row>
    <row r="4" spans="1:25" x14ac:dyDescent="0.25">
      <c r="A4" t="str">
        <f>Data!A4</f>
        <v xml:space="preserve">  Nakit ve Nakit Benzerleri</v>
      </c>
      <c r="B4" s="2">
        <f>IFERROR(HLOOKUP(B$1,Data!$1:$149,ROW(Bilanço!$A4),0),"")</f>
        <v>1219355000</v>
      </c>
      <c r="C4" s="2">
        <f>IFERROR(HLOOKUP(C$1,Data!$1:$149,ROW(Bilanço!$A4),0),"")</f>
        <v>2956000000</v>
      </c>
      <c r="D4" s="2">
        <f>IFERROR(HLOOKUP(D$1,Data!$1:$149,ROW(Bilanço!$A4),0),"")</f>
        <v>3532368000</v>
      </c>
      <c r="E4" s="2">
        <f>IFERROR(HLOOKUP(E$1,Data!$1:$149,ROW(Bilanço!$A4),0),"")</f>
        <v>3835520000</v>
      </c>
      <c r="F4" s="2">
        <f>IFERROR(HLOOKUP(F$1,Data!$1:$149,ROW(Bilanço!$A4),0),"")</f>
        <v>3367634000</v>
      </c>
      <c r="G4" s="2">
        <f>IFERROR(HLOOKUP(G$1,Data!$1:$149,ROW(Bilanço!$A4),0),"")</f>
        <v>2762136000</v>
      </c>
      <c r="H4" s="2">
        <f>IFERROR(HLOOKUP(H$1,Data!$1:$149,ROW(Bilanço!$A4),0),"")</f>
        <v>2862609000</v>
      </c>
      <c r="I4" s="2">
        <f>IFERROR(HLOOKUP(I$1,Data!$1:$149,ROW(Bilanço!$A4),0),"")</f>
        <v>3004834000</v>
      </c>
      <c r="J4" s="3">
        <f>IFERROR(HLOOKUP(J$1,Data!$1:$149,ROW(Bilanço!$A4),0),"")</f>
        <v>2985113000</v>
      </c>
      <c r="K4" s="3">
        <f>IFERROR(HLOOKUP(K$1,Data!$1:$149,ROW(Bilanço!$A4),0),"")</f>
        <v>3324052000</v>
      </c>
      <c r="L4" s="3">
        <f>IFERROR(HLOOKUP(L$1,Data!$1:$149,ROW(Bilanço!$A4),0),"")</f>
        <v>3765411000</v>
      </c>
      <c r="M4" s="3">
        <f>IFERROR(HLOOKUP(M$1,Data!$1:$149,ROW(Bilanço!$A4),0),"")</f>
        <v>15249460000</v>
      </c>
      <c r="N4" s="3">
        <f>IFERROR(HLOOKUP(N$1,Data!$1:$149,ROW(Bilanço!$A4),0),"")</f>
        <v>9861492000</v>
      </c>
      <c r="O4" s="3">
        <f>IFERROR(HLOOKUP(O$1,Data!$1:$149,ROW(Bilanço!$A4),0),"")</f>
        <v>8758014000</v>
      </c>
      <c r="P4" s="3">
        <f>IFERROR(HLOOKUP(P$1,Data!$1:$149,ROW(Bilanço!$A4),0),"")</f>
        <v>9682950000</v>
      </c>
      <c r="Q4" s="3">
        <f>IFERROR(HLOOKUP(Q$1,Data!$1:$149,ROW(Bilanço!$A4),0),"")</f>
        <v>16830554000</v>
      </c>
      <c r="R4" s="3">
        <f>IFERROR(HLOOKUP(R$1,Data!$1:$149,ROW(Bilanço!$A4),0),"")</f>
        <v>12662493000</v>
      </c>
      <c r="S4" s="3">
        <f>IFERROR(HLOOKUP(S$1,Data!$1:$149,ROW(Bilanço!$A4),0),"")</f>
        <v>16724845000</v>
      </c>
      <c r="T4" s="3">
        <f>IFERROR(HLOOKUP(T$1,Data!$1:$149,ROW(Bilanço!$A4),0),"")</f>
        <v>23329331000</v>
      </c>
      <c r="U4" s="3">
        <f>IFERROR(HLOOKUP(U$1,Data!$1:$149,ROW(Bilanço!$A4),0),"")</f>
        <v>32998196584</v>
      </c>
      <c r="V4" s="3">
        <f>IFERROR(HLOOKUP(V$1,Data!$1:$149,ROW(Bilanço!$A4),0),"")</f>
        <v>23936928000</v>
      </c>
      <c r="W4" s="3">
        <f>IFERROR(HLOOKUP(W$1,Data!$1:$149,ROW(Bilanço!$A4),0),"")</f>
        <v>27391388000</v>
      </c>
      <c r="X4" s="3">
        <f>IFERROR(HLOOKUP(X$1,Data!$1:$149,ROW(Bilanço!$A4),0),"")</f>
        <v>29570256000</v>
      </c>
    </row>
    <row r="5" spans="1:25" x14ac:dyDescent="0.25">
      <c r="A5" t="str">
        <f>Data!A5</f>
        <v xml:space="preserve">  Finansal Yatırımlar</v>
      </c>
      <c r="B5" s="2">
        <f>IFERROR(HLOOKUP(B$1,Data!$1:$149,ROW(Bilanço!$A5),0),"")</f>
        <v>3820230000</v>
      </c>
      <c r="C5" s="2">
        <f>IFERROR(HLOOKUP(C$1,Data!$1:$149,ROW(Bilanço!$A5),0),"")</f>
        <v>3605728000</v>
      </c>
      <c r="D5" s="2">
        <f>IFERROR(HLOOKUP(D$1,Data!$1:$149,ROW(Bilanço!$A5),0),"")</f>
        <v>2374641000</v>
      </c>
      <c r="E5" s="2">
        <f>IFERROR(HLOOKUP(E$1,Data!$1:$149,ROW(Bilanço!$A5),0),"")</f>
        <v>3639474000</v>
      </c>
      <c r="F5" s="2">
        <f>IFERROR(HLOOKUP(F$1,Data!$1:$149,ROW(Bilanço!$A5),0),"")</f>
        <v>5597490000</v>
      </c>
      <c r="G5" s="2">
        <f>IFERROR(HLOOKUP(G$1,Data!$1:$149,ROW(Bilanço!$A5),0),"")</f>
        <v>6005890000</v>
      </c>
      <c r="H5" s="2">
        <f>IFERROR(HLOOKUP(H$1,Data!$1:$149,ROW(Bilanço!$A5),0),"")</f>
        <v>4277960000</v>
      </c>
      <c r="I5" s="2">
        <f>IFERROR(HLOOKUP(I$1,Data!$1:$149,ROW(Bilanço!$A5),0),"")</f>
        <v>6414869000</v>
      </c>
      <c r="J5" s="3">
        <f>IFERROR(HLOOKUP(J$1,Data!$1:$149,ROW(Bilanço!$A5),0),"")</f>
        <v>6345108000</v>
      </c>
      <c r="K5" s="3">
        <f>IFERROR(HLOOKUP(K$1,Data!$1:$149,ROW(Bilanço!$A5),0),"")</f>
        <v>6366126000</v>
      </c>
      <c r="L5" s="3">
        <f>IFERROR(HLOOKUP(L$1,Data!$1:$149,ROW(Bilanço!$A5),0),"")</f>
        <v>5721346000</v>
      </c>
      <c r="M5" s="3">
        <f>IFERROR(HLOOKUP(M$1,Data!$1:$149,ROW(Bilanço!$A5),0),"")</f>
        <v>346842000</v>
      </c>
      <c r="N5" s="3">
        <f>IFERROR(HLOOKUP(N$1,Data!$1:$149,ROW(Bilanço!$A5),0),"")</f>
        <v>3200000</v>
      </c>
      <c r="O5" s="3">
        <f>IFERROR(HLOOKUP(O$1,Data!$1:$149,ROW(Bilanço!$A5),0),"")</f>
        <v>3957000</v>
      </c>
      <c r="P5" s="3">
        <f>IFERROR(HLOOKUP(P$1,Data!$1:$149,ROW(Bilanço!$A5),0),"")</f>
        <v>3565000</v>
      </c>
      <c r="Q5" s="3">
        <f>IFERROR(HLOOKUP(Q$1,Data!$1:$149,ROW(Bilanço!$A5),0),"")</f>
        <v>6107000</v>
      </c>
      <c r="R5" s="3">
        <f>IFERROR(HLOOKUP(R$1,Data!$1:$149,ROW(Bilanço!$A5),0),"")</f>
        <v>4594000</v>
      </c>
      <c r="S5" s="3">
        <f>IFERROR(HLOOKUP(S$1,Data!$1:$149,ROW(Bilanço!$A5),0),"")</f>
        <v>4664000</v>
      </c>
      <c r="T5" s="3">
        <f>IFERROR(HLOOKUP(T$1,Data!$1:$149,ROW(Bilanço!$A5),0),"")</f>
        <v>4825000</v>
      </c>
      <c r="U5" s="3">
        <f>IFERROR(HLOOKUP(U$1,Data!$1:$149,ROW(Bilanço!$A5),0),"")</f>
        <v>6827132</v>
      </c>
      <c r="V5" s="3">
        <f>IFERROR(HLOOKUP(V$1,Data!$1:$149,ROW(Bilanço!$A5),0),"")</f>
        <v>5768000</v>
      </c>
      <c r="W5" s="3">
        <f>IFERROR(HLOOKUP(W$1,Data!$1:$149,ROW(Bilanço!$A5),0),"")</f>
        <v>6021000</v>
      </c>
      <c r="X5" s="3">
        <f>IFERROR(HLOOKUP(X$1,Data!$1:$149,ROW(Bilanço!$A5),0),"")</f>
        <v>6245000</v>
      </c>
    </row>
    <row r="6" spans="1:25" x14ac:dyDescent="0.25">
      <c r="A6" t="str">
        <f>Data!A6</f>
        <v xml:space="preserve">  Ticari Alacaklar</v>
      </c>
      <c r="B6" s="2">
        <f>IFERROR(HLOOKUP(B$1,Data!$1:$149,ROW(Bilanço!$A6),0),"")</f>
        <v>2726899000</v>
      </c>
      <c r="C6" s="2">
        <f>IFERROR(HLOOKUP(C$1,Data!$1:$149,ROW(Bilanço!$A6),0),"")</f>
        <v>2577242000</v>
      </c>
      <c r="D6" s="2">
        <f>IFERROR(HLOOKUP(D$1,Data!$1:$149,ROW(Bilanço!$A6),0),"")</f>
        <v>2889558000</v>
      </c>
      <c r="E6" s="2">
        <f>IFERROR(HLOOKUP(E$1,Data!$1:$149,ROW(Bilanço!$A6),0),"")</f>
        <v>3092000000</v>
      </c>
      <c r="F6" s="2">
        <f>IFERROR(HLOOKUP(F$1,Data!$1:$149,ROW(Bilanço!$A6),0),"")</f>
        <v>3256697000</v>
      </c>
      <c r="G6" s="2">
        <f>IFERROR(HLOOKUP(G$1,Data!$1:$149,ROW(Bilanço!$A6),0),"")</f>
        <v>3284920000</v>
      </c>
      <c r="H6" s="2">
        <f>IFERROR(HLOOKUP(H$1,Data!$1:$149,ROW(Bilanço!$A6),0),"")</f>
        <v>3642113000</v>
      </c>
      <c r="I6" s="2">
        <f>IFERROR(HLOOKUP(I$1,Data!$1:$149,ROW(Bilanço!$A6),0),"")</f>
        <v>4687911000</v>
      </c>
      <c r="J6" s="3">
        <f>IFERROR(HLOOKUP(J$1,Data!$1:$149,ROW(Bilanço!$A6),0),"")</f>
        <v>5856073000</v>
      </c>
      <c r="K6" s="3">
        <f>IFERROR(HLOOKUP(K$1,Data!$1:$149,ROW(Bilanço!$A6),0),"")</f>
        <v>5789621000</v>
      </c>
      <c r="L6" s="3">
        <f>IFERROR(HLOOKUP(L$1,Data!$1:$149,ROW(Bilanço!$A6),0),"")</f>
        <v>7042688000</v>
      </c>
      <c r="M6" s="3">
        <f>IFERROR(HLOOKUP(M$1,Data!$1:$149,ROW(Bilanço!$A6),0),"")</f>
        <v>12173983000</v>
      </c>
      <c r="N6" s="3">
        <f>IFERROR(HLOOKUP(N$1,Data!$1:$149,ROW(Bilanço!$A6),0),"")</f>
        <v>9524879000</v>
      </c>
      <c r="O6" s="3">
        <f>IFERROR(HLOOKUP(O$1,Data!$1:$149,ROW(Bilanço!$A6),0),"")</f>
        <v>9892760000</v>
      </c>
      <c r="P6" s="3">
        <f>IFERROR(HLOOKUP(P$1,Data!$1:$149,ROW(Bilanço!$A6),0),"")</f>
        <v>10893157000</v>
      </c>
      <c r="Q6" s="3">
        <f>IFERROR(HLOOKUP(Q$1,Data!$1:$149,ROW(Bilanço!$A6),0),"")</f>
        <v>17421913000</v>
      </c>
      <c r="R6" s="3">
        <f>IFERROR(HLOOKUP(R$1,Data!$1:$149,ROW(Bilanço!$A6),0),"")</f>
        <v>16356844000</v>
      </c>
      <c r="S6" s="3">
        <f>IFERROR(HLOOKUP(S$1,Data!$1:$149,ROW(Bilanço!$A6),0),"")</f>
        <v>15131201000</v>
      </c>
      <c r="T6" s="3">
        <f>IFERROR(HLOOKUP(T$1,Data!$1:$149,ROW(Bilanço!$A6),0),"")</f>
        <v>18441357000</v>
      </c>
      <c r="U6" s="3">
        <f>IFERROR(HLOOKUP(U$1,Data!$1:$149,ROW(Bilanço!$A6),0),"")</f>
        <v>27468684631</v>
      </c>
      <c r="V6" s="3">
        <f>IFERROR(HLOOKUP(V$1,Data!$1:$149,ROW(Bilanço!$A6),0),"")</f>
        <v>27378948000</v>
      </c>
      <c r="W6" s="3">
        <f>IFERROR(HLOOKUP(W$1,Data!$1:$149,ROW(Bilanço!$A6),0),"")</f>
        <v>26522023000</v>
      </c>
      <c r="X6" s="3">
        <f>IFERROR(HLOOKUP(X$1,Data!$1:$149,ROW(Bilanço!$A6),0),"")</f>
        <v>29618330000</v>
      </c>
    </row>
    <row r="7" spans="1:25" x14ac:dyDescent="0.25">
      <c r="A7" t="str">
        <f>Data!A7</f>
        <v xml:space="preserve">  Finans Sektörü Faaliyetlerinden Alacaklar</v>
      </c>
      <c r="B7" s="2">
        <f>IFERROR(HLOOKUP(B$1,Data!$1:$149,ROW(Bilanço!$A7),0),"")</f>
        <v>0</v>
      </c>
      <c r="C7" s="2">
        <f>IFERROR(HLOOKUP(C$1,Data!$1:$149,ROW(Bilanço!$A7),0),"")</f>
        <v>0</v>
      </c>
      <c r="D7" s="2">
        <f>IFERROR(HLOOKUP(D$1,Data!$1:$149,ROW(Bilanço!$A7),0),"")</f>
        <v>0</v>
      </c>
      <c r="E7" s="2">
        <f>IFERROR(HLOOKUP(E$1,Data!$1:$149,ROW(Bilanço!$A7),0),"")</f>
        <v>0</v>
      </c>
      <c r="F7" s="2">
        <f>IFERROR(HLOOKUP(F$1,Data!$1:$149,ROW(Bilanço!$A7),0),"")</f>
        <v>0</v>
      </c>
      <c r="G7" s="2">
        <f>IFERROR(HLOOKUP(G$1,Data!$1:$149,ROW(Bilanço!$A7),0),"")</f>
        <v>0</v>
      </c>
      <c r="H7" s="2">
        <f>IFERROR(HLOOKUP(H$1,Data!$1:$149,ROW(Bilanço!$A7),0),"")</f>
        <v>0</v>
      </c>
      <c r="I7" s="2">
        <f>IFERROR(HLOOKUP(I$1,Data!$1:$149,ROW(Bilanço!$A7),0),"")</f>
        <v>0</v>
      </c>
      <c r="J7" s="3">
        <f>IFERROR(HLOOKUP(J$1,Data!$1:$149,ROW(Bilanço!$A7),0),"")</f>
        <v>0</v>
      </c>
      <c r="K7" s="3">
        <f>IFERROR(HLOOKUP(K$1,Data!$1:$149,ROW(Bilanço!$A7),0),"")</f>
        <v>0</v>
      </c>
      <c r="L7" s="3">
        <f>IFERROR(HLOOKUP(L$1,Data!$1:$149,ROW(Bilanço!$A7),0),"")</f>
        <v>0</v>
      </c>
      <c r="M7" s="3">
        <f>IFERROR(HLOOKUP(M$1,Data!$1:$149,ROW(Bilanço!$A7),0),"")</f>
        <v>0</v>
      </c>
      <c r="N7" s="3">
        <f>IFERROR(HLOOKUP(N$1,Data!$1:$149,ROW(Bilanço!$A7),0),"")</f>
        <v>0</v>
      </c>
      <c r="O7" s="3">
        <f>IFERROR(HLOOKUP(O$1,Data!$1:$149,ROW(Bilanço!$A7),0),"")</f>
        <v>0</v>
      </c>
      <c r="P7" s="3">
        <f>IFERROR(HLOOKUP(P$1,Data!$1:$149,ROW(Bilanço!$A7),0),"")</f>
        <v>0</v>
      </c>
      <c r="Q7" s="3">
        <f>IFERROR(HLOOKUP(Q$1,Data!$1:$149,ROW(Bilanço!$A7),0),"")</f>
        <v>0</v>
      </c>
      <c r="R7" s="3">
        <f>IFERROR(HLOOKUP(R$1,Data!$1:$149,ROW(Bilanço!$A7),0),"")</f>
        <v>0</v>
      </c>
      <c r="S7" s="3">
        <f>IFERROR(HLOOKUP(S$1,Data!$1:$149,ROW(Bilanço!$A7),0),"")</f>
        <v>0</v>
      </c>
      <c r="T7" s="3">
        <f>IFERROR(HLOOKUP(T$1,Data!$1:$149,ROW(Bilanço!$A7),0),"")</f>
        <v>0</v>
      </c>
      <c r="U7" s="3">
        <f>IFERROR(HLOOKUP(U$1,Data!$1:$149,ROW(Bilanço!$A7),0),"")</f>
        <v>0</v>
      </c>
      <c r="V7" s="3">
        <f>IFERROR(HLOOKUP(V$1,Data!$1:$149,ROW(Bilanço!$A7),0),"")</f>
        <v>0</v>
      </c>
      <c r="W7" s="3">
        <f>IFERROR(HLOOKUP(W$1,Data!$1:$149,ROW(Bilanço!$A7),0),"")</f>
        <v>0</v>
      </c>
      <c r="X7" s="3">
        <f>IFERROR(HLOOKUP(X$1,Data!$1:$149,ROW(Bilanço!$A7),0),"")</f>
        <v>0</v>
      </c>
    </row>
    <row r="8" spans="1:25" x14ac:dyDescent="0.25">
      <c r="A8" t="str">
        <f>Data!A8</f>
        <v xml:space="preserve">  Diğer Alacaklar</v>
      </c>
      <c r="B8" s="2">
        <f>IFERROR(HLOOKUP(B$1,Data!$1:$149,ROW(Bilanço!$A8),0),"")</f>
        <v>180177000</v>
      </c>
      <c r="C8" s="2">
        <f>IFERROR(HLOOKUP(C$1,Data!$1:$149,ROW(Bilanço!$A8),0),"")</f>
        <v>158926000</v>
      </c>
      <c r="D8" s="2">
        <f>IFERROR(HLOOKUP(D$1,Data!$1:$149,ROW(Bilanço!$A8),0),"")</f>
        <v>1870764000</v>
      </c>
      <c r="E8" s="2">
        <f>IFERROR(HLOOKUP(E$1,Data!$1:$149,ROW(Bilanço!$A8),0),"")</f>
        <v>2214736000</v>
      </c>
      <c r="F8" s="2">
        <f>IFERROR(HLOOKUP(F$1,Data!$1:$149,ROW(Bilanço!$A8),0),"")</f>
        <v>1974940000</v>
      </c>
      <c r="G8" s="2">
        <f>IFERROR(HLOOKUP(G$1,Data!$1:$149,ROW(Bilanço!$A8),0),"")</f>
        <v>2137532000</v>
      </c>
      <c r="H8" s="2">
        <f>IFERROR(HLOOKUP(H$1,Data!$1:$149,ROW(Bilanço!$A8),0),"")</f>
        <v>609152000</v>
      </c>
      <c r="I8" s="2">
        <f>IFERROR(HLOOKUP(I$1,Data!$1:$149,ROW(Bilanço!$A8),0),"")</f>
        <v>614402000</v>
      </c>
      <c r="J8" s="3">
        <f>IFERROR(HLOOKUP(J$1,Data!$1:$149,ROW(Bilanço!$A8),0),"")</f>
        <v>948909000</v>
      </c>
      <c r="K8" s="3">
        <f>IFERROR(HLOOKUP(K$1,Data!$1:$149,ROW(Bilanço!$A8),0),"")</f>
        <v>1190109000</v>
      </c>
      <c r="L8" s="3">
        <f>IFERROR(HLOOKUP(L$1,Data!$1:$149,ROW(Bilanço!$A8),0),"")</f>
        <v>1399047000</v>
      </c>
      <c r="M8" s="3">
        <f>IFERROR(HLOOKUP(M$1,Data!$1:$149,ROW(Bilanço!$A8),0),"")</f>
        <v>2566503000</v>
      </c>
      <c r="N8" s="3">
        <f>IFERROR(HLOOKUP(N$1,Data!$1:$149,ROW(Bilanço!$A8),0),"")</f>
        <v>1755461000</v>
      </c>
      <c r="O8" s="3">
        <f>IFERROR(HLOOKUP(O$1,Data!$1:$149,ROW(Bilanço!$A8),0),"")</f>
        <v>2126914000</v>
      </c>
      <c r="P8" s="3">
        <f>IFERROR(HLOOKUP(P$1,Data!$1:$149,ROW(Bilanço!$A8),0),"")</f>
        <v>2346415000</v>
      </c>
      <c r="Q8" s="3">
        <f>IFERROR(HLOOKUP(Q$1,Data!$1:$149,ROW(Bilanço!$A8),0),"")</f>
        <v>3124601000</v>
      </c>
      <c r="R8" s="3">
        <f>IFERROR(HLOOKUP(R$1,Data!$1:$149,ROW(Bilanço!$A8),0),"")</f>
        <v>2862491000</v>
      </c>
      <c r="S8" s="3">
        <f>IFERROR(HLOOKUP(S$1,Data!$1:$149,ROW(Bilanço!$A8),0),"")</f>
        <v>2353734000</v>
      </c>
      <c r="T8" s="3">
        <f>IFERROR(HLOOKUP(T$1,Data!$1:$149,ROW(Bilanço!$A8),0),"")</f>
        <v>2518982000</v>
      </c>
      <c r="U8" s="3">
        <f>IFERROR(HLOOKUP(U$1,Data!$1:$149,ROW(Bilanço!$A8),0),"")</f>
        <v>3328891227</v>
      </c>
      <c r="V8" s="3">
        <f>IFERROR(HLOOKUP(V$1,Data!$1:$149,ROW(Bilanço!$A8),0),"")</f>
        <v>2996655000</v>
      </c>
      <c r="W8" s="3">
        <f>IFERROR(HLOOKUP(W$1,Data!$1:$149,ROW(Bilanço!$A8),0),"")</f>
        <v>2651416000</v>
      </c>
      <c r="X8" s="3">
        <f>IFERROR(HLOOKUP(X$1,Data!$1:$149,ROW(Bilanço!$A8),0),"")</f>
        <v>2530647000</v>
      </c>
    </row>
    <row r="9" spans="1:25" x14ac:dyDescent="0.25">
      <c r="A9" t="str">
        <f>Data!A9</f>
        <v xml:space="preserve">  Müşteri Sözleşmelerinden Doğan Varlıklar</v>
      </c>
      <c r="B9" s="2">
        <f>IFERROR(HLOOKUP(B$1,Data!$1:$149,ROW(Bilanço!$A9),0),"")</f>
        <v>0</v>
      </c>
      <c r="C9" s="2">
        <f>IFERROR(HLOOKUP(C$1,Data!$1:$149,ROW(Bilanço!$A9),0),"")</f>
        <v>0</v>
      </c>
      <c r="D9" s="2">
        <f>IFERROR(HLOOKUP(D$1,Data!$1:$149,ROW(Bilanço!$A9),0),"")</f>
        <v>0</v>
      </c>
      <c r="E9" s="2">
        <f>IFERROR(HLOOKUP(E$1,Data!$1:$149,ROW(Bilanço!$A9),0),"")</f>
        <v>0</v>
      </c>
      <c r="F9" s="2">
        <f>IFERROR(HLOOKUP(F$1,Data!$1:$149,ROW(Bilanço!$A9),0),"")</f>
        <v>0</v>
      </c>
      <c r="G9" s="2">
        <f>IFERROR(HLOOKUP(G$1,Data!$1:$149,ROW(Bilanço!$A9),0),"")</f>
        <v>0</v>
      </c>
      <c r="H9" s="2">
        <f>IFERROR(HLOOKUP(H$1,Data!$1:$149,ROW(Bilanço!$A9),0),"")</f>
        <v>0</v>
      </c>
      <c r="I9" s="2">
        <f>IFERROR(HLOOKUP(I$1,Data!$1:$149,ROW(Bilanço!$A9),0),"")</f>
        <v>0</v>
      </c>
      <c r="J9" s="3">
        <f>IFERROR(HLOOKUP(J$1,Data!$1:$149,ROW(Bilanço!$A9),0),"")</f>
        <v>0</v>
      </c>
      <c r="K9" s="3">
        <f>IFERROR(HLOOKUP(K$1,Data!$1:$149,ROW(Bilanço!$A9),0),"")</f>
        <v>0</v>
      </c>
      <c r="L9" s="3">
        <f>IFERROR(HLOOKUP(L$1,Data!$1:$149,ROW(Bilanço!$A9),0),"")</f>
        <v>0</v>
      </c>
      <c r="M9" s="3">
        <f>IFERROR(HLOOKUP(M$1,Data!$1:$149,ROW(Bilanço!$A9),0),"")</f>
        <v>0</v>
      </c>
      <c r="N9" s="3">
        <f>IFERROR(HLOOKUP(N$1,Data!$1:$149,ROW(Bilanço!$A9),0),"")</f>
        <v>0</v>
      </c>
      <c r="O9" s="3">
        <f>IFERROR(HLOOKUP(O$1,Data!$1:$149,ROW(Bilanço!$A9),0),"")</f>
        <v>0</v>
      </c>
      <c r="P9" s="3">
        <f>IFERROR(HLOOKUP(P$1,Data!$1:$149,ROW(Bilanço!$A9),0),"")</f>
        <v>0</v>
      </c>
      <c r="Q9" s="3">
        <f>IFERROR(HLOOKUP(Q$1,Data!$1:$149,ROW(Bilanço!$A9),0),"")</f>
        <v>0</v>
      </c>
      <c r="R9" s="3">
        <f>IFERROR(HLOOKUP(R$1,Data!$1:$149,ROW(Bilanço!$A9),0),"")</f>
        <v>0</v>
      </c>
      <c r="S9" s="3">
        <f>IFERROR(HLOOKUP(S$1,Data!$1:$149,ROW(Bilanço!$A9),0),"")</f>
        <v>0</v>
      </c>
      <c r="T9" s="3">
        <f>IFERROR(HLOOKUP(T$1,Data!$1:$149,ROW(Bilanço!$A9),0),"")</f>
        <v>0</v>
      </c>
      <c r="U9" s="3">
        <f>IFERROR(HLOOKUP(U$1,Data!$1:$149,ROW(Bilanço!$A9),0),"")</f>
        <v>0</v>
      </c>
      <c r="V9" s="3">
        <f>IFERROR(HLOOKUP(V$1,Data!$1:$149,ROW(Bilanço!$A9),0),"")</f>
        <v>0</v>
      </c>
      <c r="W9" s="3">
        <f>IFERROR(HLOOKUP(W$1,Data!$1:$149,ROW(Bilanço!$A9),0),"")</f>
        <v>0</v>
      </c>
      <c r="X9" s="3">
        <f>IFERROR(HLOOKUP(X$1,Data!$1:$149,ROW(Bilanço!$A9),0),"")</f>
        <v>0</v>
      </c>
    </row>
    <row r="10" spans="1:25" x14ac:dyDescent="0.25">
      <c r="A10" t="str">
        <f>Data!A10</f>
        <v xml:space="preserve">  Stoklar</v>
      </c>
      <c r="B10" s="2">
        <f>IFERROR(HLOOKUP(B$1,Data!$1:$149,ROW(Bilanço!$A10),0),"")</f>
        <v>671929000</v>
      </c>
      <c r="C10" s="2">
        <f>IFERROR(HLOOKUP(C$1,Data!$1:$149,ROW(Bilanço!$A10),0),"")</f>
        <v>804703000</v>
      </c>
      <c r="D10" s="2">
        <f>IFERROR(HLOOKUP(D$1,Data!$1:$149,ROW(Bilanço!$A10),0),"")</f>
        <v>897909000</v>
      </c>
      <c r="E10" s="2">
        <f>IFERROR(HLOOKUP(E$1,Data!$1:$149,ROW(Bilanço!$A10),0),"")</f>
        <v>1695858000</v>
      </c>
      <c r="F10" s="2">
        <f>IFERROR(HLOOKUP(F$1,Data!$1:$149,ROW(Bilanço!$A10),0),"")</f>
        <v>928950000</v>
      </c>
      <c r="G10" s="2">
        <f>IFERROR(HLOOKUP(G$1,Data!$1:$149,ROW(Bilanço!$A10),0),"")</f>
        <v>961339000</v>
      </c>
      <c r="H10" s="2">
        <f>IFERROR(HLOOKUP(H$1,Data!$1:$149,ROW(Bilanço!$A10),0),"")</f>
        <v>2028702000</v>
      </c>
      <c r="I10" s="2">
        <f>IFERROR(HLOOKUP(I$1,Data!$1:$149,ROW(Bilanço!$A10),0),"")</f>
        <v>3218231000</v>
      </c>
      <c r="J10" s="3">
        <f>IFERROR(HLOOKUP(J$1,Data!$1:$149,ROW(Bilanço!$A10),0),"")</f>
        <v>3744893000</v>
      </c>
      <c r="K10" s="3">
        <f>IFERROR(HLOOKUP(K$1,Data!$1:$149,ROW(Bilanço!$A10),0),"")</f>
        <v>4279769000</v>
      </c>
      <c r="L10" s="3">
        <f>IFERROR(HLOOKUP(L$1,Data!$1:$149,ROW(Bilanço!$A10),0),"")</f>
        <v>5402135000</v>
      </c>
      <c r="M10" s="3">
        <f>IFERROR(HLOOKUP(M$1,Data!$1:$149,ROW(Bilanço!$A10),0),"")</f>
        <v>8516384000</v>
      </c>
      <c r="N10" s="3">
        <f>IFERROR(HLOOKUP(N$1,Data!$1:$149,ROW(Bilanço!$A10),0),"")</f>
        <v>5520627000</v>
      </c>
      <c r="O10" s="3">
        <f>IFERROR(HLOOKUP(O$1,Data!$1:$149,ROW(Bilanço!$A10),0),"")</f>
        <v>6555159000</v>
      </c>
      <c r="P10" s="3">
        <f>IFERROR(HLOOKUP(P$1,Data!$1:$149,ROW(Bilanço!$A10),0),"")</f>
        <v>6664345000</v>
      </c>
      <c r="Q10" s="3">
        <f>IFERROR(HLOOKUP(Q$1,Data!$1:$149,ROW(Bilanço!$A10),0),"")</f>
        <v>12115210000</v>
      </c>
      <c r="R10" s="3">
        <f>IFERROR(HLOOKUP(R$1,Data!$1:$149,ROW(Bilanço!$A10),0),"")</f>
        <v>8999055000</v>
      </c>
      <c r="S10" s="3">
        <f>IFERROR(HLOOKUP(S$1,Data!$1:$149,ROW(Bilanço!$A10),0),"")</f>
        <v>10414885000</v>
      </c>
      <c r="T10" s="3">
        <f>IFERROR(HLOOKUP(T$1,Data!$1:$149,ROW(Bilanço!$A10),0),"")</f>
        <v>10998733000</v>
      </c>
      <c r="U10" s="3">
        <f>IFERROR(HLOOKUP(U$1,Data!$1:$149,ROW(Bilanço!$A10),0),"")</f>
        <v>14839141804</v>
      </c>
      <c r="V10" s="3">
        <f>IFERROR(HLOOKUP(V$1,Data!$1:$149,ROW(Bilanço!$A10),0),"")</f>
        <v>19099042000</v>
      </c>
      <c r="W10" s="3">
        <f>IFERROR(HLOOKUP(W$1,Data!$1:$149,ROW(Bilanço!$A10),0),"")</f>
        <v>23571112000</v>
      </c>
      <c r="X10" s="3">
        <f>IFERROR(HLOOKUP(X$1,Data!$1:$149,ROW(Bilanço!$A10),0),"")</f>
        <v>23046205000</v>
      </c>
    </row>
    <row r="11" spans="1:25" x14ac:dyDescent="0.25">
      <c r="A11" t="str">
        <f>Data!A11</f>
        <v xml:space="preserve">  Canlı Varlıklar</v>
      </c>
      <c r="B11" s="2">
        <f>IFERROR(HLOOKUP(B$1,Data!$1:$149,ROW(Bilanço!$A11),0),"")</f>
        <v>0</v>
      </c>
      <c r="C11" s="2">
        <f>IFERROR(HLOOKUP(C$1,Data!$1:$149,ROW(Bilanço!$A11),0),"")</f>
        <v>0</v>
      </c>
      <c r="D11" s="2">
        <f>IFERROR(HLOOKUP(D$1,Data!$1:$149,ROW(Bilanço!$A11),0),"")</f>
        <v>0</v>
      </c>
      <c r="E11" s="2">
        <f>IFERROR(HLOOKUP(E$1,Data!$1:$149,ROW(Bilanço!$A11),0),"")</f>
        <v>0</v>
      </c>
      <c r="F11" s="2">
        <f>IFERROR(HLOOKUP(F$1,Data!$1:$149,ROW(Bilanço!$A11),0),"")</f>
        <v>0</v>
      </c>
      <c r="G11" s="2">
        <f>IFERROR(HLOOKUP(G$1,Data!$1:$149,ROW(Bilanço!$A11),0),"")</f>
        <v>0</v>
      </c>
      <c r="H11" s="2">
        <f>IFERROR(HLOOKUP(H$1,Data!$1:$149,ROW(Bilanço!$A11),0),"")</f>
        <v>0</v>
      </c>
      <c r="I11" s="2">
        <f>IFERROR(HLOOKUP(I$1,Data!$1:$149,ROW(Bilanço!$A11),0),"")</f>
        <v>0</v>
      </c>
      <c r="J11" s="3">
        <f>IFERROR(HLOOKUP(J$1,Data!$1:$149,ROW(Bilanço!$A11),0),"")</f>
        <v>0</v>
      </c>
      <c r="K11" s="3">
        <f>IFERROR(HLOOKUP(K$1,Data!$1:$149,ROW(Bilanço!$A11),0),"")</f>
        <v>0</v>
      </c>
      <c r="L11" s="3">
        <f>IFERROR(HLOOKUP(L$1,Data!$1:$149,ROW(Bilanço!$A11),0),"")</f>
        <v>0</v>
      </c>
      <c r="M11" s="3">
        <f>IFERROR(HLOOKUP(M$1,Data!$1:$149,ROW(Bilanço!$A11),0),"")</f>
        <v>0</v>
      </c>
      <c r="N11" s="3">
        <f>IFERROR(HLOOKUP(N$1,Data!$1:$149,ROW(Bilanço!$A11),0),"")</f>
        <v>0</v>
      </c>
      <c r="O11" s="3">
        <f>IFERROR(HLOOKUP(O$1,Data!$1:$149,ROW(Bilanço!$A11),0),"")</f>
        <v>0</v>
      </c>
      <c r="P11" s="3">
        <f>IFERROR(HLOOKUP(P$1,Data!$1:$149,ROW(Bilanço!$A11),0),"")</f>
        <v>0</v>
      </c>
      <c r="Q11" s="3">
        <f>IFERROR(HLOOKUP(Q$1,Data!$1:$149,ROW(Bilanço!$A11),0),"")</f>
        <v>0</v>
      </c>
      <c r="R11" s="3">
        <f>IFERROR(HLOOKUP(R$1,Data!$1:$149,ROW(Bilanço!$A11),0),"")</f>
        <v>0</v>
      </c>
      <c r="S11" s="3">
        <f>IFERROR(HLOOKUP(S$1,Data!$1:$149,ROW(Bilanço!$A11),0),"")</f>
        <v>0</v>
      </c>
      <c r="T11" s="3">
        <f>IFERROR(HLOOKUP(T$1,Data!$1:$149,ROW(Bilanço!$A11),0),"")</f>
        <v>0</v>
      </c>
      <c r="U11" s="3">
        <f>IFERROR(HLOOKUP(U$1,Data!$1:$149,ROW(Bilanço!$A11),0),"")</f>
        <v>0</v>
      </c>
      <c r="V11" s="3">
        <f>IFERROR(HLOOKUP(V$1,Data!$1:$149,ROW(Bilanço!$A11),0),"")</f>
        <v>0</v>
      </c>
      <c r="W11" s="3">
        <f>IFERROR(HLOOKUP(W$1,Data!$1:$149,ROW(Bilanço!$A11),0),"")</f>
        <v>0</v>
      </c>
      <c r="X11" s="3">
        <f>IFERROR(HLOOKUP(X$1,Data!$1:$149,ROW(Bilanço!$A11),0),"")</f>
        <v>0</v>
      </c>
    </row>
    <row r="12" spans="1:25" x14ac:dyDescent="0.25">
      <c r="A12" t="str">
        <f>Data!A12</f>
        <v xml:space="preserve">  Diğer Dönen Varlıklar</v>
      </c>
      <c r="B12" s="2">
        <f>IFERROR(HLOOKUP(B$1,Data!$1:$149,ROW(Bilanço!$A12),0),"")</f>
        <v>605936000</v>
      </c>
      <c r="C12" s="2">
        <f>IFERROR(HLOOKUP(C$1,Data!$1:$149,ROW(Bilanço!$A12),0),"")</f>
        <v>196216000</v>
      </c>
      <c r="D12" s="2">
        <f>IFERROR(HLOOKUP(D$1,Data!$1:$149,ROW(Bilanço!$A12),0),"")</f>
        <v>362495000</v>
      </c>
      <c r="E12" s="2">
        <f>IFERROR(HLOOKUP(E$1,Data!$1:$149,ROW(Bilanço!$A12),0),"")</f>
        <v>223531000</v>
      </c>
      <c r="F12" s="2">
        <f>IFERROR(HLOOKUP(F$1,Data!$1:$149,ROW(Bilanço!$A12),0),"")</f>
        <v>239685000</v>
      </c>
      <c r="G12" s="2">
        <f>IFERROR(HLOOKUP(G$1,Data!$1:$149,ROW(Bilanço!$A12),0),"")</f>
        <v>253418000</v>
      </c>
      <c r="H12" s="2">
        <f>IFERROR(HLOOKUP(H$1,Data!$1:$149,ROW(Bilanço!$A12),0),"")</f>
        <v>432373000</v>
      </c>
      <c r="I12" s="2">
        <f>IFERROR(HLOOKUP(I$1,Data!$1:$149,ROW(Bilanço!$A12),0),"")</f>
        <v>824693000</v>
      </c>
      <c r="J12" s="3">
        <f>IFERROR(HLOOKUP(J$1,Data!$1:$149,ROW(Bilanço!$A12),0),"")</f>
        <v>1074466000</v>
      </c>
      <c r="K12" s="3">
        <f>IFERROR(HLOOKUP(K$1,Data!$1:$149,ROW(Bilanço!$A12),0),"")</f>
        <v>1537848000</v>
      </c>
      <c r="L12" s="3">
        <f>IFERROR(HLOOKUP(L$1,Data!$1:$149,ROW(Bilanço!$A12),0),"")</f>
        <v>1742919000</v>
      </c>
      <c r="M12" s="3">
        <f>IFERROR(HLOOKUP(M$1,Data!$1:$149,ROW(Bilanço!$A12),0),"")</f>
        <v>2920042000</v>
      </c>
      <c r="N12" s="3">
        <f>IFERROR(HLOOKUP(N$1,Data!$1:$149,ROW(Bilanço!$A12),0),"")</f>
        <v>1842438000</v>
      </c>
      <c r="O12" s="3">
        <f>IFERROR(HLOOKUP(O$1,Data!$1:$149,ROW(Bilanço!$A12),0),"")</f>
        <v>1762476000</v>
      </c>
      <c r="P12" s="3">
        <f>IFERROR(HLOOKUP(P$1,Data!$1:$149,ROW(Bilanço!$A12),0),"")</f>
        <v>1695531000</v>
      </c>
      <c r="Q12" s="3">
        <f>IFERROR(HLOOKUP(Q$1,Data!$1:$149,ROW(Bilanço!$A12),0),"")</f>
        <v>3903350000</v>
      </c>
      <c r="R12" s="3">
        <f>IFERROR(HLOOKUP(R$1,Data!$1:$149,ROW(Bilanço!$A12),0),"")</f>
        <v>2638707000</v>
      </c>
      <c r="S12" s="3">
        <f>IFERROR(HLOOKUP(S$1,Data!$1:$149,ROW(Bilanço!$A12),0),"")</f>
        <v>3256435000</v>
      </c>
      <c r="T12" s="3">
        <f>IFERROR(HLOOKUP(T$1,Data!$1:$149,ROW(Bilanço!$A12),0),"")</f>
        <v>3569698000</v>
      </c>
      <c r="U12" s="3">
        <f>IFERROR(HLOOKUP(U$1,Data!$1:$149,ROW(Bilanço!$A12),0),"")</f>
        <v>3025916057</v>
      </c>
      <c r="V12" s="3">
        <f>IFERROR(HLOOKUP(V$1,Data!$1:$149,ROW(Bilanço!$A12),0),"")</f>
        <v>3867555000</v>
      </c>
      <c r="W12" s="3">
        <f>IFERROR(HLOOKUP(W$1,Data!$1:$149,ROW(Bilanço!$A12),0),"")</f>
        <v>4526238000</v>
      </c>
      <c r="X12" s="3">
        <f>IFERROR(HLOOKUP(X$1,Data!$1:$149,ROW(Bilanço!$A12),0),"")</f>
        <v>5311906000</v>
      </c>
    </row>
    <row r="13" spans="1:25" x14ac:dyDescent="0.25">
      <c r="A13" t="str">
        <f>Data!A13</f>
        <v xml:space="preserve">    (Ara Toplam)</v>
      </c>
      <c r="B13" s="2">
        <f>IFERROR(HLOOKUP(B$1,Data!$1:$149,ROW(Bilanço!$A13),0),"")</f>
        <v>9224526000</v>
      </c>
      <c r="C13" s="2">
        <f>IFERROR(HLOOKUP(C$1,Data!$1:$149,ROW(Bilanço!$A13),0),"")</f>
        <v>10298815000</v>
      </c>
      <c r="D13" s="2">
        <f>IFERROR(HLOOKUP(D$1,Data!$1:$149,ROW(Bilanço!$A13),0),"")</f>
        <v>11927735000</v>
      </c>
      <c r="E13" s="2">
        <f>IFERROR(HLOOKUP(E$1,Data!$1:$149,ROW(Bilanço!$A13),0),"")</f>
        <v>14701119000</v>
      </c>
      <c r="F13" s="2">
        <f>IFERROR(HLOOKUP(F$1,Data!$1:$149,ROW(Bilanço!$A13),0),"")</f>
        <v>15365396000</v>
      </c>
      <c r="G13" s="2">
        <f>IFERROR(HLOOKUP(G$1,Data!$1:$149,ROW(Bilanço!$A13),0),"")</f>
        <v>15405235000</v>
      </c>
      <c r="H13" s="2">
        <f>IFERROR(HLOOKUP(H$1,Data!$1:$149,ROW(Bilanço!$A13),0),"")</f>
        <v>13852909000</v>
      </c>
      <c r="I13" s="2">
        <f>IFERROR(HLOOKUP(I$1,Data!$1:$149,ROW(Bilanço!$A13),0),"")</f>
        <v>18764940000</v>
      </c>
      <c r="J13" s="3">
        <f>IFERROR(HLOOKUP(J$1,Data!$1:$149,ROW(Bilanço!$A13),0),"")</f>
        <v>20954562000</v>
      </c>
      <c r="K13" s="3">
        <f>IFERROR(HLOOKUP(K$1,Data!$1:$149,ROW(Bilanço!$A13),0),"")</f>
        <v>22487525000</v>
      </c>
      <c r="L13" s="3">
        <f>IFERROR(HLOOKUP(L$1,Data!$1:$149,ROW(Bilanço!$A13),0),"")</f>
        <v>25073546000</v>
      </c>
      <c r="M13" s="3">
        <f>IFERROR(HLOOKUP(M$1,Data!$1:$149,ROW(Bilanço!$A13),0),"")</f>
        <v>41773214000</v>
      </c>
      <c r="N13" s="3">
        <f>IFERROR(HLOOKUP(N$1,Data!$1:$149,ROW(Bilanço!$A13),0),"")</f>
        <v>28508097000</v>
      </c>
      <c r="O13" s="3">
        <f>IFERROR(HLOOKUP(O$1,Data!$1:$149,ROW(Bilanço!$A13),0),"")</f>
        <v>29099280000</v>
      </c>
      <c r="P13" s="3">
        <f>IFERROR(HLOOKUP(P$1,Data!$1:$149,ROW(Bilanço!$A13),0),"")</f>
        <v>31285963000</v>
      </c>
      <c r="Q13" s="3">
        <f>IFERROR(HLOOKUP(Q$1,Data!$1:$149,ROW(Bilanço!$A13),0),"")</f>
        <v>53401735000</v>
      </c>
      <c r="R13" s="3">
        <f>IFERROR(HLOOKUP(R$1,Data!$1:$149,ROW(Bilanço!$A13),0),"")</f>
        <v>43524184000</v>
      </c>
      <c r="S13" s="3">
        <f>IFERROR(HLOOKUP(S$1,Data!$1:$149,ROW(Bilanço!$A13),0),"")</f>
        <v>47885764000</v>
      </c>
      <c r="T13" s="3">
        <f>IFERROR(HLOOKUP(T$1,Data!$1:$149,ROW(Bilanço!$A13),0),"")</f>
        <v>58862926000</v>
      </c>
      <c r="U13" s="3">
        <f>IFERROR(HLOOKUP(U$1,Data!$1:$149,ROW(Bilanço!$A13),0),"")</f>
        <v>81667657435</v>
      </c>
      <c r="V13" s="3">
        <f>IFERROR(HLOOKUP(V$1,Data!$1:$149,ROW(Bilanço!$A13),0),"")</f>
        <v>77284896000</v>
      </c>
      <c r="W13" s="3">
        <f>IFERROR(HLOOKUP(W$1,Data!$1:$149,ROW(Bilanço!$A13),0),"")</f>
        <v>84668198000</v>
      </c>
      <c r="X13" s="3">
        <f>IFERROR(HLOOKUP(X$1,Data!$1:$149,ROW(Bilanço!$A13),0),"")</f>
        <v>90083589000</v>
      </c>
    </row>
    <row r="14" spans="1:25" x14ac:dyDescent="0.25">
      <c r="A14" t="str">
        <f>Data!A14</f>
        <v xml:space="preserve">  Satış Amacıyla Elde Tutulan Duran Varlıklar</v>
      </c>
      <c r="B14" s="2">
        <f>IFERROR(HLOOKUP(B$1,Data!$1:$149,ROW(Bilanço!$A14),0),"")</f>
        <v>0</v>
      </c>
      <c r="C14" s="2">
        <f>IFERROR(HLOOKUP(C$1,Data!$1:$149,ROW(Bilanço!$A14),0),"")</f>
        <v>0</v>
      </c>
      <c r="D14" s="2">
        <f>IFERROR(HLOOKUP(D$1,Data!$1:$149,ROW(Bilanço!$A14),0),"")</f>
        <v>0</v>
      </c>
      <c r="E14" s="2">
        <f>IFERROR(HLOOKUP(E$1,Data!$1:$149,ROW(Bilanço!$A14),0),"")</f>
        <v>0</v>
      </c>
      <c r="F14" s="2">
        <f>IFERROR(HLOOKUP(F$1,Data!$1:$149,ROW(Bilanço!$A14),0),"")</f>
        <v>0</v>
      </c>
      <c r="G14" s="2">
        <f>IFERROR(HLOOKUP(G$1,Data!$1:$149,ROW(Bilanço!$A14),0),"")</f>
        <v>0</v>
      </c>
      <c r="H14" s="2">
        <f>IFERROR(HLOOKUP(H$1,Data!$1:$149,ROW(Bilanço!$A14),0),"")</f>
        <v>0</v>
      </c>
      <c r="I14" s="2">
        <f>IFERROR(HLOOKUP(I$1,Data!$1:$149,ROW(Bilanço!$A14),0),"")</f>
        <v>0</v>
      </c>
      <c r="J14" s="3">
        <f>IFERROR(HLOOKUP(J$1,Data!$1:$149,ROW(Bilanço!$A14),0),"")</f>
        <v>0</v>
      </c>
      <c r="K14" s="3">
        <f>IFERROR(HLOOKUP(K$1,Data!$1:$149,ROW(Bilanço!$A14),0),"")</f>
        <v>0</v>
      </c>
      <c r="L14" s="3">
        <f>IFERROR(HLOOKUP(L$1,Data!$1:$149,ROW(Bilanço!$A14),0),"")</f>
        <v>0</v>
      </c>
      <c r="M14" s="3">
        <f>IFERROR(HLOOKUP(M$1,Data!$1:$149,ROW(Bilanço!$A14),0),"")</f>
        <v>0</v>
      </c>
      <c r="N14" s="3">
        <f>IFERROR(HLOOKUP(N$1,Data!$1:$149,ROW(Bilanço!$A14),0),"")</f>
        <v>0</v>
      </c>
      <c r="O14" s="3">
        <f>IFERROR(HLOOKUP(O$1,Data!$1:$149,ROW(Bilanço!$A14),0),"")</f>
        <v>0</v>
      </c>
      <c r="P14" s="3">
        <f>IFERROR(HLOOKUP(P$1,Data!$1:$149,ROW(Bilanço!$A14),0),"")</f>
        <v>0</v>
      </c>
      <c r="Q14" s="3">
        <f>IFERROR(HLOOKUP(Q$1,Data!$1:$149,ROW(Bilanço!$A14),0),"")</f>
        <v>0</v>
      </c>
      <c r="R14" s="3">
        <f>IFERROR(HLOOKUP(R$1,Data!$1:$149,ROW(Bilanço!$A14),0),"")</f>
        <v>0</v>
      </c>
      <c r="S14" s="3">
        <f>IFERROR(HLOOKUP(S$1,Data!$1:$149,ROW(Bilanço!$A14),0),"")</f>
        <v>0</v>
      </c>
      <c r="T14" s="3">
        <f>IFERROR(HLOOKUP(T$1,Data!$1:$149,ROW(Bilanço!$A14),0),"")</f>
        <v>0</v>
      </c>
      <c r="U14" s="3">
        <f>IFERROR(HLOOKUP(U$1,Data!$1:$149,ROW(Bilanço!$A14),0),"")</f>
        <v>0</v>
      </c>
      <c r="V14" s="3">
        <f>IFERROR(HLOOKUP(V$1,Data!$1:$149,ROW(Bilanço!$A14),0),"")</f>
        <v>0</v>
      </c>
      <c r="W14" s="3">
        <f>IFERROR(HLOOKUP(W$1,Data!$1:$149,ROW(Bilanço!$A14),0),"")</f>
        <v>0</v>
      </c>
      <c r="X14" s="3">
        <f>IFERROR(HLOOKUP(X$1,Data!$1:$149,ROW(Bilanço!$A14),0),"")</f>
        <v>0</v>
      </c>
    </row>
    <row r="15" spans="1:25" x14ac:dyDescent="0.25">
      <c r="A15" t="str">
        <f>Data!A15</f>
        <v>Duran Varlıklar</v>
      </c>
      <c r="B15" s="2">
        <f>IFERROR(HLOOKUP(B$1,Data!$1:$149,ROW(Bilanço!$A15),0),"")</f>
        <v>4127780000</v>
      </c>
      <c r="C15" s="2">
        <f>IFERROR(HLOOKUP(C$1,Data!$1:$149,ROW(Bilanço!$A15),0),"")</f>
        <v>4347719000</v>
      </c>
      <c r="D15" s="2">
        <f>IFERROR(HLOOKUP(D$1,Data!$1:$149,ROW(Bilanço!$A15),0),"")</f>
        <v>4563249000</v>
      </c>
      <c r="E15" s="2">
        <f>IFERROR(HLOOKUP(E$1,Data!$1:$149,ROW(Bilanço!$A15),0),"")</f>
        <v>4790555000</v>
      </c>
      <c r="F15" s="2">
        <f>IFERROR(HLOOKUP(F$1,Data!$1:$149,ROW(Bilanço!$A15),0),"")</f>
        <v>4803511000</v>
      </c>
      <c r="G15" s="2">
        <f>IFERROR(HLOOKUP(G$1,Data!$1:$149,ROW(Bilanço!$A15),0),"")</f>
        <v>4890296000</v>
      </c>
      <c r="H15" s="2">
        <f>IFERROR(HLOOKUP(H$1,Data!$1:$149,ROW(Bilanço!$A15),0),"")</f>
        <v>5033462000</v>
      </c>
      <c r="I15" s="2">
        <f>IFERROR(HLOOKUP(I$1,Data!$1:$149,ROW(Bilanço!$A15),0),"")</f>
        <v>7478685000</v>
      </c>
      <c r="J15" s="3">
        <f>IFERROR(HLOOKUP(J$1,Data!$1:$149,ROW(Bilanço!$A15),0),"")</f>
        <v>7806122000</v>
      </c>
      <c r="K15" s="3">
        <f>IFERROR(HLOOKUP(K$1,Data!$1:$149,ROW(Bilanço!$A15),0),"")</f>
        <v>8843321000</v>
      </c>
      <c r="L15" s="3">
        <f>IFERROR(HLOOKUP(L$1,Data!$1:$149,ROW(Bilanço!$A15),0),"")</f>
        <v>9534207000</v>
      </c>
      <c r="M15" s="3">
        <f>IFERROR(HLOOKUP(M$1,Data!$1:$149,ROW(Bilanço!$A15),0),"")</f>
        <v>24375958000</v>
      </c>
      <c r="N15" s="3">
        <f>IFERROR(HLOOKUP(N$1,Data!$1:$149,ROW(Bilanço!$A15),0),"")</f>
        <v>12814875000</v>
      </c>
      <c r="O15" s="3">
        <f>IFERROR(HLOOKUP(O$1,Data!$1:$149,ROW(Bilanço!$A15),0),"")</f>
        <v>15826788000</v>
      </c>
      <c r="P15" s="3">
        <f>IFERROR(HLOOKUP(P$1,Data!$1:$149,ROW(Bilanço!$A15),0),"")</f>
        <v>16774736000</v>
      </c>
      <c r="Q15" s="3">
        <f>IFERROR(HLOOKUP(Q$1,Data!$1:$149,ROW(Bilanço!$A15),0),"")</f>
        <v>35520636000</v>
      </c>
      <c r="R15" s="3">
        <f>IFERROR(HLOOKUP(R$1,Data!$1:$149,ROW(Bilanço!$A15),0),"")</f>
        <v>26729474000</v>
      </c>
      <c r="S15" s="3">
        <f>IFERROR(HLOOKUP(S$1,Data!$1:$149,ROW(Bilanço!$A15),0),"")</f>
        <v>28366804000</v>
      </c>
      <c r="T15" s="3">
        <f>IFERROR(HLOOKUP(T$1,Data!$1:$149,ROW(Bilanço!$A15),0),"")</f>
        <v>31014857000</v>
      </c>
      <c r="U15" s="3">
        <f>IFERROR(HLOOKUP(U$1,Data!$1:$149,ROW(Bilanço!$A15),0),"")</f>
        <v>40547718183</v>
      </c>
      <c r="V15" s="3">
        <f>IFERROR(HLOOKUP(V$1,Data!$1:$149,ROW(Bilanço!$A15),0),"")</f>
        <v>34994743000</v>
      </c>
      <c r="W15" s="3">
        <f>IFERROR(HLOOKUP(W$1,Data!$1:$149,ROW(Bilanço!$A15),0),"")</f>
        <v>37047265000</v>
      </c>
      <c r="X15" s="3">
        <f>IFERROR(HLOOKUP(X$1,Data!$1:$149,ROW(Bilanço!$A15),0),"")</f>
        <v>39124999000</v>
      </c>
    </row>
    <row r="16" spans="1:25" x14ac:dyDescent="0.25">
      <c r="A16" t="str">
        <f>Data!A16</f>
        <v xml:space="preserve">  Ticari Alacaklar</v>
      </c>
      <c r="B16" s="2">
        <f>IFERROR(HLOOKUP(B$1,Data!$1:$149,ROW(Bilanço!$A16),0),"")</f>
        <v>0</v>
      </c>
      <c r="C16" s="2">
        <f>IFERROR(HLOOKUP(C$1,Data!$1:$149,ROW(Bilanço!$A16),0),"")</f>
        <v>0</v>
      </c>
      <c r="D16" s="2">
        <f>IFERROR(HLOOKUP(D$1,Data!$1:$149,ROW(Bilanço!$A16),0),"")</f>
        <v>0</v>
      </c>
      <c r="E16" s="2">
        <f>IFERROR(HLOOKUP(E$1,Data!$1:$149,ROW(Bilanço!$A16),0),"")</f>
        <v>0</v>
      </c>
      <c r="F16" s="2">
        <f>IFERROR(HLOOKUP(F$1,Data!$1:$149,ROW(Bilanço!$A16),0),"")</f>
        <v>0</v>
      </c>
      <c r="G16" s="2">
        <f>IFERROR(HLOOKUP(G$1,Data!$1:$149,ROW(Bilanço!$A16),0),"")</f>
        <v>0</v>
      </c>
      <c r="H16" s="2">
        <f>IFERROR(HLOOKUP(H$1,Data!$1:$149,ROW(Bilanço!$A16),0),"")</f>
        <v>0</v>
      </c>
      <c r="I16" s="2">
        <f>IFERROR(HLOOKUP(I$1,Data!$1:$149,ROW(Bilanço!$A16),0),"")</f>
        <v>0</v>
      </c>
      <c r="J16" s="3">
        <f>IFERROR(HLOOKUP(J$1,Data!$1:$149,ROW(Bilanço!$A16),0),"")</f>
        <v>0</v>
      </c>
      <c r="K16" s="3">
        <f>IFERROR(HLOOKUP(K$1,Data!$1:$149,ROW(Bilanço!$A16),0),"")</f>
        <v>0</v>
      </c>
      <c r="L16" s="3">
        <f>IFERROR(HLOOKUP(L$1,Data!$1:$149,ROW(Bilanço!$A16),0),"")</f>
        <v>0</v>
      </c>
      <c r="M16" s="3">
        <f>IFERROR(HLOOKUP(M$1,Data!$1:$149,ROW(Bilanço!$A16),0),"")</f>
        <v>0</v>
      </c>
      <c r="N16" s="3">
        <f>IFERROR(HLOOKUP(N$1,Data!$1:$149,ROW(Bilanço!$A16),0),"")</f>
        <v>0</v>
      </c>
      <c r="O16" s="3">
        <f>IFERROR(HLOOKUP(O$1,Data!$1:$149,ROW(Bilanço!$A16),0),"")</f>
        <v>0</v>
      </c>
      <c r="P16" s="3">
        <f>IFERROR(HLOOKUP(P$1,Data!$1:$149,ROW(Bilanço!$A16),0),"")</f>
        <v>0</v>
      </c>
      <c r="Q16" s="3">
        <f>IFERROR(HLOOKUP(Q$1,Data!$1:$149,ROW(Bilanço!$A16),0),"")</f>
        <v>0</v>
      </c>
      <c r="R16" s="3">
        <f>IFERROR(HLOOKUP(R$1,Data!$1:$149,ROW(Bilanço!$A16),0),"")</f>
        <v>0</v>
      </c>
      <c r="S16" s="3">
        <f>IFERROR(HLOOKUP(S$1,Data!$1:$149,ROW(Bilanço!$A16),0),"")</f>
        <v>0</v>
      </c>
      <c r="T16" s="3">
        <f>IFERROR(HLOOKUP(T$1,Data!$1:$149,ROW(Bilanço!$A16),0),"")</f>
        <v>0</v>
      </c>
      <c r="U16" s="3">
        <f>IFERROR(HLOOKUP(U$1,Data!$1:$149,ROW(Bilanço!$A16),0),"")</f>
        <v>0</v>
      </c>
      <c r="V16" s="3">
        <f>IFERROR(HLOOKUP(V$1,Data!$1:$149,ROW(Bilanço!$A16),0),"")</f>
        <v>0</v>
      </c>
      <c r="W16" s="3">
        <f>IFERROR(HLOOKUP(W$1,Data!$1:$149,ROW(Bilanço!$A16),0),"")</f>
        <v>0</v>
      </c>
      <c r="X16" s="3">
        <f>IFERROR(HLOOKUP(X$1,Data!$1:$149,ROW(Bilanço!$A16),0),"")</f>
        <v>0</v>
      </c>
    </row>
    <row r="17" spans="1:24" x14ac:dyDescent="0.25">
      <c r="A17" t="str">
        <f>Data!A17</f>
        <v xml:space="preserve">  Finans Sektörü Faaliyetlerinden Alacaklar</v>
      </c>
      <c r="B17" s="2">
        <f>IFERROR(HLOOKUP(B$1,Data!$1:$149,ROW(Bilanço!$A17),0),"")</f>
        <v>0</v>
      </c>
      <c r="C17" s="2">
        <f>IFERROR(HLOOKUP(C$1,Data!$1:$149,ROW(Bilanço!$A17),0),"")</f>
        <v>0</v>
      </c>
      <c r="D17" s="2">
        <f>IFERROR(HLOOKUP(D$1,Data!$1:$149,ROW(Bilanço!$A17),0),"")</f>
        <v>0</v>
      </c>
      <c r="E17" s="2">
        <f>IFERROR(HLOOKUP(E$1,Data!$1:$149,ROW(Bilanço!$A17),0),"")</f>
        <v>0</v>
      </c>
      <c r="F17" s="2">
        <f>IFERROR(HLOOKUP(F$1,Data!$1:$149,ROW(Bilanço!$A17),0),"")</f>
        <v>0</v>
      </c>
      <c r="G17" s="2">
        <f>IFERROR(HLOOKUP(G$1,Data!$1:$149,ROW(Bilanço!$A17),0),"")</f>
        <v>0</v>
      </c>
      <c r="H17" s="2">
        <f>IFERROR(HLOOKUP(H$1,Data!$1:$149,ROW(Bilanço!$A17),0),"")</f>
        <v>0</v>
      </c>
      <c r="I17" s="2">
        <f>IFERROR(HLOOKUP(I$1,Data!$1:$149,ROW(Bilanço!$A17),0),"")</f>
        <v>0</v>
      </c>
      <c r="J17" s="3">
        <f>IFERROR(HLOOKUP(J$1,Data!$1:$149,ROW(Bilanço!$A17),0),"")</f>
        <v>0</v>
      </c>
      <c r="K17" s="3">
        <f>IFERROR(HLOOKUP(K$1,Data!$1:$149,ROW(Bilanço!$A17),0),"")</f>
        <v>0</v>
      </c>
      <c r="L17" s="3">
        <f>IFERROR(HLOOKUP(L$1,Data!$1:$149,ROW(Bilanço!$A17),0),"")</f>
        <v>0</v>
      </c>
      <c r="M17" s="3">
        <f>IFERROR(HLOOKUP(M$1,Data!$1:$149,ROW(Bilanço!$A17),0),"")</f>
        <v>0</v>
      </c>
      <c r="N17" s="3">
        <f>IFERROR(HLOOKUP(N$1,Data!$1:$149,ROW(Bilanço!$A17),0),"")</f>
        <v>0</v>
      </c>
      <c r="O17" s="3">
        <f>IFERROR(HLOOKUP(O$1,Data!$1:$149,ROW(Bilanço!$A17),0),"")</f>
        <v>0</v>
      </c>
      <c r="P17" s="3">
        <f>IFERROR(HLOOKUP(P$1,Data!$1:$149,ROW(Bilanço!$A17),0),"")</f>
        <v>0</v>
      </c>
      <c r="Q17" s="3">
        <f>IFERROR(HLOOKUP(Q$1,Data!$1:$149,ROW(Bilanço!$A17),0),"")</f>
        <v>0</v>
      </c>
      <c r="R17" s="3">
        <f>IFERROR(HLOOKUP(R$1,Data!$1:$149,ROW(Bilanço!$A17),0),"")</f>
        <v>0</v>
      </c>
      <c r="S17" s="3">
        <f>IFERROR(HLOOKUP(S$1,Data!$1:$149,ROW(Bilanço!$A17),0),"")</f>
        <v>0</v>
      </c>
      <c r="T17" s="3">
        <f>IFERROR(HLOOKUP(T$1,Data!$1:$149,ROW(Bilanço!$A17),0),"")</f>
        <v>0</v>
      </c>
      <c r="U17" s="3">
        <f>IFERROR(HLOOKUP(U$1,Data!$1:$149,ROW(Bilanço!$A17),0),"")</f>
        <v>0</v>
      </c>
      <c r="V17" s="3">
        <f>IFERROR(HLOOKUP(V$1,Data!$1:$149,ROW(Bilanço!$A17),0),"")</f>
        <v>0</v>
      </c>
      <c r="W17" s="3">
        <f>IFERROR(HLOOKUP(W$1,Data!$1:$149,ROW(Bilanço!$A17),0),"")</f>
        <v>0</v>
      </c>
      <c r="X17" s="3">
        <f>IFERROR(HLOOKUP(X$1,Data!$1:$149,ROW(Bilanço!$A17),0),"")</f>
        <v>0</v>
      </c>
    </row>
    <row r="18" spans="1:24" x14ac:dyDescent="0.25">
      <c r="A18" t="str">
        <f>Data!A18</f>
        <v xml:space="preserve">  Diğer Alacaklar</v>
      </c>
      <c r="B18" s="2">
        <f>IFERROR(HLOOKUP(B$1,Data!$1:$149,ROW(Bilanço!$A18),0),"")</f>
        <v>327000</v>
      </c>
      <c r="C18" s="2">
        <f>IFERROR(HLOOKUP(C$1,Data!$1:$149,ROW(Bilanço!$A18),0),"")</f>
        <v>344000</v>
      </c>
      <c r="D18" s="2">
        <f>IFERROR(HLOOKUP(D$1,Data!$1:$149,ROW(Bilanço!$A18),0),"")</f>
        <v>392000</v>
      </c>
      <c r="E18" s="2">
        <f>IFERROR(HLOOKUP(E$1,Data!$1:$149,ROW(Bilanço!$A18),0),"")</f>
        <v>369000</v>
      </c>
      <c r="F18" s="2">
        <f>IFERROR(HLOOKUP(F$1,Data!$1:$149,ROW(Bilanço!$A18),0),"")</f>
        <v>0</v>
      </c>
      <c r="G18" s="2">
        <f>IFERROR(HLOOKUP(G$1,Data!$1:$149,ROW(Bilanço!$A18),0),"")</f>
        <v>0</v>
      </c>
      <c r="H18" s="2">
        <f>IFERROR(HLOOKUP(H$1,Data!$1:$149,ROW(Bilanço!$A18),0),"")</f>
        <v>0</v>
      </c>
      <c r="I18" s="2">
        <f>IFERROR(HLOOKUP(I$1,Data!$1:$149,ROW(Bilanço!$A18),0),"")</f>
        <v>0</v>
      </c>
      <c r="J18" s="3">
        <f>IFERROR(HLOOKUP(J$1,Data!$1:$149,ROW(Bilanço!$A18),0),"")</f>
        <v>0</v>
      </c>
      <c r="K18" s="3">
        <f>IFERROR(HLOOKUP(K$1,Data!$1:$149,ROW(Bilanço!$A18),0),"")</f>
        <v>0</v>
      </c>
      <c r="L18" s="3">
        <f>IFERROR(HLOOKUP(L$1,Data!$1:$149,ROW(Bilanço!$A18),0),"")</f>
        <v>0</v>
      </c>
      <c r="M18" s="3">
        <f>IFERROR(HLOOKUP(M$1,Data!$1:$149,ROW(Bilanço!$A18),0),"")</f>
        <v>0</v>
      </c>
      <c r="N18" s="3">
        <f>IFERROR(HLOOKUP(N$1,Data!$1:$149,ROW(Bilanço!$A18),0),"")</f>
        <v>0</v>
      </c>
      <c r="O18" s="3">
        <f>IFERROR(HLOOKUP(O$1,Data!$1:$149,ROW(Bilanço!$A18),0),"")</f>
        <v>0</v>
      </c>
      <c r="P18" s="3">
        <f>IFERROR(HLOOKUP(P$1,Data!$1:$149,ROW(Bilanço!$A18),0),"")</f>
        <v>0</v>
      </c>
      <c r="Q18" s="3">
        <f>IFERROR(HLOOKUP(Q$1,Data!$1:$149,ROW(Bilanço!$A18),0),"")</f>
        <v>0</v>
      </c>
      <c r="R18" s="3">
        <f>IFERROR(HLOOKUP(R$1,Data!$1:$149,ROW(Bilanço!$A18),0),"")</f>
        <v>0</v>
      </c>
      <c r="S18" s="3">
        <f>IFERROR(HLOOKUP(S$1,Data!$1:$149,ROW(Bilanço!$A18),0),"")</f>
        <v>0</v>
      </c>
      <c r="T18" s="3">
        <f>IFERROR(HLOOKUP(T$1,Data!$1:$149,ROW(Bilanço!$A18),0),"")</f>
        <v>0</v>
      </c>
      <c r="U18" s="3">
        <f>IFERROR(HLOOKUP(U$1,Data!$1:$149,ROW(Bilanço!$A18),0),"")</f>
        <v>0</v>
      </c>
      <c r="V18" s="3">
        <f>IFERROR(HLOOKUP(V$1,Data!$1:$149,ROW(Bilanço!$A18),0),"")</f>
        <v>0</v>
      </c>
      <c r="W18" s="3">
        <f>IFERROR(HLOOKUP(W$1,Data!$1:$149,ROW(Bilanço!$A18),0),"")</f>
        <v>0</v>
      </c>
      <c r="X18" s="3">
        <f>IFERROR(HLOOKUP(X$1,Data!$1:$149,ROW(Bilanço!$A18),0),"")</f>
        <v>0</v>
      </c>
    </row>
    <row r="19" spans="1:24" x14ac:dyDescent="0.25">
      <c r="A19" t="str">
        <f>Data!A19</f>
        <v xml:space="preserve">  Müşteri Sözleşmelerinden Doğan Varlıklar</v>
      </c>
      <c r="B19" s="2">
        <f>IFERROR(HLOOKUP(B$1,Data!$1:$149,ROW(Bilanço!$A19),0),"")</f>
        <v>0</v>
      </c>
      <c r="C19" s="2">
        <f>IFERROR(HLOOKUP(C$1,Data!$1:$149,ROW(Bilanço!$A19),0),"")</f>
        <v>0</v>
      </c>
      <c r="D19" s="2">
        <f>IFERROR(HLOOKUP(D$1,Data!$1:$149,ROW(Bilanço!$A19),0),"")</f>
        <v>0</v>
      </c>
      <c r="E19" s="2">
        <f>IFERROR(HLOOKUP(E$1,Data!$1:$149,ROW(Bilanço!$A19),0),"")</f>
        <v>0</v>
      </c>
      <c r="F19" s="2">
        <f>IFERROR(HLOOKUP(F$1,Data!$1:$149,ROW(Bilanço!$A19),0),"")</f>
        <v>0</v>
      </c>
      <c r="G19" s="2">
        <f>IFERROR(HLOOKUP(G$1,Data!$1:$149,ROW(Bilanço!$A19),0),"")</f>
        <v>0</v>
      </c>
      <c r="H19" s="2">
        <f>IFERROR(HLOOKUP(H$1,Data!$1:$149,ROW(Bilanço!$A19),0),"")</f>
        <v>0</v>
      </c>
      <c r="I19" s="2">
        <f>IFERROR(HLOOKUP(I$1,Data!$1:$149,ROW(Bilanço!$A19),0),"")</f>
        <v>0</v>
      </c>
      <c r="J19" s="3">
        <f>IFERROR(HLOOKUP(J$1,Data!$1:$149,ROW(Bilanço!$A19),0),"")</f>
        <v>0</v>
      </c>
      <c r="K19" s="3">
        <f>IFERROR(HLOOKUP(K$1,Data!$1:$149,ROW(Bilanço!$A19),0),"")</f>
        <v>0</v>
      </c>
      <c r="L19" s="3">
        <f>IFERROR(HLOOKUP(L$1,Data!$1:$149,ROW(Bilanço!$A19),0),"")</f>
        <v>0</v>
      </c>
      <c r="M19" s="3">
        <f>IFERROR(HLOOKUP(M$1,Data!$1:$149,ROW(Bilanço!$A19),0),"")</f>
        <v>0</v>
      </c>
      <c r="N19" s="3">
        <f>IFERROR(HLOOKUP(N$1,Data!$1:$149,ROW(Bilanço!$A19),0),"")</f>
        <v>0</v>
      </c>
      <c r="O19" s="3">
        <f>IFERROR(HLOOKUP(O$1,Data!$1:$149,ROW(Bilanço!$A19),0),"")</f>
        <v>0</v>
      </c>
      <c r="P19" s="3">
        <f>IFERROR(HLOOKUP(P$1,Data!$1:$149,ROW(Bilanço!$A19),0),"")</f>
        <v>0</v>
      </c>
      <c r="Q19" s="3">
        <f>IFERROR(HLOOKUP(Q$1,Data!$1:$149,ROW(Bilanço!$A19),0),"")</f>
        <v>0</v>
      </c>
      <c r="R19" s="3">
        <f>IFERROR(HLOOKUP(R$1,Data!$1:$149,ROW(Bilanço!$A19),0),"")</f>
        <v>0</v>
      </c>
      <c r="S19" s="3">
        <f>IFERROR(HLOOKUP(S$1,Data!$1:$149,ROW(Bilanço!$A19),0),"")</f>
        <v>0</v>
      </c>
      <c r="T19" s="3">
        <f>IFERROR(HLOOKUP(T$1,Data!$1:$149,ROW(Bilanço!$A19),0),"")</f>
        <v>0</v>
      </c>
      <c r="U19" s="3">
        <f>IFERROR(HLOOKUP(U$1,Data!$1:$149,ROW(Bilanço!$A19),0),"")</f>
        <v>0</v>
      </c>
      <c r="V19" s="3">
        <f>IFERROR(HLOOKUP(V$1,Data!$1:$149,ROW(Bilanço!$A19),0),"")</f>
        <v>0</v>
      </c>
      <c r="W19" s="3">
        <f>IFERROR(HLOOKUP(W$1,Data!$1:$149,ROW(Bilanço!$A19),0),"")</f>
        <v>0</v>
      </c>
      <c r="X19" s="3">
        <f>IFERROR(HLOOKUP(X$1,Data!$1:$149,ROW(Bilanço!$A19),0),"")</f>
        <v>0</v>
      </c>
    </row>
    <row r="20" spans="1:24" x14ac:dyDescent="0.25">
      <c r="A20" t="str">
        <f>Data!A20</f>
        <v xml:space="preserve">  Finansal Yatırımlar</v>
      </c>
      <c r="B20" s="2">
        <f>IFERROR(HLOOKUP(B$1,Data!$1:$149,ROW(Bilanço!$A20),0),"")</f>
        <v>946029000</v>
      </c>
      <c r="C20" s="2">
        <f>IFERROR(HLOOKUP(C$1,Data!$1:$149,ROW(Bilanço!$A20),0),"")</f>
        <v>1108045000</v>
      </c>
      <c r="D20" s="2">
        <f>IFERROR(HLOOKUP(D$1,Data!$1:$149,ROW(Bilanço!$A20),0),"")</f>
        <v>1108045000</v>
      </c>
      <c r="E20" s="2">
        <f>IFERROR(HLOOKUP(E$1,Data!$1:$149,ROW(Bilanço!$A20),0),"")</f>
        <v>978106000</v>
      </c>
      <c r="F20" s="2">
        <f>IFERROR(HLOOKUP(F$1,Data!$1:$149,ROW(Bilanço!$A20),0),"")</f>
        <v>978106000</v>
      </c>
      <c r="G20" s="2">
        <f>IFERROR(HLOOKUP(G$1,Data!$1:$149,ROW(Bilanço!$A20),0),"")</f>
        <v>978106000</v>
      </c>
      <c r="H20" s="2">
        <f>IFERROR(HLOOKUP(H$1,Data!$1:$149,ROW(Bilanço!$A20),0),"")</f>
        <v>978106000</v>
      </c>
      <c r="I20" s="2">
        <f>IFERROR(HLOOKUP(I$1,Data!$1:$149,ROW(Bilanço!$A20),0),"")</f>
        <v>1878478000</v>
      </c>
      <c r="J20" s="3">
        <f>IFERROR(HLOOKUP(J$1,Data!$1:$149,ROW(Bilanço!$A20),0),"")</f>
        <v>1878478000</v>
      </c>
      <c r="K20" s="3">
        <f>IFERROR(HLOOKUP(K$1,Data!$1:$149,ROW(Bilanço!$A20),0),"")</f>
        <v>2348069000</v>
      </c>
      <c r="L20" s="3">
        <f>IFERROR(HLOOKUP(L$1,Data!$1:$149,ROW(Bilanço!$A20),0),"")</f>
        <v>2609793000</v>
      </c>
      <c r="M20" s="3">
        <f>IFERROR(HLOOKUP(M$1,Data!$1:$149,ROW(Bilanço!$A20),0),"")</f>
        <v>4427784000</v>
      </c>
      <c r="N20" s="3">
        <f>IFERROR(HLOOKUP(N$1,Data!$1:$149,ROW(Bilanço!$A20),0),"")</f>
        <v>2742214000</v>
      </c>
      <c r="O20" s="3">
        <f>IFERROR(HLOOKUP(O$1,Data!$1:$149,ROW(Bilanço!$A20),0),"")</f>
        <v>3700845000</v>
      </c>
      <c r="P20" s="3">
        <f>IFERROR(HLOOKUP(P$1,Data!$1:$149,ROW(Bilanço!$A20),0),"")</f>
        <v>3917624000</v>
      </c>
      <c r="Q20" s="3">
        <f>IFERROR(HLOOKUP(Q$1,Data!$1:$149,ROW(Bilanço!$A20),0),"")</f>
        <v>5789065000</v>
      </c>
      <c r="R20" s="3">
        <f>IFERROR(HLOOKUP(R$1,Data!$1:$149,ROW(Bilanço!$A20),0),"")</f>
        <v>4396115000</v>
      </c>
      <c r="S20" s="3">
        <f>IFERROR(HLOOKUP(S$1,Data!$1:$149,ROW(Bilanço!$A20),0),"")</f>
        <v>4468086000</v>
      </c>
      <c r="T20" s="3">
        <f>IFERROR(HLOOKUP(T$1,Data!$1:$149,ROW(Bilanço!$A20),0),"")</f>
        <v>4677269000</v>
      </c>
      <c r="U20" s="3">
        <f>IFERROR(HLOOKUP(U$1,Data!$1:$149,ROW(Bilanço!$A20),0),"")</f>
        <v>6154145029</v>
      </c>
      <c r="V20" s="3">
        <f>IFERROR(HLOOKUP(V$1,Data!$1:$149,ROW(Bilanço!$A20),0),"")</f>
        <v>5277871000</v>
      </c>
      <c r="W20" s="3">
        <f>IFERROR(HLOOKUP(W$1,Data!$1:$149,ROW(Bilanço!$A20),0),"")</f>
        <v>5593308000</v>
      </c>
      <c r="X20" s="3">
        <f>IFERROR(HLOOKUP(X$1,Data!$1:$149,ROW(Bilanço!$A20),0),"")</f>
        <v>5842024000</v>
      </c>
    </row>
    <row r="21" spans="1:24" x14ac:dyDescent="0.25">
      <c r="A21" t="str">
        <f>Data!A21</f>
        <v xml:space="preserve">  Özkaynak Yöntemiyle Değerlenen Yatırımlar</v>
      </c>
      <c r="B21" s="2">
        <f>IFERROR(HLOOKUP(B$1,Data!$1:$149,ROW(Bilanço!$A21),0),"")</f>
        <v>0</v>
      </c>
      <c r="C21" s="2">
        <f>IFERROR(HLOOKUP(C$1,Data!$1:$149,ROW(Bilanço!$A21),0),"")</f>
        <v>0</v>
      </c>
      <c r="D21" s="2">
        <f>IFERROR(HLOOKUP(D$1,Data!$1:$149,ROW(Bilanço!$A21),0),"")</f>
        <v>0</v>
      </c>
      <c r="E21" s="2">
        <f>IFERROR(HLOOKUP(E$1,Data!$1:$149,ROW(Bilanço!$A21),0),"")</f>
        <v>0</v>
      </c>
      <c r="F21" s="2">
        <f>IFERROR(HLOOKUP(F$1,Data!$1:$149,ROW(Bilanço!$A21),0),"")</f>
        <v>0</v>
      </c>
      <c r="G21" s="2">
        <f>IFERROR(HLOOKUP(G$1,Data!$1:$149,ROW(Bilanço!$A21),0),"")</f>
        <v>0</v>
      </c>
      <c r="H21" s="2">
        <f>IFERROR(HLOOKUP(H$1,Data!$1:$149,ROW(Bilanço!$A21),0),"")</f>
        <v>0</v>
      </c>
      <c r="I21" s="2">
        <f>IFERROR(HLOOKUP(I$1,Data!$1:$149,ROW(Bilanço!$A21),0),"")</f>
        <v>0</v>
      </c>
      <c r="J21" s="3">
        <f>IFERROR(HLOOKUP(J$1,Data!$1:$149,ROW(Bilanço!$A21),0),"")</f>
        <v>0</v>
      </c>
      <c r="K21" s="3">
        <f>IFERROR(HLOOKUP(K$1,Data!$1:$149,ROW(Bilanço!$A21),0),"")</f>
        <v>0</v>
      </c>
      <c r="L21" s="3">
        <f>IFERROR(HLOOKUP(L$1,Data!$1:$149,ROW(Bilanço!$A21),0),"")</f>
        <v>0</v>
      </c>
      <c r="M21" s="3">
        <f>IFERROR(HLOOKUP(M$1,Data!$1:$149,ROW(Bilanço!$A21),0),"")</f>
        <v>0</v>
      </c>
      <c r="N21" s="3">
        <f>IFERROR(HLOOKUP(N$1,Data!$1:$149,ROW(Bilanço!$A21),0),"")</f>
        <v>0</v>
      </c>
      <c r="O21" s="3">
        <f>IFERROR(HLOOKUP(O$1,Data!$1:$149,ROW(Bilanço!$A21),0),"")</f>
        <v>0</v>
      </c>
      <c r="P21" s="3">
        <f>IFERROR(HLOOKUP(P$1,Data!$1:$149,ROW(Bilanço!$A21),0),"")</f>
        <v>0</v>
      </c>
      <c r="Q21" s="3">
        <f>IFERROR(HLOOKUP(Q$1,Data!$1:$149,ROW(Bilanço!$A21),0),"")</f>
        <v>0</v>
      </c>
      <c r="R21" s="3">
        <f>IFERROR(HLOOKUP(R$1,Data!$1:$149,ROW(Bilanço!$A21),0),"")</f>
        <v>0</v>
      </c>
      <c r="S21" s="3">
        <f>IFERROR(HLOOKUP(S$1,Data!$1:$149,ROW(Bilanço!$A21),0),"")</f>
        <v>0</v>
      </c>
      <c r="T21" s="3">
        <f>IFERROR(HLOOKUP(T$1,Data!$1:$149,ROW(Bilanço!$A21),0),"")</f>
        <v>0</v>
      </c>
      <c r="U21" s="3">
        <f>IFERROR(HLOOKUP(U$1,Data!$1:$149,ROW(Bilanço!$A21),0),"")</f>
        <v>0</v>
      </c>
      <c r="V21" s="3">
        <f>IFERROR(HLOOKUP(V$1,Data!$1:$149,ROW(Bilanço!$A21),0),"")</f>
        <v>0</v>
      </c>
      <c r="W21" s="3">
        <f>IFERROR(HLOOKUP(W$1,Data!$1:$149,ROW(Bilanço!$A21),0),"")</f>
        <v>0</v>
      </c>
      <c r="X21" s="3">
        <f>IFERROR(HLOOKUP(X$1,Data!$1:$149,ROW(Bilanço!$A21),0),"")</f>
        <v>0</v>
      </c>
    </row>
    <row r="22" spans="1:24" x14ac:dyDescent="0.25">
      <c r="A22" t="str">
        <f>Data!A22</f>
        <v xml:space="preserve">  Canlı Varlıklar</v>
      </c>
      <c r="B22" s="2">
        <f>IFERROR(HLOOKUP(B$1,Data!$1:$149,ROW(Bilanço!$A22),0),"")</f>
        <v>0</v>
      </c>
      <c r="C22" s="2">
        <f>IFERROR(HLOOKUP(C$1,Data!$1:$149,ROW(Bilanço!$A22),0),"")</f>
        <v>0</v>
      </c>
      <c r="D22" s="2">
        <f>IFERROR(HLOOKUP(D$1,Data!$1:$149,ROW(Bilanço!$A22),0),"")</f>
        <v>0</v>
      </c>
      <c r="E22" s="2">
        <f>IFERROR(HLOOKUP(E$1,Data!$1:$149,ROW(Bilanço!$A22),0),"")</f>
        <v>0</v>
      </c>
      <c r="F22" s="2">
        <f>IFERROR(HLOOKUP(F$1,Data!$1:$149,ROW(Bilanço!$A22),0),"")</f>
        <v>0</v>
      </c>
      <c r="G22" s="2">
        <f>IFERROR(HLOOKUP(G$1,Data!$1:$149,ROW(Bilanço!$A22),0),"")</f>
        <v>0</v>
      </c>
      <c r="H22" s="2">
        <f>IFERROR(HLOOKUP(H$1,Data!$1:$149,ROW(Bilanço!$A22),0),"")</f>
        <v>0</v>
      </c>
      <c r="I22" s="2">
        <f>IFERROR(HLOOKUP(I$1,Data!$1:$149,ROW(Bilanço!$A22),0),"")</f>
        <v>0</v>
      </c>
      <c r="J22" s="3">
        <f>IFERROR(HLOOKUP(J$1,Data!$1:$149,ROW(Bilanço!$A22),0),"")</f>
        <v>0</v>
      </c>
      <c r="K22" s="3">
        <f>IFERROR(HLOOKUP(K$1,Data!$1:$149,ROW(Bilanço!$A22),0),"")</f>
        <v>0</v>
      </c>
      <c r="L22" s="3">
        <f>IFERROR(HLOOKUP(L$1,Data!$1:$149,ROW(Bilanço!$A22),0),"")</f>
        <v>0</v>
      </c>
      <c r="M22" s="3">
        <f>IFERROR(HLOOKUP(M$1,Data!$1:$149,ROW(Bilanço!$A22),0),"")</f>
        <v>0</v>
      </c>
      <c r="N22" s="3">
        <f>IFERROR(HLOOKUP(N$1,Data!$1:$149,ROW(Bilanço!$A22),0),"")</f>
        <v>0</v>
      </c>
      <c r="O22" s="3">
        <f>IFERROR(HLOOKUP(O$1,Data!$1:$149,ROW(Bilanço!$A22),0),"")</f>
        <v>0</v>
      </c>
      <c r="P22" s="3">
        <f>IFERROR(HLOOKUP(P$1,Data!$1:$149,ROW(Bilanço!$A22),0),"")</f>
        <v>0</v>
      </c>
      <c r="Q22" s="3">
        <f>IFERROR(HLOOKUP(Q$1,Data!$1:$149,ROW(Bilanço!$A22),0),"")</f>
        <v>0</v>
      </c>
      <c r="R22" s="3">
        <f>IFERROR(HLOOKUP(R$1,Data!$1:$149,ROW(Bilanço!$A22),0),"")</f>
        <v>0</v>
      </c>
      <c r="S22" s="3">
        <f>IFERROR(HLOOKUP(S$1,Data!$1:$149,ROW(Bilanço!$A22),0),"")</f>
        <v>0</v>
      </c>
      <c r="T22" s="3">
        <f>IFERROR(HLOOKUP(T$1,Data!$1:$149,ROW(Bilanço!$A22),0),"")</f>
        <v>0</v>
      </c>
      <c r="U22" s="3">
        <f>IFERROR(HLOOKUP(U$1,Data!$1:$149,ROW(Bilanço!$A22),0),"")</f>
        <v>0</v>
      </c>
      <c r="V22" s="3">
        <f>IFERROR(HLOOKUP(V$1,Data!$1:$149,ROW(Bilanço!$A22),0),"")</f>
        <v>0</v>
      </c>
      <c r="W22" s="3">
        <f>IFERROR(HLOOKUP(W$1,Data!$1:$149,ROW(Bilanço!$A22),0),"")</f>
        <v>0</v>
      </c>
      <c r="X22" s="3">
        <f>IFERROR(HLOOKUP(X$1,Data!$1:$149,ROW(Bilanço!$A22),0),"")</f>
        <v>0</v>
      </c>
    </row>
    <row r="23" spans="1:24" x14ac:dyDescent="0.25">
      <c r="A23" t="str">
        <f>Data!A23</f>
        <v xml:space="preserve">  Yatırım Amaçlı Gayrimenkuller</v>
      </c>
      <c r="B23" s="2">
        <f>IFERROR(HLOOKUP(B$1,Data!$1:$149,ROW(Bilanço!$A23),0),"")</f>
        <v>21155000</v>
      </c>
      <c r="C23" s="2">
        <f>IFERROR(HLOOKUP(C$1,Data!$1:$149,ROW(Bilanço!$A23),0),"")</f>
        <v>21155000</v>
      </c>
      <c r="D23" s="2">
        <f>IFERROR(HLOOKUP(D$1,Data!$1:$149,ROW(Bilanço!$A23),0),"")</f>
        <v>21155000</v>
      </c>
      <c r="E23" s="2">
        <f>IFERROR(HLOOKUP(E$1,Data!$1:$149,ROW(Bilanço!$A23),0),"")</f>
        <v>26145000</v>
      </c>
      <c r="F23" s="2">
        <f>IFERROR(HLOOKUP(F$1,Data!$1:$149,ROW(Bilanço!$A23),0),"")</f>
        <v>0</v>
      </c>
      <c r="G23" s="2">
        <f>IFERROR(HLOOKUP(G$1,Data!$1:$149,ROW(Bilanço!$A23),0),"")</f>
        <v>0</v>
      </c>
      <c r="H23" s="2">
        <f>IFERROR(HLOOKUP(H$1,Data!$1:$149,ROW(Bilanço!$A23),0),"")</f>
        <v>0</v>
      </c>
      <c r="I23" s="2">
        <f>IFERROR(HLOOKUP(I$1,Data!$1:$149,ROW(Bilanço!$A23),0),"")</f>
        <v>0</v>
      </c>
      <c r="J23" s="3">
        <f>IFERROR(HLOOKUP(J$1,Data!$1:$149,ROW(Bilanço!$A23),0),"")</f>
        <v>0</v>
      </c>
      <c r="K23" s="3">
        <f>IFERROR(HLOOKUP(K$1,Data!$1:$149,ROW(Bilanço!$A23),0),"")</f>
        <v>0</v>
      </c>
      <c r="L23" s="3">
        <f>IFERROR(HLOOKUP(L$1,Data!$1:$149,ROW(Bilanço!$A23),0),"")</f>
        <v>0</v>
      </c>
      <c r="M23" s="3">
        <f>IFERROR(HLOOKUP(M$1,Data!$1:$149,ROW(Bilanço!$A23),0),"")</f>
        <v>0</v>
      </c>
      <c r="N23" s="3">
        <f>IFERROR(HLOOKUP(N$1,Data!$1:$149,ROW(Bilanço!$A23),0),"")</f>
        <v>0</v>
      </c>
      <c r="O23" s="3">
        <f>IFERROR(HLOOKUP(O$1,Data!$1:$149,ROW(Bilanço!$A23),0),"")</f>
        <v>0</v>
      </c>
      <c r="P23" s="3">
        <f>IFERROR(HLOOKUP(P$1,Data!$1:$149,ROW(Bilanço!$A23),0),"")</f>
        <v>0</v>
      </c>
      <c r="Q23" s="3">
        <f>IFERROR(HLOOKUP(Q$1,Data!$1:$149,ROW(Bilanço!$A23),0),"")</f>
        <v>0</v>
      </c>
      <c r="R23" s="3">
        <f>IFERROR(HLOOKUP(R$1,Data!$1:$149,ROW(Bilanço!$A23),0),"")</f>
        <v>0</v>
      </c>
      <c r="S23" s="3">
        <f>IFERROR(HLOOKUP(S$1,Data!$1:$149,ROW(Bilanço!$A23),0),"")</f>
        <v>0</v>
      </c>
      <c r="T23" s="3">
        <f>IFERROR(HLOOKUP(T$1,Data!$1:$149,ROW(Bilanço!$A23),0),"")</f>
        <v>0</v>
      </c>
      <c r="U23" s="3">
        <f>IFERROR(HLOOKUP(U$1,Data!$1:$149,ROW(Bilanço!$A23),0),"")</f>
        <v>0</v>
      </c>
      <c r="V23" s="3">
        <f>IFERROR(HLOOKUP(V$1,Data!$1:$149,ROW(Bilanço!$A23),0),"")</f>
        <v>0</v>
      </c>
      <c r="W23" s="3">
        <f>IFERROR(HLOOKUP(W$1,Data!$1:$149,ROW(Bilanço!$A23),0),"")</f>
        <v>0</v>
      </c>
      <c r="X23" s="3">
        <f>IFERROR(HLOOKUP(X$1,Data!$1:$149,ROW(Bilanço!$A23),0),"")</f>
        <v>0</v>
      </c>
    </row>
    <row r="24" spans="1:24" x14ac:dyDescent="0.25">
      <c r="A24" t="str">
        <f>Data!A24</f>
        <v xml:space="preserve">  Stoklar</v>
      </c>
      <c r="B24" s="2">
        <f>IFERROR(HLOOKUP(B$1,Data!$1:$149,ROW(Bilanço!$A24),0),"")</f>
        <v>0</v>
      </c>
      <c r="C24" s="2">
        <f>IFERROR(HLOOKUP(C$1,Data!$1:$149,ROW(Bilanço!$A24),0),"")</f>
        <v>0</v>
      </c>
      <c r="D24" s="2">
        <f>IFERROR(HLOOKUP(D$1,Data!$1:$149,ROW(Bilanço!$A24),0),"")</f>
        <v>0</v>
      </c>
      <c r="E24" s="2">
        <f>IFERROR(HLOOKUP(E$1,Data!$1:$149,ROW(Bilanço!$A24),0),"")</f>
        <v>0</v>
      </c>
      <c r="F24" s="2">
        <f>IFERROR(HLOOKUP(F$1,Data!$1:$149,ROW(Bilanço!$A24),0),"")</f>
        <v>0</v>
      </c>
      <c r="G24" s="2">
        <f>IFERROR(HLOOKUP(G$1,Data!$1:$149,ROW(Bilanço!$A24),0),"")</f>
        <v>0</v>
      </c>
      <c r="H24" s="2">
        <f>IFERROR(HLOOKUP(H$1,Data!$1:$149,ROW(Bilanço!$A24),0),"")</f>
        <v>0</v>
      </c>
      <c r="I24" s="2">
        <f>IFERROR(HLOOKUP(I$1,Data!$1:$149,ROW(Bilanço!$A24),0),"")</f>
        <v>0</v>
      </c>
      <c r="J24" s="3">
        <f>IFERROR(HLOOKUP(J$1,Data!$1:$149,ROW(Bilanço!$A24),0),"")</f>
        <v>0</v>
      </c>
      <c r="K24" s="3">
        <f>IFERROR(HLOOKUP(K$1,Data!$1:$149,ROW(Bilanço!$A24),0),"")</f>
        <v>0</v>
      </c>
      <c r="L24" s="3">
        <f>IFERROR(HLOOKUP(L$1,Data!$1:$149,ROW(Bilanço!$A24),0),"")</f>
        <v>0</v>
      </c>
      <c r="M24" s="3">
        <f>IFERROR(HLOOKUP(M$1,Data!$1:$149,ROW(Bilanço!$A24),0),"")</f>
        <v>0</v>
      </c>
      <c r="N24" s="3">
        <f>IFERROR(HLOOKUP(N$1,Data!$1:$149,ROW(Bilanço!$A24),0),"")</f>
        <v>0</v>
      </c>
      <c r="O24" s="3">
        <f>IFERROR(HLOOKUP(O$1,Data!$1:$149,ROW(Bilanço!$A24),0),"")</f>
        <v>0</v>
      </c>
      <c r="P24" s="3">
        <f>IFERROR(HLOOKUP(P$1,Data!$1:$149,ROW(Bilanço!$A24),0),"")</f>
        <v>0</v>
      </c>
      <c r="Q24" s="3">
        <f>IFERROR(HLOOKUP(Q$1,Data!$1:$149,ROW(Bilanço!$A24),0),"")</f>
        <v>0</v>
      </c>
      <c r="R24" s="3">
        <f>IFERROR(HLOOKUP(R$1,Data!$1:$149,ROW(Bilanço!$A24),0),"")</f>
        <v>0</v>
      </c>
      <c r="S24" s="3">
        <f>IFERROR(HLOOKUP(S$1,Data!$1:$149,ROW(Bilanço!$A24),0),"")</f>
        <v>0</v>
      </c>
      <c r="T24" s="3">
        <f>IFERROR(HLOOKUP(T$1,Data!$1:$149,ROW(Bilanço!$A24),0),"")</f>
        <v>0</v>
      </c>
      <c r="U24" s="3">
        <f>IFERROR(HLOOKUP(U$1,Data!$1:$149,ROW(Bilanço!$A24),0),"")</f>
        <v>0</v>
      </c>
      <c r="V24" s="3">
        <f>IFERROR(HLOOKUP(V$1,Data!$1:$149,ROW(Bilanço!$A24),0),"")</f>
        <v>0</v>
      </c>
      <c r="W24" s="3">
        <f>IFERROR(HLOOKUP(W$1,Data!$1:$149,ROW(Bilanço!$A24),0),"")</f>
        <v>0</v>
      </c>
      <c r="X24" s="3">
        <f>IFERROR(HLOOKUP(X$1,Data!$1:$149,ROW(Bilanço!$A24),0),"")</f>
        <v>0</v>
      </c>
    </row>
    <row r="25" spans="1:24" x14ac:dyDescent="0.25">
      <c r="A25" t="str">
        <f>Data!A25</f>
        <v xml:space="preserve">  Kullanım Hakkı Varlıkları</v>
      </c>
      <c r="B25" s="2">
        <f>IFERROR(HLOOKUP(B$1,Data!$1:$149,ROW(Bilanço!$A25),0),"")</f>
        <v>0</v>
      </c>
      <c r="C25" s="2">
        <f>IFERROR(HLOOKUP(C$1,Data!$1:$149,ROW(Bilanço!$A25),0),"")</f>
        <v>0</v>
      </c>
      <c r="D25" s="2">
        <f>IFERROR(HLOOKUP(D$1,Data!$1:$149,ROW(Bilanço!$A25),0),"")</f>
        <v>0</v>
      </c>
      <c r="E25" s="2">
        <f>IFERROR(HLOOKUP(E$1,Data!$1:$149,ROW(Bilanço!$A25),0),"")</f>
        <v>0</v>
      </c>
      <c r="F25" s="2">
        <f>IFERROR(HLOOKUP(F$1,Data!$1:$149,ROW(Bilanço!$A25),0),"")</f>
        <v>0</v>
      </c>
      <c r="G25" s="2">
        <f>IFERROR(HLOOKUP(G$1,Data!$1:$149,ROW(Bilanço!$A25),0),"")</f>
        <v>0</v>
      </c>
      <c r="H25" s="2">
        <f>IFERROR(HLOOKUP(H$1,Data!$1:$149,ROW(Bilanço!$A25),0),"")</f>
        <v>0</v>
      </c>
      <c r="I25" s="2">
        <f>IFERROR(HLOOKUP(I$1,Data!$1:$149,ROW(Bilanço!$A25),0),"")</f>
        <v>0</v>
      </c>
      <c r="J25" s="3">
        <f>IFERROR(HLOOKUP(J$1,Data!$1:$149,ROW(Bilanço!$A25),0),"")</f>
        <v>0</v>
      </c>
      <c r="K25" s="3">
        <f>IFERROR(HLOOKUP(K$1,Data!$1:$149,ROW(Bilanço!$A25),0),"")</f>
        <v>0</v>
      </c>
      <c r="L25" s="3">
        <f>IFERROR(HLOOKUP(L$1,Data!$1:$149,ROW(Bilanço!$A25),0),"")</f>
        <v>0</v>
      </c>
      <c r="M25" s="3">
        <f>IFERROR(HLOOKUP(M$1,Data!$1:$149,ROW(Bilanço!$A25),0),"")</f>
        <v>0</v>
      </c>
      <c r="N25" s="3">
        <f>IFERROR(HLOOKUP(N$1,Data!$1:$149,ROW(Bilanço!$A25),0),"")</f>
        <v>0</v>
      </c>
      <c r="O25" s="3">
        <f>IFERROR(HLOOKUP(O$1,Data!$1:$149,ROW(Bilanço!$A25),0),"")</f>
        <v>0</v>
      </c>
      <c r="P25" s="3">
        <f>IFERROR(HLOOKUP(P$1,Data!$1:$149,ROW(Bilanço!$A25),0),"")</f>
        <v>0</v>
      </c>
      <c r="Q25" s="3">
        <f>IFERROR(HLOOKUP(Q$1,Data!$1:$149,ROW(Bilanço!$A25),0),"")</f>
        <v>0</v>
      </c>
      <c r="R25" s="3">
        <f>IFERROR(HLOOKUP(R$1,Data!$1:$149,ROW(Bilanço!$A25),0),"")</f>
        <v>0</v>
      </c>
      <c r="S25" s="3">
        <f>IFERROR(HLOOKUP(S$1,Data!$1:$149,ROW(Bilanço!$A25),0),"")</f>
        <v>0</v>
      </c>
      <c r="T25" s="3">
        <f>IFERROR(HLOOKUP(T$1,Data!$1:$149,ROW(Bilanço!$A25),0),"")</f>
        <v>0</v>
      </c>
      <c r="U25" s="3">
        <f>IFERROR(HLOOKUP(U$1,Data!$1:$149,ROW(Bilanço!$A25),0),"")</f>
        <v>0</v>
      </c>
      <c r="V25" s="3">
        <f>IFERROR(HLOOKUP(V$1,Data!$1:$149,ROW(Bilanço!$A25),0),"")</f>
        <v>0</v>
      </c>
      <c r="W25" s="3">
        <f>IFERROR(HLOOKUP(W$1,Data!$1:$149,ROW(Bilanço!$A25),0),"")</f>
        <v>0</v>
      </c>
      <c r="X25" s="3">
        <f>IFERROR(HLOOKUP(X$1,Data!$1:$149,ROW(Bilanço!$A25),0),"")</f>
        <v>0</v>
      </c>
    </row>
    <row r="26" spans="1:24" x14ac:dyDescent="0.25">
      <c r="A26" t="str">
        <f>Data!A26</f>
        <v xml:space="preserve">  Maddi Duran Varlıklar</v>
      </c>
      <c r="B26" s="2">
        <f>IFERROR(HLOOKUP(B$1,Data!$1:$149,ROW(Bilanço!$A26),0),"")</f>
        <v>2394753000</v>
      </c>
      <c r="C26" s="2">
        <f>IFERROR(HLOOKUP(C$1,Data!$1:$149,ROW(Bilanço!$A26),0),"")</f>
        <v>2418095000</v>
      </c>
      <c r="D26" s="2">
        <f>IFERROR(HLOOKUP(D$1,Data!$1:$149,ROW(Bilanço!$A26),0),"")</f>
        <v>2491983000</v>
      </c>
      <c r="E26" s="2">
        <f>IFERROR(HLOOKUP(E$1,Data!$1:$149,ROW(Bilanço!$A26),0),"")</f>
        <v>2846826000</v>
      </c>
      <c r="F26" s="2">
        <f>IFERROR(HLOOKUP(F$1,Data!$1:$149,ROW(Bilanço!$A26),0),"")</f>
        <v>2747508000</v>
      </c>
      <c r="G26" s="2">
        <f>IFERROR(HLOOKUP(G$1,Data!$1:$149,ROW(Bilanço!$A26),0),"")</f>
        <v>2791451000</v>
      </c>
      <c r="H26" s="2">
        <f>IFERROR(HLOOKUP(H$1,Data!$1:$149,ROW(Bilanço!$A26),0),"")</f>
        <v>2943696000</v>
      </c>
      <c r="I26" s="2">
        <f>IFERROR(HLOOKUP(I$1,Data!$1:$149,ROW(Bilanço!$A26),0),"")</f>
        <v>3640893000</v>
      </c>
      <c r="J26" s="3">
        <f>IFERROR(HLOOKUP(J$1,Data!$1:$149,ROW(Bilanço!$A26),0),"")</f>
        <v>3680546000</v>
      </c>
      <c r="K26" s="3">
        <f>IFERROR(HLOOKUP(K$1,Data!$1:$149,ROW(Bilanço!$A26),0),"")</f>
        <v>3869100000</v>
      </c>
      <c r="L26" s="3">
        <f>IFERROR(HLOOKUP(L$1,Data!$1:$149,ROW(Bilanço!$A26),0),"")</f>
        <v>4084893000</v>
      </c>
      <c r="M26" s="3">
        <f>IFERROR(HLOOKUP(M$1,Data!$1:$149,ROW(Bilanço!$A26),0),"")</f>
        <v>14702973000</v>
      </c>
      <c r="N26" s="3">
        <f>IFERROR(HLOOKUP(N$1,Data!$1:$149,ROW(Bilanço!$A26),0),"")</f>
        <v>6823652000</v>
      </c>
      <c r="O26" s="3">
        <f>IFERROR(HLOOKUP(O$1,Data!$1:$149,ROW(Bilanço!$A26),0),"")</f>
        <v>7446514000</v>
      </c>
      <c r="P26" s="3">
        <f>IFERROR(HLOOKUP(P$1,Data!$1:$149,ROW(Bilanço!$A26),0),"")</f>
        <v>7676919000</v>
      </c>
      <c r="Q26" s="3">
        <f>IFERROR(HLOOKUP(Q$1,Data!$1:$149,ROW(Bilanço!$A26),0),"")</f>
        <v>23496675000</v>
      </c>
      <c r="R26" s="3">
        <f>IFERROR(HLOOKUP(R$1,Data!$1:$149,ROW(Bilanço!$A26),0),"")</f>
        <v>18307403000</v>
      </c>
      <c r="S26" s="3">
        <f>IFERROR(HLOOKUP(S$1,Data!$1:$149,ROW(Bilanço!$A26),0),"")</f>
        <v>19590032000</v>
      </c>
      <c r="T26" s="3">
        <f>IFERROR(HLOOKUP(T$1,Data!$1:$149,ROW(Bilanço!$A26),0),"")</f>
        <v>21438911000</v>
      </c>
      <c r="U26" s="3">
        <f>IFERROR(HLOOKUP(U$1,Data!$1:$149,ROW(Bilanço!$A26),0),"")</f>
        <v>29171294705</v>
      </c>
      <c r="V26" s="3">
        <f>IFERROR(HLOOKUP(V$1,Data!$1:$149,ROW(Bilanço!$A26),0),"")</f>
        <v>25199949000</v>
      </c>
      <c r="W26" s="3">
        <f>IFERROR(HLOOKUP(W$1,Data!$1:$149,ROW(Bilanço!$A26),0),"")</f>
        <v>26432007000</v>
      </c>
      <c r="X26" s="3">
        <f>IFERROR(HLOOKUP(X$1,Data!$1:$149,ROW(Bilanço!$A26),0),"")</f>
        <v>28267630000</v>
      </c>
    </row>
    <row r="27" spans="1:24" x14ac:dyDescent="0.25">
      <c r="A27" t="str">
        <f>Data!A27</f>
        <v xml:space="preserve">  Şerefiye</v>
      </c>
      <c r="B27" s="2">
        <f>IFERROR(HLOOKUP(B$1,Data!$1:$149,ROW(Bilanço!$A27),0),"")</f>
        <v>402089000</v>
      </c>
      <c r="C27" s="2">
        <f>IFERROR(HLOOKUP(C$1,Data!$1:$149,ROW(Bilanço!$A27),0),"")</f>
        <v>420567000</v>
      </c>
      <c r="D27" s="2">
        <f>IFERROR(HLOOKUP(D$1,Data!$1:$149,ROW(Bilanço!$A27),0),"")</f>
        <v>500542000</v>
      </c>
      <c r="E27" s="2">
        <f>IFERROR(HLOOKUP(E$1,Data!$1:$149,ROW(Bilanço!$A27),0),"")</f>
        <v>496196000</v>
      </c>
      <c r="F27" s="2">
        <f>IFERROR(HLOOKUP(F$1,Data!$1:$149,ROW(Bilanço!$A27),0),"")</f>
        <v>570911000</v>
      </c>
      <c r="G27" s="2">
        <f>IFERROR(HLOOKUP(G$1,Data!$1:$149,ROW(Bilanço!$A27),0),"")</f>
        <v>598840000</v>
      </c>
      <c r="H27" s="2">
        <f>IFERROR(HLOOKUP(H$1,Data!$1:$149,ROW(Bilanço!$A27),0),"")</f>
        <v>594683000</v>
      </c>
      <c r="I27" s="2">
        <f>IFERROR(HLOOKUP(I$1,Data!$1:$149,ROW(Bilanço!$A27),0),"")</f>
        <v>896538000</v>
      </c>
      <c r="J27" s="3">
        <f>IFERROR(HLOOKUP(J$1,Data!$1:$149,ROW(Bilanço!$A27),0),"")</f>
        <v>957117000</v>
      </c>
      <c r="K27" s="3">
        <f>IFERROR(HLOOKUP(K$1,Data!$1:$149,ROW(Bilanço!$A27),0),"")</f>
        <v>1006742000</v>
      </c>
      <c r="L27" s="3">
        <f>IFERROR(HLOOKUP(L$1,Data!$1:$149,ROW(Bilanço!$A27),0),"")</f>
        <v>1027022000</v>
      </c>
      <c r="M27" s="3">
        <f>IFERROR(HLOOKUP(M$1,Data!$1:$149,ROW(Bilanço!$A27),0),"")</f>
        <v>1849100000</v>
      </c>
      <c r="N27" s="3">
        <f>IFERROR(HLOOKUP(N$1,Data!$1:$149,ROW(Bilanço!$A27),0),"")</f>
        <v>1180644000</v>
      </c>
      <c r="O27" s="3">
        <f>IFERROR(HLOOKUP(O$1,Data!$1:$149,ROW(Bilanço!$A27),0),"")</f>
        <v>1637099000</v>
      </c>
      <c r="P27" s="3">
        <f>IFERROR(HLOOKUP(P$1,Data!$1:$149,ROW(Bilanço!$A27),0),"")</f>
        <v>1670732000</v>
      </c>
      <c r="Q27" s="3">
        <f>IFERROR(HLOOKUP(Q$1,Data!$1:$149,ROW(Bilanço!$A27),0),"")</f>
        <v>2697488000</v>
      </c>
      <c r="R27" s="3">
        <f>IFERROR(HLOOKUP(R$1,Data!$1:$149,ROW(Bilanço!$A27),0),"")</f>
        <v>2029258000</v>
      </c>
      <c r="S27" s="3">
        <f>IFERROR(HLOOKUP(S$1,Data!$1:$149,ROW(Bilanço!$A27),0),"")</f>
        <v>2067681000</v>
      </c>
      <c r="T27" s="3">
        <f>IFERROR(HLOOKUP(T$1,Data!$1:$149,ROW(Bilanço!$A27),0),"")</f>
        <v>2272486000</v>
      </c>
      <c r="U27" s="3">
        <f>IFERROR(HLOOKUP(U$1,Data!$1:$149,ROW(Bilanço!$A27),0),"")</f>
        <v>2766906467</v>
      </c>
      <c r="V27" s="3">
        <f>IFERROR(HLOOKUP(V$1,Data!$1:$149,ROW(Bilanço!$A27),0),"")</f>
        <v>2434935000</v>
      </c>
      <c r="W27" s="3">
        <f>IFERROR(HLOOKUP(W$1,Data!$1:$149,ROW(Bilanço!$A27),0),"")</f>
        <v>2713447000</v>
      </c>
      <c r="X27" s="3">
        <f>IFERROR(HLOOKUP(X$1,Data!$1:$149,ROW(Bilanço!$A27),0),"")</f>
        <v>2779480000</v>
      </c>
    </row>
    <row r="28" spans="1:24" x14ac:dyDescent="0.25">
      <c r="A28" t="str">
        <f>Data!A28</f>
        <v xml:space="preserve">  Maddi Olmayan Duran Varlıklar</v>
      </c>
      <c r="B28" s="2">
        <f>IFERROR(HLOOKUP(B$1,Data!$1:$149,ROW(Bilanço!$A28),0),"")</f>
        <v>317795000</v>
      </c>
      <c r="C28" s="2">
        <f>IFERROR(HLOOKUP(C$1,Data!$1:$149,ROW(Bilanço!$A28),0),"")</f>
        <v>333876000</v>
      </c>
      <c r="D28" s="2">
        <f>IFERROR(HLOOKUP(D$1,Data!$1:$149,ROW(Bilanço!$A28),0),"")</f>
        <v>382076000</v>
      </c>
      <c r="E28" s="2">
        <f>IFERROR(HLOOKUP(E$1,Data!$1:$149,ROW(Bilanço!$A28),0),"")</f>
        <v>363782000</v>
      </c>
      <c r="F28" s="2">
        <f>IFERROR(HLOOKUP(F$1,Data!$1:$149,ROW(Bilanço!$A28),0),"")</f>
        <v>410498000</v>
      </c>
      <c r="G28" s="2">
        <f>IFERROR(HLOOKUP(G$1,Data!$1:$149,ROW(Bilanço!$A28),0),"")</f>
        <v>429141000</v>
      </c>
      <c r="H28" s="2">
        <f>IFERROR(HLOOKUP(H$1,Data!$1:$149,ROW(Bilanço!$A28),0),"")</f>
        <v>434733000</v>
      </c>
      <c r="I28" s="2">
        <f>IFERROR(HLOOKUP(I$1,Data!$1:$149,ROW(Bilanço!$A28),0),"")</f>
        <v>651304000</v>
      </c>
      <c r="J28" s="3">
        <f>IFERROR(HLOOKUP(J$1,Data!$1:$149,ROW(Bilanço!$A28),0),"")</f>
        <v>710073000</v>
      </c>
      <c r="K28" s="3">
        <f>IFERROR(HLOOKUP(K$1,Data!$1:$149,ROW(Bilanço!$A28),0),"")</f>
        <v>795929000</v>
      </c>
      <c r="L28" s="3">
        <f>IFERROR(HLOOKUP(L$1,Data!$1:$149,ROW(Bilanço!$A28),0),"")</f>
        <v>871513000</v>
      </c>
      <c r="M28" s="3">
        <f>IFERROR(HLOOKUP(M$1,Data!$1:$149,ROW(Bilanço!$A28),0),"")</f>
        <v>1480106000</v>
      </c>
      <c r="N28" s="3">
        <f>IFERROR(HLOOKUP(N$1,Data!$1:$149,ROW(Bilanço!$A28),0),"")</f>
        <v>920027000</v>
      </c>
      <c r="O28" s="3">
        <f>IFERROR(HLOOKUP(O$1,Data!$1:$149,ROW(Bilanço!$A28),0),"")</f>
        <v>1243170000</v>
      </c>
      <c r="P28" s="3">
        <f>IFERROR(HLOOKUP(P$1,Data!$1:$149,ROW(Bilanço!$A28),0),"")</f>
        <v>1307032000</v>
      </c>
      <c r="Q28" s="3">
        <f>IFERROR(HLOOKUP(Q$1,Data!$1:$149,ROW(Bilanço!$A28),0),"")</f>
        <v>2049530000</v>
      </c>
      <c r="R28" s="3">
        <f>IFERROR(HLOOKUP(R$1,Data!$1:$149,ROW(Bilanço!$A28),0),"")</f>
        <v>1556256000</v>
      </c>
      <c r="S28" s="3">
        <f>IFERROR(HLOOKUP(S$1,Data!$1:$149,ROW(Bilanço!$A28),0),"")</f>
        <v>1581241000</v>
      </c>
      <c r="T28" s="3">
        <f>IFERROR(HLOOKUP(T$1,Data!$1:$149,ROW(Bilanço!$A28),0),"")</f>
        <v>1658872000</v>
      </c>
      <c r="U28" s="3">
        <f>IFERROR(HLOOKUP(U$1,Data!$1:$149,ROW(Bilanço!$A28),0),"")</f>
        <v>2127769968</v>
      </c>
      <c r="V28" s="3">
        <f>IFERROR(HLOOKUP(V$1,Data!$1:$149,ROW(Bilanço!$A28),0),"")</f>
        <v>1826601000</v>
      </c>
      <c r="W28" s="3">
        <f>IFERROR(HLOOKUP(W$1,Data!$1:$149,ROW(Bilanço!$A28),0),"")</f>
        <v>1942223000</v>
      </c>
      <c r="X28" s="3">
        <f>IFERROR(HLOOKUP(X$1,Data!$1:$149,ROW(Bilanço!$A28),0),"")</f>
        <v>2026672000</v>
      </c>
    </row>
    <row r="29" spans="1:24" x14ac:dyDescent="0.25">
      <c r="A29" t="str">
        <f>Data!A29</f>
        <v xml:space="preserve">  Ertelenmiş Vergi Varlığı</v>
      </c>
      <c r="B29" s="2">
        <f>IFERROR(HLOOKUP(B$1,Data!$1:$149,ROW(Bilanço!$A29),0),"")</f>
        <v>40508000</v>
      </c>
      <c r="C29" s="2">
        <f>IFERROR(HLOOKUP(C$1,Data!$1:$149,ROW(Bilanço!$A29),0),"")</f>
        <v>34275000</v>
      </c>
      <c r="D29" s="2">
        <f>IFERROR(HLOOKUP(D$1,Data!$1:$149,ROW(Bilanço!$A29),0),"")</f>
        <v>41955000</v>
      </c>
      <c r="E29" s="2">
        <f>IFERROR(HLOOKUP(E$1,Data!$1:$149,ROW(Bilanço!$A29),0),"")</f>
        <v>30467000</v>
      </c>
      <c r="F29" s="2">
        <f>IFERROR(HLOOKUP(F$1,Data!$1:$149,ROW(Bilanço!$A29),0),"")</f>
        <v>31047000</v>
      </c>
      <c r="G29" s="2">
        <f>IFERROR(HLOOKUP(G$1,Data!$1:$149,ROW(Bilanço!$A29),0),"")</f>
        <v>34417000</v>
      </c>
      <c r="H29" s="2">
        <f>IFERROR(HLOOKUP(H$1,Data!$1:$149,ROW(Bilanço!$A29),0),"")</f>
        <v>40028000</v>
      </c>
      <c r="I29" s="2">
        <f>IFERROR(HLOOKUP(I$1,Data!$1:$149,ROW(Bilanço!$A29),0),"")</f>
        <v>327839000</v>
      </c>
      <c r="J29" s="3">
        <f>IFERROR(HLOOKUP(J$1,Data!$1:$149,ROW(Bilanço!$A29),0),"")</f>
        <v>500654000</v>
      </c>
      <c r="K29" s="3">
        <f>IFERROR(HLOOKUP(K$1,Data!$1:$149,ROW(Bilanço!$A29),0),"")</f>
        <v>730652000</v>
      </c>
      <c r="L29" s="3">
        <f>IFERROR(HLOOKUP(L$1,Data!$1:$149,ROW(Bilanço!$A29),0),"")</f>
        <v>829582000</v>
      </c>
      <c r="M29" s="3">
        <f>IFERROR(HLOOKUP(M$1,Data!$1:$149,ROW(Bilanço!$A29),0),"")</f>
        <v>1703599000</v>
      </c>
      <c r="N29" s="3">
        <f>IFERROR(HLOOKUP(N$1,Data!$1:$149,ROW(Bilanço!$A29),0),"")</f>
        <v>1114303000</v>
      </c>
      <c r="O29" s="3">
        <f>IFERROR(HLOOKUP(O$1,Data!$1:$149,ROW(Bilanço!$A29),0),"")</f>
        <v>1678155000</v>
      </c>
      <c r="P29" s="3">
        <f>IFERROR(HLOOKUP(P$1,Data!$1:$149,ROW(Bilanço!$A29),0),"")</f>
        <v>2071276000</v>
      </c>
      <c r="Q29" s="3">
        <f>IFERROR(HLOOKUP(Q$1,Data!$1:$149,ROW(Bilanço!$A29),0),"")</f>
        <v>1168117000</v>
      </c>
      <c r="R29" s="3">
        <f>IFERROR(HLOOKUP(R$1,Data!$1:$149,ROW(Bilanço!$A29),0),"")</f>
        <v>245128000</v>
      </c>
      <c r="S29" s="3">
        <f>IFERROR(HLOOKUP(S$1,Data!$1:$149,ROW(Bilanço!$A29),0),"")</f>
        <v>407308000</v>
      </c>
      <c r="T29" s="3">
        <f>IFERROR(HLOOKUP(T$1,Data!$1:$149,ROW(Bilanço!$A29),0),"")</f>
        <v>756229000</v>
      </c>
      <c r="U29" s="3">
        <f>IFERROR(HLOOKUP(U$1,Data!$1:$149,ROW(Bilanço!$A29),0),"")</f>
        <v>193234314</v>
      </c>
      <c r="V29" s="3">
        <f>IFERROR(HLOOKUP(V$1,Data!$1:$149,ROW(Bilanço!$A29),0),"")</f>
        <v>110485000</v>
      </c>
      <c r="W29" s="3">
        <f>IFERROR(HLOOKUP(W$1,Data!$1:$149,ROW(Bilanço!$A29),0),"")</f>
        <v>220504000</v>
      </c>
      <c r="X29" s="3">
        <f>IFERROR(HLOOKUP(X$1,Data!$1:$149,ROW(Bilanço!$A29),0),"")</f>
        <v>80675000</v>
      </c>
    </row>
    <row r="30" spans="1:24" x14ac:dyDescent="0.25">
      <c r="A30" t="str">
        <f>Data!A30</f>
        <v xml:space="preserve">  Diğer Duran Varlıklar</v>
      </c>
      <c r="B30" s="2">
        <f>IFERROR(HLOOKUP(B$1,Data!$1:$149,ROW(Bilanço!$A30),0),"")</f>
        <v>5124000</v>
      </c>
      <c r="C30" s="2">
        <f>IFERROR(HLOOKUP(C$1,Data!$1:$149,ROW(Bilanço!$A30),0),"")</f>
        <v>11362000</v>
      </c>
      <c r="D30" s="2">
        <f>IFERROR(HLOOKUP(D$1,Data!$1:$149,ROW(Bilanço!$A30),0),"")</f>
        <v>17101000</v>
      </c>
      <c r="E30" s="2">
        <f>IFERROR(HLOOKUP(E$1,Data!$1:$149,ROW(Bilanço!$A30),0),"")</f>
        <v>48664000</v>
      </c>
      <c r="F30" s="2">
        <f>IFERROR(HLOOKUP(F$1,Data!$1:$149,ROW(Bilanço!$A30),0),"")</f>
        <v>65441000</v>
      </c>
      <c r="G30" s="2">
        <f>IFERROR(HLOOKUP(G$1,Data!$1:$149,ROW(Bilanço!$A30),0),"")</f>
        <v>58341000</v>
      </c>
      <c r="H30" s="2">
        <f>IFERROR(HLOOKUP(H$1,Data!$1:$149,ROW(Bilanço!$A30),0),"")</f>
        <v>42216000</v>
      </c>
      <c r="I30" s="2">
        <f>IFERROR(HLOOKUP(I$1,Data!$1:$149,ROW(Bilanço!$A30),0),"")</f>
        <v>83633000</v>
      </c>
      <c r="J30" s="3">
        <f>IFERROR(HLOOKUP(J$1,Data!$1:$149,ROW(Bilanço!$A30),0),"")</f>
        <v>79254000</v>
      </c>
      <c r="K30" s="3">
        <f>IFERROR(HLOOKUP(K$1,Data!$1:$149,ROW(Bilanço!$A30),0),"")</f>
        <v>92829000</v>
      </c>
      <c r="L30" s="3">
        <f>IFERROR(HLOOKUP(L$1,Data!$1:$149,ROW(Bilanço!$A30),0),"")</f>
        <v>111404000</v>
      </c>
      <c r="M30" s="3">
        <f>IFERROR(HLOOKUP(M$1,Data!$1:$149,ROW(Bilanço!$A30),0),"")</f>
        <v>212396000</v>
      </c>
      <c r="N30" s="3">
        <f>IFERROR(HLOOKUP(N$1,Data!$1:$149,ROW(Bilanço!$A30),0),"")</f>
        <v>34035000</v>
      </c>
      <c r="O30" s="3">
        <f>IFERROR(HLOOKUP(O$1,Data!$1:$149,ROW(Bilanço!$A30),0),"")</f>
        <v>121005000</v>
      </c>
      <c r="P30" s="3">
        <f>IFERROR(HLOOKUP(P$1,Data!$1:$149,ROW(Bilanço!$A30),0),"")</f>
        <v>131153000</v>
      </c>
      <c r="Q30" s="3">
        <f>IFERROR(HLOOKUP(Q$1,Data!$1:$149,ROW(Bilanço!$A30),0),"")</f>
        <v>319761000</v>
      </c>
      <c r="R30" s="3">
        <f>IFERROR(HLOOKUP(R$1,Data!$1:$149,ROW(Bilanço!$A30),0),"")</f>
        <v>195314000</v>
      </c>
      <c r="S30" s="3">
        <f>IFERROR(HLOOKUP(S$1,Data!$1:$149,ROW(Bilanço!$A30),0),"")</f>
        <v>252456000</v>
      </c>
      <c r="T30" s="3">
        <f>IFERROR(HLOOKUP(T$1,Data!$1:$149,ROW(Bilanço!$A30),0),"")</f>
        <v>211090000</v>
      </c>
      <c r="U30" s="3">
        <f>IFERROR(HLOOKUP(U$1,Data!$1:$149,ROW(Bilanço!$A30),0),"")</f>
        <v>134367700</v>
      </c>
      <c r="V30" s="3">
        <f>IFERROR(HLOOKUP(V$1,Data!$1:$149,ROW(Bilanço!$A30),0),"")</f>
        <v>144902000</v>
      </c>
      <c r="W30" s="3">
        <f>IFERROR(HLOOKUP(W$1,Data!$1:$149,ROW(Bilanço!$A30),0),"")</f>
        <v>145776000</v>
      </c>
      <c r="X30" s="3">
        <f>IFERROR(HLOOKUP(X$1,Data!$1:$149,ROW(Bilanço!$A30),0),"")</f>
        <v>128518000</v>
      </c>
    </row>
    <row r="31" spans="1:24" x14ac:dyDescent="0.25">
      <c r="A31" t="str">
        <f>Data!A31</f>
        <v>TOPLAM VARLIKLAR</v>
      </c>
      <c r="B31" s="2">
        <f>IFERROR(HLOOKUP(B$1,Data!$1:$149,ROW(Bilanço!$A31),0),"")</f>
        <v>13352306000</v>
      </c>
      <c r="C31" s="2">
        <f>IFERROR(HLOOKUP(C$1,Data!$1:$149,ROW(Bilanço!$A31),0),"")</f>
        <v>14646534000</v>
      </c>
      <c r="D31" s="2">
        <f>IFERROR(HLOOKUP(D$1,Data!$1:$149,ROW(Bilanço!$A31),0),"")</f>
        <v>16490984000</v>
      </c>
      <c r="E31" s="2">
        <f>IFERROR(HLOOKUP(E$1,Data!$1:$149,ROW(Bilanço!$A31),0),"")</f>
        <v>19491674000</v>
      </c>
      <c r="F31" s="2">
        <f>IFERROR(HLOOKUP(F$1,Data!$1:$149,ROW(Bilanço!$A31),0),"")</f>
        <v>20168907000</v>
      </c>
      <c r="G31" s="2">
        <f>IFERROR(HLOOKUP(G$1,Data!$1:$149,ROW(Bilanço!$A31),0),"")</f>
        <v>20295531000</v>
      </c>
      <c r="H31" s="2">
        <f>IFERROR(HLOOKUP(H$1,Data!$1:$149,ROW(Bilanço!$A31),0),"")</f>
        <v>18886371000</v>
      </c>
      <c r="I31" s="2">
        <f>IFERROR(HLOOKUP(I$1,Data!$1:$149,ROW(Bilanço!$A31),0),"")</f>
        <v>26243625000</v>
      </c>
      <c r="J31" s="3">
        <f>IFERROR(HLOOKUP(J$1,Data!$1:$149,ROW(Bilanço!$A31),0),"")</f>
        <v>28760684000</v>
      </c>
      <c r="K31" s="3">
        <f>IFERROR(HLOOKUP(K$1,Data!$1:$149,ROW(Bilanço!$A31),0),"")</f>
        <v>31330846000</v>
      </c>
      <c r="L31" s="3">
        <f>IFERROR(HLOOKUP(L$1,Data!$1:$149,ROW(Bilanço!$A31),0),"")</f>
        <v>34607753000</v>
      </c>
      <c r="M31" s="3">
        <f>IFERROR(HLOOKUP(M$1,Data!$1:$149,ROW(Bilanço!$A31),0),"")</f>
        <v>66149172000</v>
      </c>
      <c r="N31" s="3">
        <f>IFERROR(HLOOKUP(N$1,Data!$1:$149,ROW(Bilanço!$A31),0),"")</f>
        <v>41322972000</v>
      </c>
      <c r="O31" s="3">
        <f>IFERROR(HLOOKUP(O$1,Data!$1:$149,ROW(Bilanço!$A31),0),"")</f>
        <v>44926068000</v>
      </c>
      <c r="P31" s="3">
        <f>IFERROR(HLOOKUP(P$1,Data!$1:$149,ROW(Bilanço!$A31),0),"")</f>
        <v>48060699000</v>
      </c>
      <c r="Q31" s="3">
        <f>IFERROR(HLOOKUP(Q$1,Data!$1:$149,ROW(Bilanço!$A31),0),"")</f>
        <v>88922371000</v>
      </c>
      <c r="R31" s="3">
        <f>IFERROR(HLOOKUP(R$1,Data!$1:$149,ROW(Bilanço!$A31),0),"")</f>
        <v>70253658000</v>
      </c>
      <c r="S31" s="3">
        <f>IFERROR(HLOOKUP(S$1,Data!$1:$149,ROW(Bilanço!$A31),0),"")</f>
        <v>76252568000</v>
      </c>
      <c r="T31" s="3">
        <f>IFERROR(HLOOKUP(T$1,Data!$1:$149,ROW(Bilanço!$A31),0),"")</f>
        <v>89877783000</v>
      </c>
      <c r="U31" s="3">
        <f>IFERROR(HLOOKUP(U$1,Data!$1:$149,ROW(Bilanço!$A31),0),"")</f>
        <v>122215375618</v>
      </c>
      <c r="V31" s="3">
        <f>IFERROR(HLOOKUP(V$1,Data!$1:$149,ROW(Bilanço!$A31),0),"")</f>
        <v>112279639000</v>
      </c>
      <c r="W31" s="3">
        <f>IFERROR(HLOOKUP(W$1,Data!$1:$149,ROW(Bilanço!$A31),0),"")</f>
        <v>121715463000</v>
      </c>
      <c r="X31" s="3">
        <f>IFERROR(HLOOKUP(X$1,Data!$1:$149,ROW(Bilanço!$A31),0),"")</f>
        <v>129208588000</v>
      </c>
    </row>
    <row r="32" spans="1:24" x14ac:dyDescent="0.25">
      <c r="A32" t="str">
        <f>Data!A32</f>
        <v>KAYNAKLAR</v>
      </c>
      <c r="B32" s="2">
        <f>IFERROR(HLOOKUP(B$1,Data!$1:$149,ROW(Bilanço!$A32),0),"")</f>
        <v>0</v>
      </c>
      <c r="C32" s="2">
        <f>IFERROR(HLOOKUP(C$1,Data!$1:$149,ROW(Bilanço!$A32),0),"")</f>
        <v>0</v>
      </c>
      <c r="D32" s="2">
        <f>IFERROR(HLOOKUP(D$1,Data!$1:$149,ROW(Bilanço!$A32),0),"")</f>
        <v>0</v>
      </c>
      <c r="E32" s="2">
        <f>IFERROR(HLOOKUP(E$1,Data!$1:$149,ROW(Bilanço!$A32),0),"")</f>
        <v>0</v>
      </c>
      <c r="F32" s="2">
        <f>IFERROR(HLOOKUP(F$1,Data!$1:$149,ROW(Bilanço!$A32),0),"")</f>
        <v>0</v>
      </c>
      <c r="G32" s="2">
        <f>IFERROR(HLOOKUP(G$1,Data!$1:$149,ROW(Bilanço!$A32),0),"")</f>
        <v>0</v>
      </c>
      <c r="H32" s="2">
        <f>IFERROR(HLOOKUP(H$1,Data!$1:$149,ROW(Bilanço!$A32),0),"")</f>
        <v>0</v>
      </c>
      <c r="I32" s="2">
        <f>IFERROR(HLOOKUP(I$1,Data!$1:$149,ROW(Bilanço!$A32),0),"")</f>
        <v>0</v>
      </c>
      <c r="J32" s="3">
        <f>IFERROR(HLOOKUP(J$1,Data!$1:$149,ROW(Bilanço!$A32),0),"")</f>
        <v>0</v>
      </c>
      <c r="K32" s="3">
        <f>IFERROR(HLOOKUP(K$1,Data!$1:$149,ROW(Bilanço!$A32),0),"")</f>
        <v>0</v>
      </c>
      <c r="L32" s="3">
        <f>IFERROR(HLOOKUP(L$1,Data!$1:$149,ROW(Bilanço!$A32),0),"")</f>
        <v>0</v>
      </c>
      <c r="M32" s="3">
        <f>IFERROR(HLOOKUP(M$1,Data!$1:$149,ROW(Bilanço!$A32),0),"")</f>
        <v>0</v>
      </c>
      <c r="N32" s="3">
        <f>IFERROR(HLOOKUP(N$1,Data!$1:$149,ROW(Bilanço!$A32),0),"")</f>
        <v>0</v>
      </c>
      <c r="O32" s="3">
        <f>IFERROR(HLOOKUP(O$1,Data!$1:$149,ROW(Bilanço!$A32),0),"")</f>
        <v>0</v>
      </c>
      <c r="P32" s="3">
        <f>IFERROR(HLOOKUP(P$1,Data!$1:$149,ROW(Bilanço!$A32),0),"")</f>
        <v>0</v>
      </c>
      <c r="Q32" s="3">
        <f>IFERROR(HLOOKUP(Q$1,Data!$1:$149,ROW(Bilanço!$A32),0),"")</f>
        <v>0</v>
      </c>
      <c r="R32" s="3">
        <f>IFERROR(HLOOKUP(R$1,Data!$1:$149,ROW(Bilanço!$A32),0),"")</f>
        <v>0</v>
      </c>
      <c r="S32" s="3">
        <f>IFERROR(HLOOKUP(S$1,Data!$1:$149,ROW(Bilanço!$A32),0),"")</f>
        <v>0</v>
      </c>
      <c r="T32" s="3">
        <f>IFERROR(HLOOKUP(T$1,Data!$1:$149,ROW(Bilanço!$A32),0),"")</f>
        <v>0</v>
      </c>
      <c r="U32" s="3">
        <f>IFERROR(HLOOKUP(U$1,Data!$1:$149,ROW(Bilanço!$A32),0),"")</f>
        <v>0</v>
      </c>
      <c r="V32" s="3">
        <f>IFERROR(HLOOKUP(V$1,Data!$1:$149,ROW(Bilanço!$A32),0),"")</f>
        <v>0</v>
      </c>
      <c r="W32" s="3">
        <f>IFERROR(HLOOKUP(W$1,Data!$1:$149,ROW(Bilanço!$A32),0),"")</f>
        <v>0</v>
      </c>
      <c r="X32" s="3">
        <f>IFERROR(HLOOKUP(X$1,Data!$1:$149,ROW(Bilanço!$A32),0),"")</f>
        <v>0</v>
      </c>
    </row>
    <row r="33" spans="1:24" x14ac:dyDescent="0.25">
      <c r="A33" t="str">
        <f>Data!A33</f>
        <v>Kısa Vadeli Yükümlülükler</v>
      </c>
      <c r="B33" s="2">
        <f>IFERROR(HLOOKUP(B$1,Data!$1:$149,ROW(Bilanço!$A33),0),"")</f>
        <v>7422098000</v>
      </c>
      <c r="C33" s="2">
        <f>IFERROR(HLOOKUP(C$1,Data!$1:$149,ROW(Bilanço!$A33),0),"")</f>
        <v>4960025000</v>
      </c>
      <c r="D33" s="2">
        <f>IFERROR(HLOOKUP(D$1,Data!$1:$149,ROW(Bilanço!$A33),0),"")</f>
        <v>5627811000</v>
      </c>
      <c r="E33" s="2">
        <f>IFERROR(HLOOKUP(E$1,Data!$1:$149,ROW(Bilanço!$A33),0),"")</f>
        <v>3230685000</v>
      </c>
      <c r="F33" s="2">
        <f>IFERROR(HLOOKUP(F$1,Data!$1:$149,ROW(Bilanço!$A33),0),"")</f>
        <v>2965605000</v>
      </c>
      <c r="G33" s="2">
        <f>IFERROR(HLOOKUP(G$1,Data!$1:$149,ROW(Bilanço!$A33),0),"")</f>
        <v>2897939000</v>
      </c>
      <c r="H33" s="2">
        <f>IFERROR(HLOOKUP(H$1,Data!$1:$149,ROW(Bilanço!$A33),0),"")</f>
        <v>4209866000</v>
      </c>
      <c r="I33" s="2">
        <f>IFERROR(HLOOKUP(I$1,Data!$1:$149,ROW(Bilanço!$A33),0),"")</f>
        <v>6134222000</v>
      </c>
      <c r="J33" s="3">
        <f>IFERROR(HLOOKUP(J$1,Data!$1:$149,ROW(Bilanço!$A33),0),"")</f>
        <v>7257234000</v>
      </c>
      <c r="K33" s="3">
        <f>IFERROR(HLOOKUP(K$1,Data!$1:$149,ROW(Bilanço!$A33),0),"")</f>
        <v>15092084000</v>
      </c>
      <c r="L33" s="3">
        <f>IFERROR(HLOOKUP(L$1,Data!$1:$149,ROW(Bilanço!$A33),0),"")</f>
        <v>16538508000</v>
      </c>
      <c r="M33" s="3">
        <f>IFERROR(HLOOKUP(M$1,Data!$1:$149,ROW(Bilanço!$A33),0),"")</f>
        <v>27825778000</v>
      </c>
      <c r="N33" s="3">
        <f>IFERROR(HLOOKUP(N$1,Data!$1:$149,ROW(Bilanço!$A33),0),"")</f>
        <v>18784494000</v>
      </c>
      <c r="O33" s="3">
        <f>IFERROR(HLOOKUP(O$1,Data!$1:$149,ROW(Bilanço!$A33),0),"")</f>
        <v>11932732000</v>
      </c>
      <c r="P33" s="3">
        <f>IFERROR(HLOOKUP(P$1,Data!$1:$149,ROW(Bilanço!$A33),0),"")</f>
        <v>12796632000</v>
      </c>
      <c r="Q33" s="3">
        <f>IFERROR(HLOOKUP(Q$1,Data!$1:$149,ROW(Bilanço!$A33),0),"")</f>
        <v>22302898000</v>
      </c>
      <c r="R33" s="3">
        <f>IFERROR(HLOOKUP(R$1,Data!$1:$149,ROW(Bilanço!$A33),0),"")</f>
        <v>17102472000</v>
      </c>
      <c r="S33" s="3">
        <f>IFERROR(HLOOKUP(S$1,Data!$1:$149,ROW(Bilanço!$A33),0),"")</f>
        <v>16466405000</v>
      </c>
      <c r="T33" s="3">
        <f>IFERROR(HLOOKUP(T$1,Data!$1:$149,ROW(Bilanço!$A33),0),"")</f>
        <v>17692904000</v>
      </c>
      <c r="U33" s="3">
        <f>IFERROR(HLOOKUP(U$1,Data!$1:$149,ROW(Bilanço!$A33),0),"")</f>
        <v>35677697443</v>
      </c>
      <c r="V33" s="3">
        <f>IFERROR(HLOOKUP(V$1,Data!$1:$149,ROW(Bilanço!$A33),0),"")</f>
        <v>33982563000</v>
      </c>
      <c r="W33" s="3">
        <f>IFERROR(HLOOKUP(W$1,Data!$1:$149,ROW(Bilanço!$A33),0),"")</f>
        <v>58458705000</v>
      </c>
      <c r="X33" s="3">
        <f>IFERROR(HLOOKUP(X$1,Data!$1:$149,ROW(Bilanço!$A33),0),"")</f>
        <v>60835483000</v>
      </c>
    </row>
    <row r="34" spans="1:24" x14ac:dyDescent="0.25">
      <c r="A34" t="str">
        <f>Data!A34</f>
        <v xml:space="preserve">  Finansal Borçlar</v>
      </c>
      <c r="B34" s="2">
        <f>IFERROR(HLOOKUP(B$1,Data!$1:$149,ROW(Bilanço!$A34),0),"")</f>
        <v>5716650000</v>
      </c>
      <c r="C34" s="2">
        <f>IFERROR(HLOOKUP(C$1,Data!$1:$149,ROW(Bilanço!$A34),0),"")</f>
        <v>3480118000</v>
      </c>
      <c r="D34" s="2">
        <f>IFERROR(HLOOKUP(D$1,Data!$1:$149,ROW(Bilanço!$A34),0),"")</f>
        <v>4067040000</v>
      </c>
      <c r="E34" s="2">
        <f>IFERROR(HLOOKUP(E$1,Data!$1:$149,ROW(Bilanço!$A34),0),"")</f>
        <v>1422950000</v>
      </c>
      <c r="F34" s="2">
        <f>IFERROR(HLOOKUP(F$1,Data!$1:$149,ROW(Bilanço!$A34),0),"")</f>
        <v>859125000</v>
      </c>
      <c r="G34" s="2">
        <f>IFERROR(HLOOKUP(G$1,Data!$1:$149,ROW(Bilanço!$A34),0),"")</f>
        <v>894080000</v>
      </c>
      <c r="H34" s="2">
        <f>IFERROR(HLOOKUP(H$1,Data!$1:$149,ROW(Bilanço!$A34),0),"")</f>
        <v>2176501000</v>
      </c>
      <c r="I34" s="2">
        <f>IFERROR(HLOOKUP(I$1,Data!$1:$149,ROW(Bilanço!$A34),0),"")</f>
        <v>2863049000</v>
      </c>
      <c r="J34" s="3">
        <f>IFERROR(HLOOKUP(J$1,Data!$1:$149,ROW(Bilanço!$A34),0),"")</f>
        <v>3004645000</v>
      </c>
      <c r="K34" s="3">
        <f>IFERROR(HLOOKUP(K$1,Data!$1:$149,ROW(Bilanço!$A34),0),"")</f>
        <v>10678210000</v>
      </c>
      <c r="L34" s="3">
        <f>IFERROR(HLOOKUP(L$1,Data!$1:$149,ROW(Bilanço!$A34),0),"")</f>
        <v>11432567000</v>
      </c>
      <c r="M34" s="3">
        <f>IFERROR(HLOOKUP(M$1,Data!$1:$149,ROW(Bilanço!$A34),0),"")</f>
        <v>18786563000</v>
      </c>
      <c r="N34" s="3">
        <f>IFERROR(HLOOKUP(N$1,Data!$1:$149,ROW(Bilanço!$A34),0),"")</f>
        <v>12373188000</v>
      </c>
      <c r="O34" s="3">
        <f>IFERROR(HLOOKUP(O$1,Data!$1:$149,ROW(Bilanço!$A34),0),"")</f>
        <v>5289154000</v>
      </c>
      <c r="P34" s="3">
        <f>IFERROR(HLOOKUP(P$1,Data!$1:$149,ROW(Bilanço!$A34),0),"")</f>
        <v>4982022000</v>
      </c>
      <c r="Q34" s="3">
        <f>IFERROR(HLOOKUP(Q$1,Data!$1:$149,ROW(Bilanço!$A34),0),"")</f>
        <v>7884018000</v>
      </c>
      <c r="R34" s="3">
        <f>IFERROR(HLOOKUP(R$1,Data!$1:$149,ROW(Bilanço!$A34),0),"")</f>
        <v>6438378000</v>
      </c>
      <c r="S34" s="3">
        <f>IFERROR(HLOOKUP(S$1,Data!$1:$149,ROW(Bilanço!$A34),0),"")</f>
        <v>6267302000</v>
      </c>
      <c r="T34" s="3">
        <f>IFERROR(HLOOKUP(T$1,Data!$1:$149,ROW(Bilanço!$A34),0),"")</f>
        <v>7653636000</v>
      </c>
      <c r="U34" s="3">
        <f>IFERROR(HLOOKUP(U$1,Data!$1:$149,ROW(Bilanço!$A34),0),"")</f>
        <v>19158643303</v>
      </c>
      <c r="V34" s="3">
        <f>IFERROR(HLOOKUP(V$1,Data!$1:$149,ROW(Bilanço!$A34),0),"")</f>
        <v>19899598000</v>
      </c>
      <c r="W34" s="3">
        <f>IFERROR(HLOOKUP(W$1,Data!$1:$149,ROW(Bilanço!$A34),0),"")</f>
        <v>44408262000</v>
      </c>
      <c r="X34" s="3">
        <f>IFERROR(HLOOKUP(X$1,Data!$1:$149,ROW(Bilanço!$A34),0),"")</f>
        <v>46959327000</v>
      </c>
    </row>
    <row r="35" spans="1:24" x14ac:dyDescent="0.25">
      <c r="A35" t="str">
        <f>Data!A35</f>
        <v xml:space="preserve">  Diğer Finansal Yükümlülükler</v>
      </c>
      <c r="B35" s="2">
        <f>IFERROR(HLOOKUP(B$1,Data!$1:$149,ROW(Bilanço!$A35),0),"")</f>
        <v>0</v>
      </c>
      <c r="C35" s="2">
        <f>IFERROR(HLOOKUP(C$1,Data!$1:$149,ROW(Bilanço!$A35),0),"")</f>
        <v>0</v>
      </c>
      <c r="D35" s="2">
        <f>IFERROR(HLOOKUP(D$1,Data!$1:$149,ROW(Bilanço!$A35),0),"")</f>
        <v>0</v>
      </c>
      <c r="E35" s="2">
        <f>IFERROR(HLOOKUP(E$1,Data!$1:$149,ROW(Bilanço!$A35),0),"")</f>
        <v>0</v>
      </c>
      <c r="F35" s="2">
        <f>IFERROR(HLOOKUP(F$1,Data!$1:$149,ROW(Bilanço!$A35),0),"")</f>
        <v>0</v>
      </c>
      <c r="G35" s="2">
        <f>IFERROR(HLOOKUP(G$1,Data!$1:$149,ROW(Bilanço!$A35),0),"")</f>
        <v>0</v>
      </c>
      <c r="H35" s="2">
        <f>IFERROR(HLOOKUP(H$1,Data!$1:$149,ROW(Bilanço!$A35),0),"")</f>
        <v>0</v>
      </c>
      <c r="I35" s="2">
        <f>IFERROR(HLOOKUP(I$1,Data!$1:$149,ROW(Bilanço!$A35),0),"")</f>
        <v>0</v>
      </c>
      <c r="J35" s="3">
        <f>IFERROR(HLOOKUP(J$1,Data!$1:$149,ROW(Bilanço!$A35),0),"")</f>
        <v>0</v>
      </c>
      <c r="K35" s="3">
        <f>IFERROR(HLOOKUP(K$1,Data!$1:$149,ROW(Bilanço!$A35),0),"")</f>
        <v>0</v>
      </c>
      <c r="L35" s="3">
        <f>IFERROR(HLOOKUP(L$1,Data!$1:$149,ROW(Bilanço!$A35),0),"")</f>
        <v>0</v>
      </c>
      <c r="M35" s="3">
        <f>IFERROR(HLOOKUP(M$1,Data!$1:$149,ROW(Bilanço!$A35),0),"")</f>
        <v>0</v>
      </c>
      <c r="N35" s="3">
        <f>IFERROR(HLOOKUP(N$1,Data!$1:$149,ROW(Bilanço!$A35),0),"")</f>
        <v>0</v>
      </c>
      <c r="O35" s="3">
        <f>IFERROR(HLOOKUP(O$1,Data!$1:$149,ROW(Bilanço!$A35),0),"")</f>
        <v>0</v>
      </c>
      <c r="P35" s="3">
        <f>IFERROR(HLOOKUP(P$1,Data!$1:$149,ROW(Bilanço!$A35),0),"")</f>
        <v>0</v>
      </c>
      <c r="Q35" s="3">
        <f>IFERROR(HLOOKUP(Q$1,Data!$1:$149,ROW(Bilanço!$A35),0),"")</f>
        <v>0</v>
      </c>
      <c r="R35" s="3">
        <f>IFERROR(HLOOKUP(R$1,Data!$1:$149,ROW(Bilanço!$A35),0),"")</f>
        <v>0</v>
      </c>
      <c r="S35" s="3">
        <f>IFERROR(HLOOKUP(S$1,Data!$1:$149,ROW(Bilanço!$A35),0),"")</f>
        <v>0</v>
      </c>
      <c r="T35" s="3">
        <f>IFERROR(HLOOKUP(T$1,Data!$1:$149,ROW(Bilanço!$A35),0),"")</f>
        <v>0</v>
      </c>
      <c r="U35" s="3">
        <f>IFERROR(HLOOKUP(U$1,Data!$1:$149,ROW(Bilanço!$A35),0),"")</f>
        <v>0</v>
      </c>
      <c r="V35" s="3">
        <f>IFERROR(HLOOKUP(V$1,Data!$1:$149,ROW(Bilanço!$A35),0),"")</f>
        <v>0</v>
      </c>
      <c r="W35" s="3">
        <f>IFERROR(HLOOKUP(W$1,Data!$1:$149,ROW(Bilanço!$A35),0),"")</f>
        <v>0</v>
      </c>
      <c r="X35" s="3">
        <f>IFERROR(HLOOKUP(X$1,Data!$1:$149,ROW(Bilanço!$A35),0),"")</f>
        <v>0</v>
      </c>
    </row>
    <row r="36" spans="1:24" x14ac:dyDescent="0.25">
      <c r="A36" t="str">
        <f>Data!A36</f>
        <v xml:space="preserve">  Ticari Borçlar</v>
      </c>
      <c r="B36" s="2">
        <f>IFERROR(HLOOKUP(B$1,Data!$1:$149,ROW(Bilanço!$A36),0),"")</f>
        <v>1163014000</v>
      </c>
      <c r="C36" s="2">
        <f>IFERROR(HLOOKUP(C$1,Data!$1:$149,ROW(Bilanço!$A36),0),"")</f>
        <v>954499000</v>
      </c>
      <c r="D36" s="2">
        <f>IFERROR(HLOOKUP(D$1,Data!$1:$149,ROW(Bilanço!$A36),0),"")</f>
        <v>1001858000</v>
      </c>
      <c r="E36" s="2">
        <f>IFERROR(HLOOKUP(E$1,Data!$1:$149,ROW(Bilanço!$A36),0),"")</f>
        <v>1275410000</v>
      </c>
      <c r="F36" s="2">
        <f>IFERROR(HLOOKUP(F$1,Data!$1:$149,ROW(Bilanço!$A36),0),"")</f>
        <v>1417206000</v>
      </c>
      <c r="G36" s="2">
        <f>IFERROR(HLOOKUP(G$1,Data!$1:$149,ROW(Bilanço!$A36),0),"")</f>
        <v>1416899000</v>
      </c>
      <c r="H36" s="2">
        <f>IFERROR(HLOOKUP(H$1,Data!$1:$149,ROW(Bilanço!$A36),0),"")</f>
        <v>1371172000</v>
      </c>
      <c r="I36" s="2">
        <f>IFERROR(HLOOKUP(I$1,Data!$1:$149,ROW(Bilanço!$A36),0),"")</f>
        <v>2270421000</v>
      </c>
      <c r="J36" s="3">
        <f>IFERROR(HLOOKUP(J$1,Data!$1:$149,ROW(Bilanço!$A36),0),"")</f>
        <v>2949594000</v>
      </c>
      <c r="K36" s="3">
        <f>IFERROR(HLOOKUP(K$1,Data!$1:$149,ROW(Bilanço!$A36),0),"")</f>
        <v>3270039000</v>
      </c>
      <c r="L36" s="3">
        <f>IFERROR(HLOOKUP(L$1,Data!$1:$149,ROW(Bilanço!$A36),0),"")</f>
        <v>3798057000</v>
      </c>
      <c r="M36" s="3">
        <f>IFERROR(HLOOKUP(M$1,Data!$1:$149,ROW(Bilanço!$A36),0),"")</f>
        <v>6856641000</v>
      </c>
      <c r="N36" s="3">
        <f>IFERROR(HLOOKUP(N$1,Data!$1:$149,ROW(Bilanço!$A36),0),"")</f>
        <v>3870680000</v>
      </c>
      <c r="O36" s="3">
        <f>IFERROR(HLOOKUP(O$1,Data!$1:$149,ROW(Bilanço!$A36),0),"")</f>
        <v>4427747000</v>
      </c>
      <c r="P36" s="3">
        <f>IFERROR(HLOOKUP(P$1,Data!$1:$149,ROW(Bilanço!$A36),0),"")</f>
        <v>5478692000</v>
      </c>
      <c r="Q36" s="3">
        <f>IFERROR(HLOOKUP(Q$1,Data!$1:$149,ROW(Bilanço!$A36),0),"")</f>
        <v>11023403000</v>
      </c>
      <c r="R36" s="3">
        <f>IFERROR(HLOOKUP(R$1,Data!$1:$149,ROW(Bilanço!$A36),0),"")</f>
        <v>6946481000</v>
      </c>
      <c r="S36" s="3">
        <f>IFERROR(HLOOKUP(S$1,Data!$1:$149,ROW(Bilanço!$A36),0),"")</f>
        <v>7252905000</v>
      </c>
      <c r="T36" s="3">
        <f>IFERROR(HLOOKUP(T$1,Data!$1:$149,ROW(Bilanço!$A36),0),"")</f>
        <v>7032123000</v>
      </c>
      <c r="U36" s="3">
        <f>IFERROR(HLOOKUP(U$1,Data!$1:$149,ROW(Bilanço!$A36),0),"")</f>
        <v>12879723429</v>
      </c>
      <c r="V36" s="3">
        <f>IFERROR(HLOOKUP(V$1,Data!$1:$149,ROW(Bilanço!$A36),0),"")</f>
        <v>9861088000</v>
      </c>
      <c r="W36" s="3">
        <f>IFERROR(HLOOKUP(W$1,Data!$1:$149,ROW(Bilanço!$A36),0),"")</f>
        <v>10029705000</v>
      </c>
      <c r="X36" s="3">
        <f>IFERROR(HLOOKUP(X$1,Data!$1:$149,ROW(Bilanço!$A36),0),"")</f>
        <v>9726239000</v>
      </c>
    </row>
    <row r="37" spans="1:24" x14ac:dyDescent="0.25">
      <c r="A37" t="str">
        <f>Data!A37</f>
        <v xml:space="preserve">  Diğer Borçlar</v>
      </c>
      <c r="B37" s="2">
        <f>IFERROR(HLOOKUP(B$1,Data!$1:$149,ROW(Bilanço!$A37),0),"")</f>
        <v>6492000</v>
      </c>
      <c r="C37" s="2">
        <f>IFERROR(HLOOKUP(C$1,Data!$1:$149,ROW(Bilanço!$A37),0),"")</f>
        <v>4684000</v>
      </c>
      <c r="D37" s="2">
        <f>IFERROR(HLOOKUP(D$1,Data!$1:$149,ROW(Bilanço!$A37),0),"")</f>
        <v>5171000</v>
      </c>
      <c r="E37" s="2">
        <f>IFERROR(HLOOKUP(E$1,Data!$1:$149,ROW(Bilanço!$A37),0),"")</f>
        <v>5531000</v>
      </c>
      <c r="F37" s="2">
        <f>IFERROR(HLOOKUP(F$1,Data!$1:$149,ROW(Bilanço!$A37),0),"")</f>
        <v>7683000</v>
      </c>
      <c r="G37" s="2">
        <f>IFERROR(HLOOKUP(G$1,Data!$1:$149,ROW(Bilanço!$A37),0),"")</f>
        <v>7804000</v>
      </c>
      <c r="H37" s="2">
        <f>IFERROR(HLOOKUP(H$1,Data!$1:$149,ROW(Bilanço!$A37),0),"")</f>
        <v>8430000</v>
      </c>
      <c r="I37" s="2">
        <f>IFERROR(HLOOKUP(I$1,Data!$1:$149,ROW(Bilanço!$A37),0),"")</f>
        <v>12672000</v>
      </c>
      <c r="J37" s="3">
        <f>IFERROR(HLOOKUP(J$1,Data!$1:$149,ROW(Bilanço!$A37),0),"")</f>
        <v>30907000</v>
      </c>
      <c r="K37" s="3">
        <f>IFERROR(HLOOKUP(K$1,Data!$1:$149,ROW(Bilanço!$A37),0),"")</f>
        <v>30971000</v>
      </c>
      <c r="L37" s="3">
        <f>IFERROR(HLOOKUP(L$1,Data!$1:$149,ROW(Bilanço!$A37),0),"")</f>
        <v>2111000</v>
      </c>
      <c r="M37" s="3">
        <f>IFERROR(HLOOKUP(M$1,Data!$1:$149,ROW(Bilanço!$A37),0),"")</f>
        <v>4984000</v>
      </c>
      <c r="N37" s="3">
        <f>IFERROR(HLOOKUP(N$1,Data!$1:$149,ROW(Bilanço!$A37),0),"")</f>
        <v>3906000</v>
      </c>
      <c r="O37" s="3">
        <f>IFERROR(HLOOKUP(O$1,Data!$1:$149,ROW(Bilanço!$A37),0),"")</f>
        <v>4849000</v>
      </c>
      <c r="P37" s="3">
        <f>IFERROR(HLOOKUP(P$1,Data!$1:$149,ROW(Bilanço!$A37),0),"")</f>
        <v>5007000</v>
      </c>
      <c r="Q37" s="3">
        <f>IFERROR(HLOOKUP(Q$1,Data!$1:$149,ROW(Bilanço!$A37),0),"")</f>
        <v>7693000</v>
      </c>
      <c r="R37" s="3">
        <f>IFERROR(HLOOKUP(R$1,Data!$1:$149,ROW(Bilanço!$A37),0),"")</f>
        <v>5639000</v>
      </c>
      <c r="S37" s="3">
        <f>IFERROR(HLOOKUP(S$1,Data!$1:$149,ROW(Bilanço!$A37),0),"")</f>
        <v>5744000</v>
      </c>
      <c r="T37" s="3">
        <f>IFERROR(HLOOKUP(T$1,Data!$1:$149,ROW(Bilanço!$A37),0),"")</f>
        <v>6093000</v>
      </c>
      <c r="U37" s="3">
        <f>IFERROR(HLOOKUP(U$1,Data!$1:$149,ROW(Bilanço!$A37),0),"")</f>
        <v>11050347</v>
      </c>
      <c r="V37" s="3">
        <f>IFERROR(HLOOKUP(V$1,Data!$1:$149,ROW(Bilanço!$A37),0),"")</f>
        <v>2244000</v>
      </c>
      <c r="W37" s="3">
        <f>IFERROR(HLOOKUP(W$1,Data!$1:$149,ROW(Bilanço!$A37),0),"")</f>
        <v>2301000</v>
      </c>
      <c r="X37" s="3">
        <f>IFERROR(HLOOKUP(X$1,Data!$1:$149,ROW(Bilanço!$A37),0),"")</f>
        <v>2218000</v>
      </c>
    </row>
    <row r="38" spans="1:24" x14ac:dyDescent="0.25">
      <c r="A38" t="str">
        <f>Data!A38</f>
        <v xml:space="preserve">  Müşteri Söz. Doğan Yük.</v>
      </c>
      <c r="B38" s="2">
        <f>IFERROR(HLOOKUP(B$1,Data!$1:$149,ROW(Bilanço!$A38),0),"")</f>
        <v>0</v>
      </c>
      <c r="C38" s="2">
        <f>IFERROR(HLOOKUP(C$1,Data!$1:$149,ROW(Bilanço!$A38),0),"")</f>
        <v>0</v>
      </c>
      <c r="D38" s="2">
        <f>IFERROR(HLOOKUP(D$1,Data!$1:$149,ROW(Bilanço!$A38),0),"")</f>
        <v>0</v>
      </c>
      <c r="E38" s="2">
        <f>IFERROR(HLOOKUP(E$1,Data!$1:$149,ROW(Bilanço!$A38),0),"")</f>
        <v>0</v>
      </c>
      <c r="F38" s="2">
        <f>IFERROR(HLOOKUP(F$1,Data!$1:$149,ROW(Bilanço!$A38),0),"")</f>
        <v>0</v>
      </c>
      <c r="G38" s="2">
        <f>IFERROR(HLOOKUP(G$1,Data!$1:$149,ROW(Bilanço!$A38),0),"")</f>
        <v>0</v>
      </c>
      <c r="H38" s="2">
        <f>IFERROR(HLOOKUP(H$1,Data!$1:$149,ROW(Bilanço!$A38),0),"")</f>
        <v>0</v>
      </c>
      <c r="I38" s="2">
        <f>IFERROR(HLOOKUP(I$1,Data!$1:$149,ROW(Bilanço!$A38),0),"")</f>
        <v>0</v>
      </c>
      <c r="J38" s="3">
        <f>IFERROR(HLOOKUP(J$1,Data!$1:$149,ROW(Bilanço!$A38),0),"")</f>
        <v>0</v>
      </c>
      <c r="K38" s="3">
        <f>IFERROR(HLOOKUP(K$1,Data!$1:$149,ROW(Bilanço!$A38),0),"")</f>
        <v>0</v>
      </c>
      <c r="L38" s="3">
        <f>IFERROR(HLOOKUP(L$1,Data!$1:$149,ROW(Bilanço!$A38),0),"")</f>
        <v>0</v>
      </c>
      <c r="M38" s="3">
        <f>IFERROR(HLOOKUP(M$1,Data!$1:$149,ROW(Bilanço!$A38),0),"")</f>
        <v>0</v>
      </c>
      <c r="N38" s="3">
        <f>IFERROR(HLOOKUP(N$1,Data!$1:$149,ROW(Bilanço!$A38),0),"")</f>
        <v>0</v>
      </c>
      <c r="O38" s="3">
        <f>IFERROR(HLOOKUP(O$1,Data!$1:$149,ROW(Bilanço!$A38),0),"")</f>
        <v>0</v>
      </c>
      <c r="P38" s="3">
        <f>IFERROR(HLOOKUP(P$1,Data!$1:$149,ROW(Bilanço!$A38),0),"")</f>
        <v>0</v>
      </c>
      <c r="Q38" s="3">
        <f>IFERROR(HLOOKUP(Q$1,Data!$1:$149,ROW(Bilanço!$A38),0),"")</f>
        <v>0</v>
      </c>
      <c r="R38" s="3">
        <f>IFERROR(HLOOKUP(R$1,Data!$1:$149,ROW(Bilanço!$A38),0),"")</f>
        <v>0</v>
      </c>
      <c r="S38" s="3">
        <f>IFERROR(HLOOKUP(S$1,Data!$1:$149,ROW(Bilanço!$A38),0),"")</f>
        <v>0</v>
      </c>
      <c r="T38" s="3">
        <f>IFERROR(HLOOKUP(T$1,Data!$1:$149,ROW(Bilanço!$A38),0),"")</f>
        <v>0</v>
      </c>
      <c r="U38" s="3">
        <f>IFERROR(HLOOKUP(U$1,Data!$1:$149,ROW(Bilanço!$A38),0),"")</f>
        <v>0</v>
      </c>
      <c r="V38" s="3">
        <f>IFERROR(HLOOKUP(V$1,Data!$1:$149,ROW(Bilanço!$A38),0),"")</f>
        <v>0</v>
      </c>
      <c r="W38" s="3">
        <f>IFERROR(HLOOKUP(W$1,Data!$1:$149,ROW(Bilanço!$A38),0),"")</f>
        <v>0</v>
      </c>
      <c r="X38" s="3">
        <f>IFERROR(HLOOKUP(X$1,Data!$1:$149,ROW(Bilanço!$A38),0),"")</f>
        <v>0</v>
      </c>
    </row>
    <row r="39" spans="1:24" x14ac:dyDescent="0.25">
      <c r="A39" t="str">
        <f>Data!A39</f>
        <v xml:space="preserve">  Finans Sektörü Faaliyetlerinden Borçlar</v>
      </c>
      <c r="B39" s="2">
        <f>IFERROR(HLOOKUP(B$1,Data!$1:$149,ROW(Bilanço!$A39),0),"")</f>
        <v>0</v>
      </c>
      <c r="C39" s="2">
        <f>IFERROR(HLOOKUP(C$1,Data!$1:$149,ROW(Bilanço!$A39),0),"")</f>
        <v>0</v>
      </c>
      <c r="D39" s="2">
        <f>IFERROR(HLOOKUP(D$1,Data!$1:$149,ROW(Bilanço!$A39),0),"")</f>
        <v>0</v>
      </c>
      <c r="E39" s="2">
        <f>IFERROR(HLOOKUP(E$1,Data!$1:$149,ROW(Bilanço!$A39),0),"")</f>
        <v>0</v>
      </c>
      <c r="F39" s="2">
        <f>IFERROR(HLOOKUP(F$1,Data!$1:$149,ROW(Bilanço!$A39),0),"")</f>
        <v>0</v>
      </c>
      <c r="G39" s="2">
        <f>IFERROR(HLOOKUP(G$1,Data!$1:$149,ROW(Bilanço!$A39),0),"")</f>
        <v>0</v>
      </c>
      <c r="H39" s="2">
        <f>IFERROR(HLOOKUP(H$1,Data!$1:$149,ROW(Bilanço!$A39),0),"")</f>
        <v>0</v>
      </c>
      <c r="I39" s="2">
        <f>IFERROR(HLOOKUP(I$1,Data!$1:$149,ROW(Bilanço!$A39),0),"")</f>
        <v>0</v>
      </c>
      <c r="J39" s="3">
        <f>IFERROR(HLOOKUP(J$1,Data!$1:$149,ROW(Bilanço!$A39),0),"")</f>
        <v>0</v>
      </c>
      <c r="K39" s="3">
        <f>IFERROR(HLOOKUP(K$1,Data!$1:$149,ROW(Bilanço!$A39),0),"")</f>
        <v>0</v>
      </c>
      <c r="L39" s="3">
        <f>IFERROR(HLOOKUP(L$1,Data!$1:$149,ROW(Bilanço!$A39),0),"")</f>
        <v>0</v>
      </c>
      <c r="M39" s="3">
        <f>IFERROR(HLOOKUP(M$1,Data!$1:$149,ROW(Bilanço!$A39),0),"")</f>
        <v>0</v>
      </c>
      <c r="N39" s="3">
        <f>IFERROR(HLOOKUP(N$1,Data!$1:$149,ROW(Bilanço!$A39),0),"")</f>
        <v>0</v>
      </c>
      <c r="O39" s="3">
        <f>IFERROR(HLOOKUP(O$1,Data!$1:$149,ROW(Bilanço!$A39),0),"")</f>
        <v>0</v>
      </c>
      <c r="P39" s="3">
        <f>IFERROR(HLOOKUP(P$1,Data!$1:$149,ROW(Bilanço!$A39),0),"")</f>
        <v>0</v>
      </c>
      <c r="Q39" s="3">
        <f>IFERROR(HLOOKUP(Q$1,Data!$1:$149,ROW(Bilanço!$A39),0),"")</f>
        <v>0</v>
      </c>
      <c r="R39" s="3">
        <f>IFERROR(HLOOKUP(R$1,Data!$1:$149,ROW(Bilanço!$A39),0),"")</f>
        <v>0</v>
      </c>
      <c r="S39" s="3">
        <f>IFERROR(HLOOKUP(S$1,Data!$1:$149,ROW(Bilanço!$A39),0),"")</f>
        <v>0</v>
      </c>
      <c r="T39" s="3">
        <f>IFERROR(HLOOKUP(T$1,Data!$1:$149,ROW(Bilanço!$A39),0),"")</f>
        <v>0</v>
      </c>
      <c r="U39" s="3">
        <f>IFERROR(HLOOKUP(U$1,Data!$1:$149,ROW(Bilanço!$A39),0),"")</f>
        <v>0</v>
      </c>
      <c r="V39" s="3">
        <f>IFERROR(HLOOKUP(V$1,Data!$1:$149,ROW(Bilanço!$A39),0),"")</f>
        <v>0</v>
      </c>
      <c r="W39" s="3">
        <f>IFERROR(HLOOKUP(W$1,Data!$1:$149,ROW(Bilanço!$A39),0),"")</f>
        <v>0</v>
      </c>
      <c r="X39" s="3">
        <f>IFERROR(HLOOKUP(X$1,Data!$1:$149,ROW(Bilanço!$A39),0),"")</f>
        <v>0</v>
      </c>
    </row>
    <row r="40" spans="1:24" x14ac:dyDescent="0.25">
      <c r="A40" t="str">
        <f>Data!A40</f>
        <v xml:space="preserve">  Devlet Teşvik ve Yardımları</v>
      </c>
      <c r="B40" s="2">
        <f>IFERROR(HLOOKUP(B$1,Data!$1:$149,ROW(Bilanço!$A40),0),"")</f>
        <v>0</v>
      </c>
      <c r="C40" s="2">
        <f>IFERROR(HLOOKUP(C$1,Data!$1:$149,ROW(Bilanço!$A40),0),"")</f>
        <v>0</v>
      </c>
      <c r="D40" s="2">
        <f>IFERROR(HLOOKUP(D$1,Data!$1:$149,ROW(Bilanço!$A40),0),"")</f>
        <v>0</v>
      </c>
      <c r="E40" s="2">
        <f>IFERROR(HLOOKUP(E$1,Data!$1:$149,ROW(Bilanço!$A40),0),"")</f>
        <v>0</v>
      </c>
      <c r="F40" s="2">
        <f>IFERROR(HLOOKUP(F$1,Data!$1:$149,ROW(Bilanço!$A40),0),"")</f>
        <v>0</v>
      </c>
      <c r="G40" s="2">
        <f>IFERROR(HLOOKUP(G$1,Data!$1:$149,ROW(Bilanço!$A40),0),"")</f>
        <v>0</v>
      </c>
      <c r="H40" s="2">
        <f>IFERROR(HLOOKUP(H$1,Data!$1:$149,ROW(Bilanço!$A40),0),"")</f>
        <v>0</v>
      </c>
      <c r="I40" s="2">
        <f>IFERROR(HLOOKUP(I$1,Data!$1:$149,ROW(Bilanço!$A40),0),"")</f>
        <v>0</v>
      </c>
      <c r="J40" s="3">
        <f>IFERROR(HLOOKUP(J$1,Data!$1:$149,ROW(Bilanço!$A40),0),"")</f>
        <v>0</v>
      </c>
      <c r="K40" s="3">
        <f>IFERROR(HLOOKUP(K$1,Data!$1:$149,ROW(Bilanço!$A40),0),"")</f>
        <v>0</v>
      </c>
      <c r="L40" s="3">
        <f>IFERROR(HLOOKUP(L$1,Data!$1:$149,ROW(Bilanço!$A40),0),"")</f>
        <v>0</v>
      </c>
      <c r="M40" s="3">
        <f>IFERROR(HLOOKUP(M$1,Data!$1:$149,ROW(Bilanço!$A40),0),"")</f>
        <v>0</v>
      </c>
      <c r="N40" s="3">
        <f>IFERROR(HLOOKUP(N$1,Data!$1:$149,ROW(Bilanço!$A40),0),"")</f>
        <v>0</v>
      </c>
      <c r="O40" s="3">
        <f>IFERROR(HLOOKUP(O$1,Data!$1:$149,ROW(Bilanço!$A40),0),"")</f>
        <v>0</v>
      </c>
      <c r="P40" s="3">
        <f>IFERROR(HLOOKUP(P$1,Data!$1:$149,ROW(Bilanço!$A40),0),"")</f>
        <v>0</v>
      </c>
      <c r="Q40" s="3">
        <f>IFERROR(HLOOKUP(Q$1,Data!$1:$149,ROW(Bilanço!$A40),0),"")</f>
        <v>0</v>
      </c>
      <c r="R40" s="3">
        <f>IFERROR(HLOOKUP(R$1,Data!$1:$149,ROW(Bilanço!$A40),0),"")</f>
        <v>0</v>
      </c>
      <c r="S40" s="3">
        <f>IFERROR(HLOOKUP(S$1,Data!$1:$149,ROW(Bilanço!$A40),0),"")</f>
        <v>0</v>
      </c>
      <c r="T40" s="3">
        <f>IFERROR(HLOOKUP(T$1,Data!$1:$149,ROW(Bilanço!$A40),0),"")</f>
        <v>0</v>
      </c>
      <c r="U40" s="3">
        <f>IFERROR(HLOOKUP(U$1,Data!$1:$149,ROW(Bilanço!$A40),0),"")</f>
        <v>0</v>
      </c>
      <c r="V40" s="3">
        <f>IFERROR(HLOOKUP(V$1,Data!$1:$149,ROW(Bilanço!$A40),0),"")</f>
        <v>0</v>
      </c>
      <c r="W40" s="3">
        <f>IFERROR(HLOOKUP(W$1,Data!$1:$149,ROW(Bilanço!$A40),0),"")</f>
        <v>0</v>
      </c>
      <c r="X40" s="3">
        <f>IFERROR(HLOOKUP(X$1,Data!$1:$149,ROW(Bilanço!$A40),0),"")</f>
        <v>0</v>
      </c>
    </row>
    <row r="41" spans="1:24" x14ac:dyDescent="0.25">
      <c r="A41" t="str">
        <f>Data!A41</f>
        <v xml:space="preserve">  Ertelenmiş Gelirler (Müşteri Söz. Doğan Yük. Dış.Kal.)</v>
      </c>
      <c r="B41" s="2">
        <f>IFERROR(HLOOKUP(B$1,Data!$1:$149,ROW(Bilanço!$A41),0),"")</f>
        <v>13062000</v>
      </c>
      <c r="C41" s="2">
        <f>IFERROR(HLOOKUP(C$1,Data!$1:$149,ROW(Bilanço!$A41),0),"")</f>
        <v>9887000</v>
      </c>
      <c r="D41" s="2">
        <f>IFERROR(HLOOKUP(D$1,Data!$1:$149,ROW(Bilanço!$A41),0),"")</f>
        <v>12171000</v>
      </c>
      <c r="E41" s="2">
        <f>IFERROR(HLOOKUP(E$1,Data!$1:$149,ROW(Bilanço!$A41),0),"")</f>
        <v>77384000</v>
      </c>
      <c r="F41" s="2">
        <f>IFERROR(HLOOKUP(F$1,Data!$1:$149,ROW(Bilanço!$A41),0),"")</f>
        <v>42964000</v>
      </c>
      <c r="G41" s="2">
        <f>IFERROR(HLOOKUP(G$1,Data!$1:$149,ROW(Bilanço!$A41),0),"")</f>
        <v>26251000</v>
      </c>
      <c r="H41" s="2">
        <f>IFERROR(HLOOKUP(H$1,Data!$1:$149,ROW(Bilanço!$A41),0),"")</f>
        <v>50739000</v>
      </c>
      <c r="I41" s="2">
        <f>IFERROR(HLOOKUP(I$1,Data!$1:$149,ROW(Bilanço!$A41),0),"")</f>
        <v>83754000</v>
      </c>
      <c r="J41" s="3">
        <f>IFERROR(HLOOKUP(J$1,Data!$1:$149,ROW(Bilanço!$A41),0),"")</f>
        <v>61087000</v>
      </c>
      <c r="K41" s="3">
        <f>IFERROR(HLOOKUP(K$1,Data!$1:$149,ROW(Bilanço!$A41),0),"")</f>
        <v>70840000</v>
      </c>
      <c r="L41" s="3">
        <f>IFERROR(HLOOKUP(L$1,Data!$1:$149,ROW(Bilanço!$A41),0),"")</f>
        <v>14186000</v>
      </c>
      <c r="M41" s="3">
        <f>IFERROR(HLOOKUP(M$1,Data!$1:$149,ROW(Bilanço!$A41),0),"")</f>
        <v>135542000</v>
      </c>
      <c r="N41" s="3">
        <f>IFERROR(HLOOKUP(N$1,Data!$1:$149,ROW(Bilanço!$A41),0),"")</f>
        <v>65022000</v>
      </c>
      <c r="O41" s="3">
        <f>IFERROR(HLOOKUP(O$1,Data!$1:$149,ROW(Bilanço!$A41),0),"")</f>
        <v>67724000</v>
      </c>
      <c r="P41" s="3">
        <f>IFERROR(HLOOKUP(P$1,Data!$1:$149,ROW(Bilanço!$A41),0),"")</f>
        <v>53963000</v>
      </c>
      <c r="Q41" s="3">
        <f>IFERROR(HLOOKUP(Q$1,Data!$1:$149,ROW(Bilanço!$A41),0),"")</f>
        <v>116766000</v>
      </c>
      <c r="R41" s="3">
        <f>IFERROR(HLOOKUP(R$1,Data!$1:$149,ROW(Bilanço!$A41),0),"")</f>
        <v>92102000</v>
      </c>
      <c r="S41" s="3">
        <f>IFERROR(HLOOKUP(S$1,Data!$1:$149,ROW(Bilanço!$A41),0),"")</f>
        <v>65732000</v>
      </c>
      <c r="T41" s="3">
        <f>IFERROR(HLOOKUP(T$1,Data!$1:$149,ROW(Bilanço!$A41),0),"")</f>
        <v>76492000</v>
      </c>
      <c r="U41" s="3">
        <f>IFERROR(HLOOKUP(U$1,Data!$1:$149,ROW(Bilanço!$A41),0),"")</f>
        <v>126621169</v>
      </c>
      <c r="V41" s="3">
        <f>IFERROR(HLOOKUP(V$1,Data!$1:$149,ROW(Bilanço!$A41),0),"")</f>
        <v>59289000</v>
      </c>
      <c r="W41" s="3">
        <f>IFERROR(HLOOKUP(W$1,Data!$1:$149,ROW(Bilanço!$A41),0),"")</f>
        <v>80087000</v>
      </c>
      <c r="X41" s="3">
        <f>IFERROR(HLOOKUP(X$1,Data!$1:$149,ROW(Bilanço!$A41),0),"")</f>
        <v>76076000</v>
      </c>
    </row>
    <row r="42" spans="1:24" x14ac:dyDescent="0.25">
      <c r="A42" t="str">
        <f>Data!A42</f>
        <v xml:space="preserve">  Dönem Karı Vergi Yükümlülüğü</v>
      </c>
      <c r="B42" s="2">
        <f>IFERROR(HLOOKUP(B$1,Data!$1:$149,ROW(Bilanço!$A42),0),"")</f>
        <v>102249000</v>
      </c>
      <c r="C42" s="2">
        <f>IFERROR(HLOOKUP(C$1,Data!$1:$149,ROW(Bilanço!$A42),0),"")</f>
        <v>143905000</v>
      </c>
      <c r="D42" s="2">
        <f>IFERROR(HLOOKUP(D$1,Data!$1:$149,ROW(Bilanço!$A42),0),"")</f>
        <v>120129000</v>
      </c>
      <c r="E42" s="2">
        <f>IFERROR(HLOOKUP(E$1,Data!$1:$149,ROW(Bilanço!$A42),0),"")</f>
        <v>85888000</v>
      </c>
      <c r="F42" s="2">
        <f>IFERROR(HLOOKUP(F$1,Data!$1:$149,ROW(Bilanço!$A42),0),"")</f>
        <v>189461000</v>
      </c>
      <c r="G42" s="2">
        <f>IFERROR(HLOOKUP(G$1,Data!$1:$149,ROW(Bilanço!$A42),0),"")</f>
        <v>154150000</v>
      </c>
      <c r="H42" s="2">
        <f>IFERROR(HLOOKUP(H$1,Data!$1:$149,ROW(Bilanço!$A42),0),"")</f>
        <v>114442000</v>
      </c>
      <c r="I42" s="2">
        <f>IFERROR(HLOOKUP(I$1,Data!$1:$149,ROW(Bilanço!$A42),0),"")</f>
        <v>301535000</v>
      </c>
      <c r="J42" s="3">
        <f>IFERROR(HLOOKUP(J$1,Data!$1:$149,ROW(Bilanço!$A42),0),"")</f>
        <v>267712000</v>
      </c>
      <c r="K42" s="3">
        <f>IFERROR(HLOOKUP(K$1,Data!$1:$149,ROW(Bilanço!$A42),0),"")</f>
        <v>226167000</v>
      </c>
      <c r="L42" s="3">
        <f>IFERROR(HLOOKUP(L$1,Data!$1:$149,ROW(Bilanço!$A42),0),"")</f>
        <v>285481000</v>
      </c>
      <c r="M42" s="3">
        <f>IFERROR(HLOOKUP(M$1,Data!$1:$149,ROW(Bilanço!$A42),0),"")</f>
        <v>431628000</v>
      </c>
      <c r="N42" s="3">
        <f>IFERROR(HLOOKUP(N$1,Data!$1:$149,ROW(Bilanço!$A42),0),"")</f>
        <v>541648000</v>
      </c>
      <c r="O42" s="3">
        <f>IFERROR(HLOOKUP(O$1,Data!$1:$149,ROW(Bilanço!$A42),0),"")</f>
        <v>505411000</v>
      </c>
      <c r="P42" s="3">
        <f>IFERROR(HLOOKUP(P$1,Data!$1:$149,ROW(Bilanço!$A42),0),"")</f>
        <v>341965000</v>
      </c>
      <c r="Q42" s="3">
        <f>IFERROR(HLOOKUP(Q$1,Data!$1:$149,ROW(Bilanço!$A42),0),"")</f>
        <v>725141000</v>
      </c>
      <c r="R42" s="3">
        <f>IFERROR(HLOOKUP(R$1,Data!$1:$149,ROW(Bilanço!$A42),0),"")</f>
        <v>663934000</v>
      </c>
      <c r="S42" s="3">
        <f>IFERROR(HLOOKUP(S$1,Data!$1:$149,ROW(Bilanço!$A42),0),"")</f>
        <v>447954000</v>
      </c>
      <c r="T42" s="3">
        <f>IFERROR(HLOOKUP(T$1,Data!$1:$149,ROW(Bilanço!$A42),0),"")</f>
        <v>274723000</v>
      </c>
      <c r="U42" s="3">
        <f>IFERROR(HLOOKUP(U$1,Data!$1:$149,ROW(Bilanço!$A42),0),"")</f>
        <v>333978855</v>
      </c>
      <c r="V42" s="3">
        <f>IFERROR(HLOOKUP(V$1,Data!$1:$149,ROW(Bilanço!$A42),0),"")</f>
        <v>423464000</v>
      </c>
      <c r="W42" s="3">
        <f>IFERROR(HLOOKUP(W$1,Data!$1:$149,ROW(Bilanço!$A42),0),"")</f>
        <v>224470000</v>
      </c>
      <c r="X42" s="3">
        <f>IFERROR(HLOOKUP(X$1,Data!$1:$149,ROW(Bilanço!$A42),0),"")</f>
        <v>636709000</v>
      </c>
    </row>
    <row r="43" spans="1:24" x14ac:dyDescent="0.25">
      <c r="A43" t="str">
        <f>Data!A43</f>
        <v xml:space="preserve">  Borç Karşılıkları</v>
      </c>
      <c r="B43" s="2">
        <f>IFERROR(HLOOKUP(B$1,Data!$1:$149,ROW(Bilanço!$A43),0),"")</f>
        <v>327652000</v>
      </c>
      <c r="C43" s="2">
        <f>IFERROR(HLOOKUP(C$1,Data!$1:$149,ROW(Bilanço!$A43),0),"")</f>
        <v>276714000</v>
      </c>
      <c r="D43" s="2">
        <f>IFERROR(HLOOKUP(D$1,Data!$1:$149,ROW(Bilanço!$A43),0),"")</f>
        <v>327049000</v>
      </c>
      <c r="E43" s="2">
        <f>IFERROR(HLOOKUP(E$1,Data!$1:$149,ROW(Bilanço!$A43),0),"")</f>
        <v>257348000</v>
      </c>
      <c r="F43" s="2">
        <f>IFERROR(HLOOKUP(F$1,Data!$1:$149,ROW(Bilanço!$A43),0),"")</f>
        <v>312489000</v>
      </c>
      <c r="G43" s="2">
        <f>IFERROR(HLOOKUP(G$1,Data!$1:$149,ROW(Bilanço!$A43),0),"")</f>
        <v>284437000</v>
      </c>
      <c r="H43" s="2">
        <f>IFERROR(HLOOKUP(H$1,Data!$1:$149,ROW(Bilanço!$A43),0),"")</f>
        <v>330903000</v>
      </c>
      <c r="I43" s="2">
        <f>IFERROR(HLOOKUP(I$1,Data!$1:$149,ROW(Bilanço!$A43),0),"")</f>
        <v>422558000</v>
      </c>
      <c r="J43" s="3">
        <f>IFERROR(HLOOKUP(J$1,Data!$1:$149,ROW(Bilanço!$A43),0),"")</f>
        <v>698069000</v>
      </c>
      <c r="K43" s="3">
        <f>IFERROR(HLOOKUP(K$1,Data!$1:$149,ROW(Bilanço!$A43),0),"")</f>
        <v>638228000</v>
      </c>
      <c r="L43" s="3">
        <f>IFERROR(HLOOKUP(L$1,Data!$1:$149,ROW(Bilanço!$A43),0),"")</f>
        <v>718097000</v>
      </c>
      <c r="M43" s="3">
        <f>IFERROR(HLOOKUP(M$1,Data!$1:$149,ROW(Bilanço!$A43),0),"")</f>
        <v>1005416000</v>
      </c>
      <c r="N43" s="3">
        <f>IFERROR(HLOOKUP(N$1,Data!$1:$149,ROW(Bilanço!$A43),0),"")</f>
        <v>1324621000</v>
      </c>
      <c r="O43" s="3">
        <f>IFERROR(HLOOKUP(O$1,Data!$1:$149,ROW(Bilanço!$A43),0),"")</f>
        <v>1158150000</v>
      </c>
      <c r="P43" s="3">
        <f>IFERROR(HLOOKUP(P$1,Data!$1:$149,ROW(Bilanço!$A43),0),"")</f>
        <v>1231441000</v>
      </c>
      <c r="Q43" s="3">
        <f>IFERROR(HLOOKUP(Q$1,Data!$1:$149,ROW(Bilanço!$A43),0),"")</f>
        <v>1530792000</v>
      </c>
      <c r="R43" s="3">
        <f>IFERROR(HLOOKUP(R$1,Data!$1:$149,ROW(Bilanço!$A43),0),"")</f>
        <v>1732310000</v>
      </c>
      <c r="S43" s="3">
        <f>IFERROR(HLOOKUP(S$1,Data!$1:$149,ROW(Bilanço!$A43),0),"")</f>
        <v>1633219000</v>
      </c>
      <c r="T43" s="3">
        <f>IFERROR(HLOOKUP(T$1,Data!$1:$149,ROW(Bilanço!$A43),0),"")</f>
        <v>1647778000</v>
      </c>
      <c r="U43" s="3">
        <f>IFERROR(HLOOKUP(U$1,Data!$1:$149,ROW(Bilanço!$A43),0),"")</f>
        <v>1821972633</v>
      </c>
      <c r="V43" s="3">
        <f>IFERROR(HLOOKUP(V$1,Data!$1:$149,ROW(Bilanço!$A43),0),"")</f>
        <v>2536582000</v>
      </c>
      <c r="W43" s="3">
        <f>IFERROR(HLOOKUP(W$1,Data!$1:$149,ROW(Bilanço!$A43),0),"")</f>
        <v>2268990000</v>
      </c>
      <c r="X43" s="3">
        <f>IFERROR(HLOOKUP(X$1,Data!$1:$149,ROW(Bilanço!$A43),0),"")</f>
        <v>2287036000</v>
      </c>
    </row>
    <row r="44" spans="1:24" x14ac:dyDescent="0.25">
      <c r="A44" t="str">
        <f>Data!A44</f>
        <v xml:space="preserve">  Diğer Kısa Vadeli Yükümlülükler</v>
      </c>
      <c r="B44" s="2">
        <f>IFERROR(HLOOKUP(B$1,Data!$1:$149,ROW(Bilanço!$A44),0),"")</f>
        <v>92979000</v>
      </c>
      <c r="C44" s="2">
        <f>IFERROR(HLOOKUP(C$1,Data!$1:$149,ROW(Bilanço!$A44),0),"")</f>
        <v>90218000</v>
      </c>
      <c r="D44" s="2">
        <f>IFERROR(HLOOKUP(D$1,Data!$1:$149,ROW(Bilanço!$A44),0),"")</f>
        <v>94393000</v>
      </c>
      <c r="E44" s="2">
        <f>IFERROR(HLOOKUP(E$1,Data!$1:$149,ROW(Bilanço!$A44),0),"")</f>
        <v>106174000</v>
      </c>
      <c r="F44" s="2">
        <f>IFERROR(HLOOKUP(F$1,Data!$1:$149,ROW(Bilanço!$A44),0),"")</f>
        <v>136677000</v>
      </c>
      <c r="G44" s="2">
        <f>IFERROR(HLOOKUP(G$1,Data!$1:$149,ROW(Bilanço!$A44),0),"")</f>
        <v>114318000</v>
      </c>
      <c r="H44" s="2">
        <f>IFERROR(HLOOKUP(H$1,Data!$1:$149,ROW(Bilanço!$A44),0),"")</f>
        <v>157679000</v>
      </c>
      <c r="I44" s="2">
        <f>IFERROR(HLOOKUP(I$1,Data!$1:$149,ROW(Bilanço!$A44),0),"")</f>
        <v>180233000</v>
      </c>
      <c r="J44" s="3">
        <f>IFERROR(HLOOKUP(J$1,Data!$1:$149,ROW(Bilanço!$A44),0),"")</f>
        <v>245220000</v>
      </c>
      <c r="K44" s="3">
        <f>IFERROR(HLOOKUP(K$1,Data!$1:$149,ROW(Bilanço!$A44),0),"")</f>
        <v>177629000</v>
      </c>
      <c r="L44" s="3">
        <f>IFERROR(HLOOKUP(L$1,Data!$1:$149,ROW(Bilanço!$A44),0),"")</f>
        <v>288009000</v>
      </c>
      <c r="M44" s="3">
        <f>IFERROR(HLOOKUP(M$1,Data!$1:$149,ROW(Bilanço!$A44),0),"")</f>
        <v>605004000</v>
      </c>
      <c r="N44" s="3">
        <f>IFERROR(HLOOKUP(N$1,Data!$1:$149,ROW(Bilanço!$A44),0),"")</f>
        <v>605429000</v>
      </c>
      <c r="O44" s="3">
        <f>IFERROR(HLOOKUP(O$1,Data!$1:$149,ROW(Bilanço!$A44),0),"")</f>
        <v>479697000</v>
      </c>
      <c r="P44" s="3">
        <f>IFERROR(HLOOKUP(P$1,Data!$1:$149,ROW(Bilanço!$A44),0),"")</f>
        <v>703542000</v>
      </c>
      <c r="Q44" s="3">
        <f>IFERROR(HLOOKUP(Q$1,Data!$1:$149,ROW(Bilanço!$A44),0),"")</f>
        <v>1015085000</v>
      </c>
      <c r="R44" s="3">
        <f>IFERROR(HLOOKUP(R$1,Data!$1:$149,ROW(Bilanço!$A44),0),"")</f>
        <v>1223628000</v>
      </c>
      <c r="S44" s="3">
        <f>IFERROR(HLOOKUP(S$1,Data!$1:$149,ROW(Bilanço!$A44),0),"")</f>
        <v>793549000</v>
      </c>
      <c r="T44" s="3">
        <f>IFERROR(HLOOKUP(T$1,Data!$1:$149,ROW(Bilanço!$A44),0),"")</f>
        <v>1002059000</v>
      </c>
      <c r="U44" s="3">
        <f>IFERROR(HLOOKUP(U$1,Data!$1:$149,ROW(Bilanço!$A44),0),"")</f>
        <v>1345707708</v>
      </c>
      <c r="V44" s="3">
        <f>IFERROR(HLOOKUP(V$1,Data!$1:$149,ROW(Bilanço!$A44),0),"")</f>
        <v>1200298000</v>
      </c>
      <c r="W44" s="3">
        <f>IFERROR(HLOOKUP(W$1,Data!$1:$149,ROW(Bilanço!$A44),0),"")</f>
        <v>1444890000</v>
      </c>
      <c r="X44" s="3">
        <f>IFERROR(HLOOKUP(X$1,Data!$1:$149,ROW(Bilanço!$A44),0),"")</f>
        <v>1147878000</v>
      </c>
    </row>
    <row r="45" spans="1:24" x14ac:dyDescent="0.25">
      <c r="A45" t="str">
        <f>Data!A45</f>
        <v xml:space="preserve">    (Ara Toplam)</v>
      </c>
      <c r="B45" s="2">
        <f>IFERROR(HLOOKUP(B$1,Data!$1:$149,ROW(Bilanço!$A45),0),"")</f>
        <v>7422098000</v>
      </c>
      <c r="C45" s="2">
        <f>IFERROR(HLOOKUP(C$1,Data!$1:$149,ROW(Bilanço!$A45),0),"")</f>
        <v>4960025000</v>
      </c>
      <c r="D45" s="2">
        <f>IFERROR(HLOOKUP(D$1,Data!$1:$149,ROW(Bilanço!$A45),0),"")</f>
        <v>5627811000</v>
      </c>
      <c r="E45" s="2">
        <f>IFERROR(HLOOKUP(E$1,Data!$1:$149,ROW(Bilanço!$A45),0),"")</f>
        <v>3230685000</v>
      </c>
      <c r="F45" s="2">
        <f>IFERROR(HLOOKUP(F$1,Data!$1:$149,ROW(Bilanço!$A45),0),"")</f>
        <v>2965605000</v>
      </c>
      <c r="G45" s="2">
        <f>IFERROR(HLOOKUP(G$1,Data!$1:$149,ROW(Bilanço!$A45),0),"")</f>
        <v>2897939000</v>
      </c>
      <c r="H45" s="2">
        <f>IFERROR(HLOOKUP(H$1,Data!$1:$149,ROW(Bilanço!$A45),0),"")</f>
        <v>4209866000</v>
      </c>
      <c r="I45" s="2">
        <f>IFERROR(HLOOKUP(I$1,Data!$1:$149,ROW(Bilanço!$A45),0),"")</f>
        <v>6134222000</v>
      </c>
      <c r="J45" s="3">
        <f>IFERROR(HLOOKUP(J$1,Data!$1:$149,ROW(Bilanço!$A45),0),"")</f>
        <v>7257234000</v>
      </c>
      <c r="K45" s="3">
        <f>IFERROR(HLOOKUP(K$1,Data!$1:$149,ROW(Bilanço!$A45),0),"")</f>
        <v>15092084000</v>
      </c>
      <c r="L45" s="3">
        <f>IFERROR(HLOOKUP(L$1,Data!$1:$149,ROW(Bilanço!$A45),0),"")</f>
        <v>16538508000</v>
      </c>
      <c r="M45" s="3">
        <f>IFERROR(HLOOKUP(M$1,Data!$1:$149,ROW(Bilanço!$A45),0),"")</f>
        <v>27825778000</v>
      </c>
      <c r="N45" s="3">
        <f>IFERROR(HLOOKUP(N$1,Data!$1:$149,ROW(Bilanço!$A45),0),"")</f>
        <v>18784494000</v>
      </c>
      <c r="O45" s="3">
        <f>IFERROR(HLOOKUP(O$1,Data!$1:$149,ROW(Bilanço!$A45),0),"")</f>
        <v>11932732000</v>
      </c>
      <c r="P45" s="3">
        <f>IFERROR(HLOOKUP(P$1,Data!$1:$149,ROW(Bilanço!$A45),0),"")</f>
        <v>12796632000</v>
      </c>
      <c r="Q45" s="3">
        <f>IFERROR(HLOOKUP(Q$1,Data!$1:$149,ROW(Bilanço!$A45),0),"")</f>
        <v>22302898000</v>
      </c>
      <c r="R45" s="3">
        <f>IFERROR(HLOOKUP(R$1,Data!$1:$149,ROW(Bilanço!$A45),0),"")</f>
        <v>17102472000</v>
      </c>
      <c r="S45" s="3">
        <f>IFERROR(HLOOKUP(S$1,Data!$1:$149,ROW(Bilanço!$A45),0),"")</f>
        <v>16466405000</v>
      </c>
      <c r="T45" s="3">
        <f>IFERROR(HLOOKUP(T$1,Data!$1:$149,ROW(Bilanço!$A45),0),"")</f>
        <v>17692904000</v>
      </c>
      <c r="U45" s="3">
        <f>IFERROR(HLOOKUP(U$1,Data!$1:$149,ROW(Bilanço!$A45),0),"")</f>
        <v>35677697443</v>
      </c>
      <c r="V45" s="3">
        <f>IFERROR(HLOOKUP(V$1,Data!$1:$149,ROW(Bilanço!$A45),0),"")</f>
        <v>33982563000</v>
      </c>
      <c r="W45" s="3">
        <f>IFERROR(HLOOKUP(W$1,Data!$1:$149,ROW(Bilanço!$A45),0),"")</f>
        <v>58458705000</v>
      </c>
      <c r="X45" s="3">
        <f>IFERROR(HLOOKUP(X$1,Data!$1:$149,ROW(Bilanço!$A45),0),"")</f>
        <v>60835483000</v>
      </c>
    </row>
    <row r="46" spans="1:24" x14ac:dyDescent="0.25">
      <c r="A46" t="str">
        <f>Data!A46</f>
        <v xml:space="preserve">  Satış Amaçlı Elde Tutulan Duran Varlıklara İlişkin Yükümlülükler</v>
      </c>
      <c r="B46" s="2">
        <f>IFERROR(HLOOKUP(B$1,Data!$1:$149,ROW(Bilanço!$A46),0),"")</f>
        <v>0</v>
      </c>
      <c r="C46" s="2">
        <f>IFERROR(HLOOKUP(C$1,Data!$1:$149,ROW(Bilanço!$A46),0),"")</f>
        <v>0</v>
      </c>
      <c r="D46" s="2">
        <f>IFERROR(HLOOKUP(D$1,Data!$1:$149,ROW(Bilanço!$A46),0),"")</f>
        <v>0</v>
      </c>
      <c r="E46" s="2">
        <f>IFERROR(HLOOKUP(E$1,Data!$1:$149,ROW(Bilanço!$A46),0),"")</f>
        <v>0</v>
      </c>
      <c r="F46" s="2">
        <f>IFERROR(HLOOKUP(F$1,Data!$1:$149,ROW(Bilanço!$A46),0),"")</f>
        <v>0</v>
      </c>
      <c r="G46" s="2">
        <f>IFERROR(HLOOKUP(G$1,Data!$1:$149,ROW(Bilanço!$A46),0),"")</f>
        <v>0</v>
      </c>
      <c r="H46" s="2">
        <f>IFERROR(HLOOKUP(H$1,Data!$1:$149,ROW(Bilanço!$A46),0),"")</f>
        <v>0</v>
      </c>
      <c r="I46" s="2">
        <f>IFERROR(HLOOKUP(I$1,Data!$1:$149,ROW(Bilanço!$A46),0),"")</f>
        <v>0</v>
      </c>
      <c r="J46" s="3">
        <f>IFERROR(HLOOKUP(J$1,Data!$1:$149,ROW(Bilanço!$A46),0),"")</f>
        <v>0</v>
      </c>
      <c r="K46" s="3">
        <f>IFERROR(HLOOKUP(K$1,Data!$1:$149,ROW(Bilanço!$A46),0),"")</f>
        <v>0</v>
      </c>
      <c r="L46" s="3">
        <f>IFERROR(HLOOKUP(L$1,Data!$1:$149,ROW(Bilanço!$A46),0),"")</f>
        <v>0</v>
      </c>
      <c r="M46" s="3">
        <f>IFERROR(HLOOKUP(M$1,Data!$1:$149,ROW(Bilanço!$A46),0),"")</f>
        <v>0</v>
      </c>
      <c r="N46" s="3">
        <f>IFERROR(HLOOKUP(N$1,Data!$1:$149,ROW(Bilanço!$A46),0),"")</f>
        <v>0</v>
      </c>
      <c r="O46" s="3">
        <f>IFERROR(HLOOKUP(O$1,Data!$1:$149,ROW(Bilanço!$A46),0),"")</f>
        <v>0</v>
      </c>
      <c r="P46" s="3">
        <f>IFERROR(HLOOKUP(P$1,Data!$1:$149,ROW(Bilanço!$A46),0),"")</f>
        <v>0</v>
      </c>
      <c r="Q46" s="3">
        <f>IFERROR(HLOOKUP(Q$1,Data!$1:$149,ROW(Bilanço!$A46),0),"")</f>
        <v>0</v>
      </c>
      <c r="R46" s="3">
        <f>IFERROR(HLOOKUP(R$1,Data!$1:$149,ROW(Bilanço!$A46),0),"")</f>
        <v>0</v>
      </c>
      <c r="S46" s="3">
        <f>IFERROR(HLOOKUP(S$1,Data!$1:$149,ROW(Bilanço!$A46),0),"")</f>
        <v>0</v>
      </c>
      <c r="T46" s="3">
        <f>IFERROR(HLOOKUP(T$1,Data!$1:$149,ROW(Bilanço!$A46),0),"")</f>
        <v>0</v>
      </c>
      <c r="U46" s="3">
        <f>IFERROR(HLOOKUP(U$1,Data!$1:$149,ROW(Bilanço!$A46),0),"")</f>
        <v>0</v>
      </c>
      <c r="V46" s="3">
        <f>IFERROR(HLOOKUP(V$1,Data!$1:$149,ROW(Bilanço!$A46),0),"")</f>
        <v>0</v>
      </c>
      <c r="W46" s="3">
        <f>IFERROR(HLOOKUP(W$1,Data!$1:$149,ROW(Bilanço!$A46),0),"")</f>
        <v>0</v>
      </c>
      <c r="X46" s="3">
        <f>IFERROR(HLOOKUP(X$1,Data!$1:$149,ROW(Bilanço!$A46),0),"")</f>
        <v>0</v>
      </c>
    </row>
    <row r="47" spans="1:24" x14ac:dyDescent="0.25">
      <c r="A47" t="str">
        <f>Data!A47</f>
        <v>Uzun Vadeli Yükümlülükler</v>
      </c>
      <c r="B47" s="2">
        <f>IFERROR(HLOOKUP(B$1,Data!$1:$149,ROW(Bilanço!$A47),0),"")</f>
        <v>1000094000</v>
      </c>
      <c r="C47" s="2">
        <f>IFERROR(HLOOKUP(C$1,Data!$1:$149,ROW(Bilanço!$A47),0),"")</f>
        <v>4057727000</v>
      </c>
      <c r="D47" s="2">
        <f>IFERROR(HLOOKUP(D$1,Data!$1:$149,ROW(Bilanço!$A47),0),"")</f>
        <v>4723797000</v>
      </c>
      <c r="E47" s="2">
        <f>IFERROR(HLOOKUP(E$1,Data!$1:$149,ROW(Bilanço!$A47),0),"")</f>
        <v>9444296000</v>
      </c>
      <c r="F47" s="2">
        <f>IFERROR(HLOOKUP(F$1,Data!$1:$149,ROW(Bilanço!$A47),0),"")</f>
        <v>10103946000</v>
      </c>
      <c r="G47" s="2">
        <f>IFERROR(HLOOKUP(G$1,Data!$1:$149,ROW(Bilanço!$A47),0),"")</f>
        <v>10294116000</v>
      </c>
      <c r="H47" s="2">
        <f>IFERROR(HLOOKUP(H$1,Data!$1:$149,ROW(Bilanço!$A47),0),"")</f>
        <v>10962464000</v>
      </c>
      <c r="I47" s="2">
        <f>IFERROR(HLOOKUP(I$1,Data!$1:$149,ROW(Bilanço!$A47),0),"")</f>
        <v>15795501000</v>
      </c>
      <c r="J47" s="3">
        <f>IFERROR(HLOOKUP(J$1,Data!$1:$149,ROW(Bilanço!$A47),0),"")</f>
        <v>17408642000</v>
      </c>
      <c r="K47" s="3">
        <f>IFERROR(HLOOKUP(K$1,Data!$1:$149,ROW(Bilanço!$A47),0),"")</f>
        <v>12005655000</v>
      </c>
      <c r="L47" s="3">
        <f>IFERROR(HLOOKUP(L$1,Data!$1:$149,ROW(Bilanço!$A47),0),"")</f>
        <v>13518395000</v>
      </c>
      <c r="M47" s="3">
        <f>IFERROR(HLOOKUP(M$1,Data!$1:$149,ROW(Bilanço!$A47),0),"")</f>
        <v>22680279000</v>
      </c>
      <c r="N47" s="3">
        <f>IFERROR(HLOOKUP(N$1,Data!$1:$149,ROW(Bilanço!$A47),0),"")</f>
        <v>13816036000</v>
      </c>
      <c r="O47" s="3">
        <f>IFERROR(HLOOKUP(O$1,Data!$1:$149,ROW(Bilanço!$A47),0),"")</f>
        <v>24354012000</v>
      </c>
      <c r="P47" s="3">
        <f>IFERROR(HLOOKUP(P$1,Data!$1:$149,ROW(Bilanço!$A47),0),"")</f>
        <v>24755025000</v>
      </c>
      <c r="Q47" s="3">
        <f>IFERROR(HLOOKUP(Q$1,Data!$1:$149,ROW(Bilanço!$A47),0),"")</f>
        <v>38029627000</v>
      </c>
      <c r="R47" s="3">
        <f>IFERROR(HLOOKUP(R$1,Data!$1:$149,ROW(Bilanço!$A47),0),"")</f>
        <v>29664747000</v>
      </c>
      <c r="S47" s="3">
        <f>IFERROR(HLOOKUP(S$1,Data!$1:$149,ROW(Bilanço!$A47),0),"")</f>
        <v>33776513000</v>
      </c>
      <c r="T47" s="3">
        <f>IFERROR(HLOOKUP(T$1,Data!$1:$149,ROW(Bilanço!$A47),0),"")</f>
        <v>43137967000</v>
      </c>
      <c r="U47" s="3">
        <f>IFERROR(HLOOKUP(U$1,Data!$1:$149,ROW(Bilanço!$A47),0),"")</f>
        <v>44548745179</v>
      </c>
      <c r="V47" s="3">
        <f>IFERROR(HLOOKUP(V$1,Data!$1:$149,ROW(Bilanço!$A47),0),"")</f>
        <v>39120533000</v>
      </c>
      <c r="W47" s="3">
        <f>IFERROR(HLOOKUP(W$1,Data!$1:$149,ROW(Bilanço!$A47),0),"")</f>
        <v>24883203000</v>
      </c>
      <c r="X47" s="3">
        <f>IFERROR(HLOOKUP(X$1,Data!$1:$149,ROW(Bilanço!$A47),0),"")</f>
        <v>25789527000</v>
      </c>
    </row>
    <row r="48" spans="1:24" x14ac:dyDescent="0.25">
      <c r="A48" t="str">
        <f>Data!A48</f>
        <v xml:space="preserve">  Finansal Borçlar</v>
      </c>
      <c r="B48" s="2">
        <f>IFERROR(HLOOKUP(B$1,Data!$1:$149,ROW(Bilanço!$A48),0),"")</f>
        <v>711872000</v>
      </c>
      <c r="C48" s="2">
        <f>IFERROR(HLOOKUP(C$1,Data!$1:$149,ROW(Bilanço!$A48),0),"")</f>
        <v>3753105000</v>
      </c>
      <c r="D48" s="2">
        <f>IFERROR(HLOOKUP(D$1,Data!$1:$149,ROW(Bilanço!$A48),0),"")</f>
        <v>4392082000</v>
      </c>
      <c r="E48" s="2">
        <f>IFERROR(HLOOKUP(E$1,Data!$1:$149,ROW(Bilanço!$A48),0),"")</f>
        <v>9058346000</v>
      </c>
      <c r="F48" s="2">
        <f>IFERROR(HLOOKUP(F$1,Data!$1:$149,ROW(Bilanço!$A48),0),"")</f>
        <v>9729709000</v>
      </c>
      <c r="G48" s="2">
        <f>IFERROR(HLOOKUP(G$1,Data!$1:$149,ROW(Bilanço!$A48),0),"")</f>
        <v>9910917000</v>
      </c>
      <c r="H48" s="2">
        <f>IFERROR(HLOOKUP(H$1,Data!$1:$149,ROW(Bilanço!$A48),0),"")</f>
        <v>10558359000</v>
      </c>
      <c r="I48" s="2">
        <f>IFERROR(HLOOKUP(I$1,Data!$1:$149,ROW(Bilanço!$A48),0),"")</f>
        <v>15313776000</v>
      </c>
      <c r="J48" s="3">
        <f>IFERROR(HLOOKUP(J$1,Data!$1:$149,ROW(Bilanço!$A48),0),"")</f>
        <v>16865507000</v>
      </c>
      <c r="K48" s="3">
        <f>IFERROR(HLOOKUP(K$1,Data!$1:$149,ROW(Bilanço!$A48),0),"")</f>
        <v>11412432000</v>
      </c>
      <c r="L48" s="3">
        <f>IFERROR(HLOOKUP(L$1,Data!$1:$149,ROW(Bilanço!$A48),0),"")</f>
        <v>12796732000</v>
      </c>
      <c r="M48" s="3">
        <f>IFERROR(HLOOKUP(M$1,Data!$1:$149,ROW(Bilanço!$A48),0),"")</f>
        <v>20348024000</v>
      </c>
      <c r="N48" s="3">
        <f>IFERROR(HLOOKUP(N$1,Data!$1:$149,ROW(Bilanço!$A48),0),"")</f>
        <v>12830370000</v>
      </c>
      <c r="O48" s="3">
        <f>IFERROR(HLOOKUP(O$1,Data!$1:$149,ROW(Bilanço!$A48),0),"")</f>
        <v>23317042000</v>
      </c>
      <c r="P48" s="3">
        <f>IFERROR(HLOOKUP(P$1,Data!$1:$149,ROW(Bilanço!$A48),0),"")</f>
        <v>23592388000</v>
      </c>
      <c r="Q48" s="3">
        <f>IFERROR(HLOOKUP(Q$1,Data!$1:$149,ROW(Bilanço!$A48),0),"")</f>
        <v>36242814000</v>
      </c>
      <c r="R48" s="3">
        <f>IFERROR(HLOOKUP(R$1,Data!$1:$149,ROW(Bilanço!$A48),0),"")</f>
        <v>27876010000</v>
      </c>
      <c r="S48" s="3">
        <f>IFERROR(HLOOKUP(S$1,Data!$1:$149,ROW(Bilanço!$A48),0),"")</f>
        <v>31478927000</v>
      </c>
      <c r="T48" s="3">
        <f>IFERROR(HLOOKUP(T$1,Data!$1:$149,ROW(Bilanço!$A48),0),"")</f>
        <v>39885968000</v>
      </c>
      <c r="U48" s="3">
        <f>IFERROR(HLOOKUP(U$1,Data!$1:$149,ROW(Bilanço!$A48),0),"")</f>
        <v>41059306589</v>
      </c>
      <c r="V48" s="3">
        <f>IFERROR(HLOOKUP(V$1,Data!$1:$149,ROW(Bilanço!$A48),0),"")</f>
        <v>35521562000</v>
      </c>
      <c r="W48" s="3">
        <f>IFERROR(HLOOKUP(W$1,Data!$1:$149,ROW(Bilanço!$A48),0),"")</f>
        <v>20879282000</v>
      </c>
      <c r="X48" s="3">
        <f>IFERROR(HLOOKUP(X$1,Data!$1:$149,ROW(Bilanço!$A48),0),"")</f>
        <v>21513932000</v>
      </c>
    </row>
    <row r="49" spans="1:24" x14ac:dyDescent="0.25">
      <c r="A49" t="str">
        <f>Data!A49</f>
        <v xml:space="preserve">  Diğer Finansal Yükümlülükler</v>
      </c>
      <c r="B49" s="2">
        <f>IFERROR(HLOOKUP(B$1,Data!$1:$149,ROW(Bilanço!$A49),0),"")</f>
        <v>0</v>
      </c>
      <c r="C49" s="2">
        <f>IFERROR(HLOOKUP(C$1,Data!$1:$149,ROW(Bilanço!$A49),0),"")</f>
        <v>0</v>
      </c>
      <c r="D49" s="2">
        <f>IFERROR(HLOOKUP(D$1,Data!$1:$149,ROW(Bilanço!$A49),0),"")</f>
        <v>0</v>
      </c>
      <c r="E49" s="2">
        <f>IFERROR(HLOOKUP(E$1,Data!$1:$149,ROW(Bilanço!$A49),0),"")</f>
        <v>0</v>
      </c>
      <c r="F49" s="2">
        <f>IFERROR(HLOOKUP(F$1,Data!$1:$149,ROW(Bilanço!$A49),0),"")</f>
        <v>0</v>
      </c>
      <c r="G49" s="2">
        <f>IFERROR(HLOOKUP(G$1,Data!$1:$149,ROW(Bilanço!$A49),0),"")</f>
        <v>0</v>
      </c>
      <c r="H49" s="2">
        <f>IFERROR(HLOOKUP(H$1,Data!$1:$149,ROW(Bilanço!$A49),0),"")</f>
        <v>0</v>
      </c>
      <c r="I49" s="2">
        <f>IFERROR(HLOOKUP(I$1,Data!$1:$149,ROW(Bilanço!$A49),0),"")</f>
        <v>0</v>
      </c>
      <c r="J49" s="3">
        <f>IFERROR(HLOOKUP(J$1,Data!$1:$149,ROW(Bilanço!$A49),0),"")</f>
        <v>0</v>
      </c>
      <c r="K49" s="3">
        <f>IFERROR(HLOOKUP(K$1,Data!$1:$149,ROW(Bilanço!$A49),0),"")</f>
        <v>0</v>
      </c>
      <c r="L49" s="3">
        <f>IFERROR(HLOOKUP(L$1,Data!$1:$149,ROW(Bilanço!$A49),0),"")</f>
        <v>0</v>
      </c>
      <c r="M49" s="3">
        <f>IFERROR(HLOOKUP(M$1,Data!$1:$149,ROW(Bilanço!$A49),0),"")</f>
        <v>0</v>
      </c>
      <c r="N49" s="3">
        <f>IFERROR(HLOOKUP(N$1,Data!$1:$149,ROW(Bilanço!$A49),0),"")</f>
        <v>0</v>
      </c>
      <c r="O49" s="3">
        <f>IFERROR(HLOOKUP(O$1,Data!$1:$149,ROW(Bilanço!$A49),0),"")</f>
        <v>0</v>
      </c>
      <c r="P49" s="3">
        <f>IFERROR(HLOOKUP(P$1,Data!$1:$149,ROW(Bilanço!$A49),0),"")</f>
        <v>0</v>
      </c>
      <c r="Q49" s="3">
        <f>IFERROR(HLOOKUP(Q$1,Data!$1:$149,ROW(Bilanço!$A49),0),"")</f>
        <v>0</v>
      </c>
      <c r="R49" s="3">
        <f>IFERROR(HLOOKUP(R$1,Data!$1:$149,ROW(Bilanço!$A49),0),"")</f>
        <v>0</v>
      </c>
      <c r="S49" s="3">
        <f>IFERROR(HLOOKUP(S$1,Data!$1:$149,ROW(Bilanço!$A49),0),"")</f>
        <v>0</v>
      </c>
      <c r="T49" s="3">
        <f>IFERROR(HLOOKUP(T$1,Data!$1:$149,ROW(Bilanço!$A49),0),"")</f>
        <v>0</v>
      </c>
      <c r="U49" s="3">
        <f>IFERROR(HLOOKUP(U$1,Data!$1:$149,ROW(Bilanço!$A49),0),"")</f>
        <v>0</v>
      </c>
      <c r="V49" s="3">
        <f>IFERROR(HLOOKUP(V$1,Data!$1:$149,ROW(Bilanço!$A49),0),"")</f>
        <v>0</v>
      </c>
      <c r="W49" s="3">
        <f>IFERROR(HLOOKUP(W$1,Data!$1:$149,ROW(Bilanço!$A49),0),"")</f>
        <v>0</v>
      </c>
      <c r="X49" s="3">
        <f>IFERROR(HLOOKUP(X$1,Data!$1:$149,ROW(Bilanço!$A49),0),"")</f>
        <v>0</v>
      </c>
    </row>
    <row r="50" spans="1:24" x14ac:dyDescent="0.25">
      <c r="A50" t="str">
        <f>Data!A50</f>
        <v xml:space="preserve">  Ticari Borçlar</v>
      </c>
      <c r="B50" s="2">
        <f>IFERROR(HLOOKUP(B$1,Data!$1:$149,ROW(Bilanço!$A50),0),"")</f>
        <v>0</v>
      </c>
      <c r="C50" s="2">
        <f>IFERROR(HLOOKUP(C$1,Data!$1:$149,ROW(Bilanço!$A50),0),"")</f>
        <v>0</v>
      </c>
      <c r="D50" s="2">
        <f>IFERROR(HLOOKUP(D$1,Data!$1:$149,ROW(Bilanço!$A50),0),"")</f>
        <v>0</v>
      </c>
      <c r="E50" s="2">
        <f>IFERROR(HLOOKUP(E$1,Data!$1:$149,ROW(Bilanço!$A50),0),"")</f>
        <v>0</v>
      </c>
      <c r="F50" s="2">
        <f>IFERROR(HLOOKUP(F$1,Data!$1:$149,ROW(Bilanço!$A50),0),"")</f>
        <v>0</v>
      </c>
      <c r="G50" s="2">
        <f>IFERROR(HLOOKUP(G$1,Data!$1:$149,ROW(Bilanço!$A50),0),"")</f>
        <v>0</v>
      </c>
      <c r="H50" s="2">
        <f>IFERROR(HLOOKUP(H$1,Data!$1:$149,ROW(Bilanço!$A50),0),"")</f>
        <v>0</v>
      </c>
      <c r="I50" s="2">
        <f>IFERROR(HLOOKUP(I$1,Data!$1:$149,ROW(Bilanço!$A50),0),"")</f>
        <v>0</v>
      </c>
      <c r="J50" s="3">
        <f>IFERROR(HLOOKUP(J$1,Data!$1:$149,ROW(Bilanço!$A50),0),"")</f>
        <v>0</v>
      </c>
      <c r="K50" s="3">
        <f>IFERROR(HLOOKUP(K$1,Data!$1:$149,ROW(Bilanço!$A50),0),"")</f>
        <v>0</v>
      </c>
      <c r="L50" s="3">
        <f>IFERROR(HLOOKUP(L$1,Data!$1:$149,ROW(Bilanço!$A50),0),"")</f>
        <v>0</v>
      </c>
      <c r="M50" s="3">
        <f>IFERROR(HLOOKUP(M$1,Data!$1:$149,ROW(Bilanço!$A50),0),"")</f>
        <v>0</v>
      </c>
      <c r="N50" s="3">
        <f>IFERROR(HLOOKUP(N$1,Data!$1:$149,ROW(Bilanço!$A50),0),"")</f>
        <v>0</v>
      </c>
      <c r="O50" s="3">
        <f>IFERROR(HLOOKUP(O$1,Data!$1:$149,ROW(Bilanço!$A50),0),"")</f>
        <v>0</v>
      </c>
      <c r="P50" s="3">
        <f>IFERROR(HLOOKUP(P$1,Data!$1:$149,ROW(Bilanço!$A50),0),"")</f>
        <v>0</v>
      </c>
      <c r="Q50" s="3">
        <f>IFERROR(HLOOKUP(Q$1,Data!$1:$149,ROW(Bilanço!$A50),0),"")</f>
        <v>0</v>
      </c>
      <c r="R50" s="3">
        <f>IFERROR(HLOOKUP(R$1,Data!$1:$149,ROW(Bilanço!$A50),0),"")</f>
        <v>0</v>
      </c>
      <c r="S50" s="3">
        <f>IFERROR(HLOOKUP(S$1,Data!$1:$149,ROW(Bilanço!$A50),0),"")</f>
        <v>0</v>
      </c>
      <c r="T50" s="3">
        <f>IFERROR(HLOOKUP(T$1,Data!$1:$149,ROW(Bilanço!$A50),0),"")</f>
        <v>0</v>
      </c>
      <c r="U50" s="3">
        <f>IFERROR(HLOOKUP(U$1,Data!$1:$149,ROW(Bilanço!$A50),0),"")</f>
        <v>0</v>
      </c>
      <c r="V50" s="3">
        <f>IFERROR(HLOOKUP(V$1,Data!$1:$149,ROW(Bilanço!$A50),0),"")</f>
        <v>0</v>
      </c>
      <c r="W50" s="3">
        <f>IFERROR(HLOOKUP(W$1,Data!$1:$149,ROW(Bilanço!$A50),0),"")</f>
        <v>0</v>
      </c>
      <c r="X50" s="3">
        <f>IFERROR(HLOOKUP(X$1,Data!$1:$149,ROW(Bilanço!$A50),0),"")</f>
        <v>0</v>
      </c>
    </row>
    <row r="51" spans="1:24" x14ac:dyDescent="0.25">
      <c r="A51" t="str">
        <f>Data!A51</f>
        <v xml:space="preserve">  Diğer Borçlar</v>
      </c>
      <c r="B51" s="2">
        <f>IFERROR(HLOOKUP(B$1,Data!$1:$149,ROW(Bilanço!$A51),0),"")</f>
        <v>0</v>
      </c>
      <c r="C51" s="2">
        <f>IFERROR(HLOOKUP(C$1,Data!$1:$149,ROW(Bilanço!$A51),0),"")</f>
        <v>0</v>
      </c>
      <c r="D51" s="2">
        <f>IFERROR(HLOOKUP(D$1,Data!$1:$149,ROW(Bilanço!$A51),0),"")</f>
        <v>0</v>
      </c>
      <c r="E51" s="2">
        <f>IFERROR(HLOOKUP(E$1,Data!$1:$149,ROW(Bilanço!$A51),0),"")</f>
        <v>0</v>
      </c>
      <c r="F51" s="2">
        <f>IFERROR(HLOOKUP(F$1,Data!$1:$149,ROW(Bilanço!$A51),0),"")</f>
        <v>0</v>
      </c>
      <c r="G51" s="2">
        <f>IFERROR(HLOOKUP(G$1,Data!$1:$149,ROW(Bilanço!$A51),0),"")</f>
        <v>0</v>
      </c>
      <c r="H51" s="2">
        <f>IFERROR(HLOOKUP(H$1,Data!$1:$149,ROW(Bilanço!$A51),0),"")</f>
        <v>0</v>
      </c>
      <c r="I51" s="2">
        <f>IFERROR(HLOOKUP(I$1,Data!$1:$149,ROW(Bilanço!$A51),0),"")</f>
        <v>0</v>
      </c>
      <c r="J51" s="3">
        <f>IFERROR(HLOOKUP(J$1,Data!$1:$149,ROW(Bilanço!$A51),0),"")</f>
        <v>0</v>
      </c>
      <c r="K51" s="3">
        <f>IFERROR(HLOOKUP(K$1,Data!$1:$149,ROW(Bilanço!$A51),0),"")</f>
        <v>0</v>
      </c>
      <c r="L51" s="3">
        <f>IFERROR(HLOOKUP(L$1,Data!$1:$149,ROW(Bilanço!$A51),0),"")</f>
        <v>0</v>
      </c>
      <c r="M51" s="3">
        <f>IFERROR(HLOOKUP(M$1,Data!$1:$149,ROW(Bilanço!$A51),0),"")</f>
        <v>0</v>
      </c>
      <c r="N51" s="3">
        <f>IFERROR(HLOOKUP(N$1,Data!$1:$149,ROW(Bilanço!$A51),0),"")</f>
        <v>0</v>
      </c>
      <c r="O51" s="3">
        <f>IFERROR(HLOOKUP(O$1,Data!$1:$149,ROW(Bilanço!$A51),0),"")</f>
        <v>0</v>
      </c>
      <c r="P51" s="3">
        <f>IFERROR(HLOOKUP(P$1,Data!$1:$149,ROW(Bilanço!$A51),0),"")</f>
        <v>0</v>
      </c>
      <c r="Q51" s="3">
        <f>IFERROR(HLOOKUP(Q$1,Data!$1:$149,ROW(Bilanço!$A51),0),"")</f>
        <v>0</v>
      </c>
      <c r="R51" s="3">
        <f>IFERROR(HLOOKUP(R$1,Data!$1:$149,ROW(Bilanço!$A51),0),"")</f>
        <v>0</v>
      </c>
      <c r="S51" s="3">
        <f>IFERROR(HLOOKUP(S$1,Data!$1:$149,ROW(Bilanço!$A51),0),"")</f>
        <v>0</v>
      </c>
      <c r="T51" s="3">
        <f>IFERROR(HLOOKUP(T$1,Data!$1:$149,ROW(Bilanço!$A51),0),"")</f>
        <v>0</v>
      </c>
      <c r="U51" s="3">
        <f>IFERROR(HLOOKUP(U$1,Data!$1:$149,ROW(Bilanço!$A51),0),"")</f>
        <v>0</v>
      </c>
      <c r="V51" s="3">
        <f>IFERROR(HLOOKUP(V$1,Data!$1:$149,ROW(Bilanço!$A51),0),"")</f>
        <v>0</v>
      </c>
      <c r="W51" s="3">
        <f>IFERROR(HLOOKUP(W$1,Data!$1:$149,ROW(Bilanço!$A51),0),"")</f>
        <v>0</v>
      </c>
      <c r="X51" s="3">
        <f>IFERROR(HLOOKUP(X$1,Data!$1:$149,ROW(Bilanço!$A51),0),"")</f>
        <v>0</v>
      </c>
    </row>
    <row r="52" spans="1:24" x14ac:dyDescent="0.25">
      <c r="A52" t="str">
        <f>Data!A52</f>
        <v xml:space="preserve">  Müşteri Söz.Doğan Yük.</v>
      </c>
      <c r="B52" s="2">
        <f>IFERROR(HLOOKUP(B$1,Data!$1:$149,ROW(Bilanço!$A52),0),"")</f>
        <v>0</v>
      </c>
      <c r="C52" s="2">
        <f>IFERROR(HLOOKUP(C$1,Data!$1:$149,ROW(Bilanço!$A52),0),"")</f>
        <v>0</v>
      </c>
      <c r="D52" s="2">
        <f>IFERROR(HLOOKUP(D$1,Data!$1:$149,ROW(Bilanço!$A52),0),"")</f>
        <v>0</v>
      </c>
      <c r="E52" s="2">
        <f>IFERROR(HLOOKUP(E$1,Data!$1:$149,ROW(Bilanço!$A52),0),"")</f>
        <v>0</v>
      </c>
      <c r="F52" s="2">
        <f>IFERROR(HLOOKUP(F$1,Data!$1:$149,ROW(Bilanço!$A52),0),"")</f>
        <v>0</v>
      </c>
      <c r="G52" s="2">
        <f>IFERROR(HLOOKUP(G$1,Data!$1:$149,ROW(Bilanço!$A52),0),"")</f>
        <v>0</v>
      </c>
      <c r="H52" s="2">
        <f>IFERROR(HLOOKUP(H$1,Data!$1:$149,ROW(Bilanço!$A52),0),"")</f>
        <v>0</v>
      </c>
      <c r="I52" s="2">
        <f>IFERROR(HLOOKUP(I$1,Data!$1:$149,ROW(Bilanço!$A52),0),"")</f>
        <v>0</v>
      </c>
      <c r="J52" s="3">
        <f>IFERROR(HLOOKUP(J$1,Data!$1:$149,ROW(Bilanço!$A52),0),"")</f>
        <v>0</v>
      </c>
      <c r="K52" s="3">
        <f>IFERROR(HLOOKUP(K$1,Data!$1:$149,ROW(Bilanço!$A52),0),"")</f>
        <v>0</v>
      </c>
      <c r="L52" s="3">
        <f>IFERROR(HLOOKUP(L$1,Data!$1:$149,ROW(Bilanço!$A52),0),"")</f>
        <v>0</v>
      </c>
      <c r="M52" s="3">
        <f>IFERROR(HLOOKUP(M$1,Data!$1:$149,ROW(Bilanço!$A52),0),"")</f>
        <v>0</v>
      </c>
      <c r="N52" s="3">
        <f>IFERROR(HLOOKUP(N$1,Data!$1:$149,ROW(Bilanço!$A52),0),"")</f>
        <v>0</v>
      </c>
      <c r="O52" s="3">
        <f>IFERROR(HLOOKUP(O$1,Data!$1:$149,ROW(Bilanço!$A52),0),"")</f>
        <v>0</v>
      </c>
      <c r="P52" s="3">
        <f>IFERROR(HLOOKUP(P$1,Data!$1:$149,ROW(Bilanço!$A52),0),"")</f>
        <v>0</v>
      </c>
      <c r="Q52" s="3">
        <f>IFERROR(HLOOKUP(Q$1,Data!$1:$149,ROW(Bilanço!$A52),0),"")</f>
        <v>0</v>
      </c>
      <c r="R52" s="3">
        <f>IFERROR(HLOOKUP(R$1,Data!$1:$149,ROW(Bilanço!$A52),0),"")</f>
        <v>0</v>
      </c>
      <c r="S52" s="3">
        <f>IFERROR(HLOOKUP(S$1,Data!$1:$149,ROW(Bilanço!$A52),0),"")</f>
        <v>0</v>
      </c>
      <c r="T52" s="3">
        <f>IFERROR(HLOOKUP(T$1,Data!$1:$149,ROW(Bilanço!$A52),0),"")</f>
        <v>0</v>
      </c>
      <c r="U52" s="3">
        <f>IFERROR(HLOOKUP(U$1,Data!$1:$149,ROW(Bilanço!$A52),0),"")</f>
        <v>0</v>
      </c>
      <c r="V52" s="3">
        <f>IFERROR(HLOOKUP(V$1,Data!$1:$149,ROW(Bilanço!$A52),0),"")</f>
        <v>0</v>
      </c>
      <c r="W52" s="3">
        <f>IFERROR(HLOOKUP(W$1,Data!$1:$149,ROW(Bilanço!$A52),0),"")</f>
        <v>0</v>
      </c>
      <c r="X52" s="3">
        <f>IFERROR(HLOOKUP(X$1,Data!$1:$149,ROW(Bilanço!$A52),0),"")</f>
        <v>0</v>
      </c>
    </row>
    <row r="53" spans="1:24" x14ac:dyDescent="0.25">
      <c r="A53" t="str">
        <f>Data!A53</f>
        <v xml:space="preserve">  Finans Sektörü Faaliyetlerinden Borçlar</v>
      </c>
      <c r="B53" s="2">
        <f>IFERROR(HLOOKUP(B$1,Data!$1:$149,ROW(Bilanço!$A53),0),"")</f>
        <v>0</v>
      </c>
      <c r="C53" s="2">
        <f>IFERROR(HLOOKUP(C$1,Data!$1:$149,ROW(Bilanço!$A53),0),"")</f>
        <v>0</v>
      </c>
      <c r="D53" s="2">
        <f>IFERROR(HLOOKUP(D$1,Data!$1:$149,ROW(Bilanço!$A53),0),"")</f>
        <v>0</v>
      </c>
      <c r="E53" s="2">
        <f>IFERROR(HLOOKUP(E$1,Data!$1:$149,ROW(Bilanço!$A53),0),"")</f>
        <v>0</v>
      </c>
      <c r="F53" s="2">
        <f>IFERROR(HLOOKUP(F$1,Data!$1:$149,ROW(Bilanço!$A53),0),"")</f>
        <v>0</v>
      </c>
      <c r="G53" s="2">
        <f>IFERROR(HLOOKUP(G$1,Data!$1:$149,ROW(Bilanço!$A53),0),"")</f>
        <v>0</v>
      </c>
      <c r="H53" s="2">
        <f>IFERROR(HLOOKUP(H$1,Data!$1:$149,ROW(Bilanço!$A53),0),"")</f>
        <v>0</v>
      </c>
      <c r="I53" s="2">
        <f>IFERROR(HLOOKUP(I$1,Data!$1:$149,ROW(Bilanço!$A53),0),"")</f>
        <v>0</v>
      </c>
      <c r="J53" s="3">
        <f>IFERROR(HLOOKUP(J$1,Data!$1:$149,ROW(Bilanço!$A53),0),"")</f>
        <v>0</v>
      </c>
      <c r="K53" s="3">
        <f>IFERROR(HLOOKUP(K$1,Data!$1:$149,ROW(Bilanço!$A53),0),"")</f>
        <v>0</v>
      </c>
      <c r="L53" s="3">
        <f>IFERROR(HLOOKUP(L$1,Data!$1:$149,ROW(Bilanço!$A53),0),"")</f>
        <v>0</v>
      </c>
      <c r="M53" s="3">
        <f>IFERROR(HLOOKUP(M$1,Data!$1:$149,ROW(Bilanço!$A53),0),"")</f>
        <v>0</v>
      </c>
      <c r="N53" s="3">
        <f>IFERROR(HLOOKUP(N$1,Data!$1:$149,ROW(Bilanço!$A53),0),"")</f>
        <v>0</v>
      </c>
      <c r="O53" s="3">
        <f>IFERROR(HLOOKUP(O$1,Data!$1:$149,ROW(Bilanço!$A53),0),"")</f>
        <v>0</v>
      </c>
      <c r="P53" s="3">
        <f>IFERROR(HLOOKUP(P$1,Data!$1:$149,ROW(Bilanço!$A53),0),"")</f>
        <v>0</v>
      </c>
      <c r="Q53" s="3">
        <f>IFERROR(HLOOKUP(Q$1,Data!$1:$149,ROW(Bilanço!$A53),0),"")</f>
        <v>0</v>
      </c>
      <c r="R53" s="3">
        <f>IFERROR(HLOOKUP(R$1,Data!$1:$149,ROW(Bilanço!$A53),0),"")</f>
        <v>0</v>
      </c>
      <c r="S53" s="3">
        <f>IFERROR(HLOOKUP(S$1,Data!$1:$149,ROW(Bilanço!$A53),0),"")</f>
        <v>0</v>
      </c>
      <c r="T53" s="3">
        <f>IFERROR(HLOOKUP(T$1,Data!$1:$149,ROW(Bilanço!$A53),0),"")</f>
        <v>0</v>
      </c>
      <c r="U53" s="3">
        <f>IFERROR(HLOOKUP(U$1,Data!$1:$149,ROW(Bilanço!$A53),0),"")</f>
        <v>0</v>
      </c>
      <c r="V53" s="3">
        <f>IFERROR(HLOOKUP(V$1,Data!$1:$149,ROW(Bilanço!$A53),0),"")</f>
        <v>0</v>
      </c>
      <c r="W53" s="3">
        <f>IFERROR(HLOOKUP(W$1,Data!$1:$149,ROW(Bilanço!$A53),0),"")</f>
        <v>0</v>
      </c>
      <c r="X53" s="3">
        <f>IFERROR(HLOOKUP(X$1,Data!$1:$149,ROW(Bilanço!$A53),0),"")</f>
        <v>0</v>
      </c>
    </row>
    <row r="54" spans="1:24" x14ac:dyDescent="0.25">
      <c r="A54" t="str">
        <f>Data!A54</f>
        <v xml:space="preserve">  Devlet Teşvik ve Yardımları</v>
      </c>
      <c r="B54" s="2">
        <f>IFERROR(HLOOKUP(B$1,Data!$1:$149,ROW(Bilanço!$A54),0),"")</f>
        <v>0</v>
      </c>
      <c r="C54" s="2">
        <f>IFERROR(HLOOKUP(C$1,Data!$1:$149,ROW(Bilanço!$A54),0),"")</f>
        <v>0</v>
      </c>
      <c r="D54" s="2">
        <f>IFERROR(HLOOKUP(D$1,Data!$1:$149,ROW(Bilanço!$A54),0),"")</f>
        <v>0</v>
      </c>
      <c r="E54" s="2">
        <f>IFERROR(HLOOKUP(E$1,Data!$1:$149,ROW(Bilanço!$A54),0),"")</f>
        <v>0</v>
      </c>
      <c r="F54" s="2">
        <f>IFERROR(HLOOKUP(F$1,Data!$1:$149,ROW(Bilanço!$A54),0),"")</f>
        <v>0</v>
      </c>
      <c r="G54" s="2">
        <f>IFERROR(HLOOKUP(G$1,Data!$1:$149,ROW(Bilanço!$A54),0),"")</f>
        <v>0</v>
      </c>
      <c r="H54" s="2">
        <f>IFERROR(HLOOKUP(H$1,Data!$1:$149,ROW(Bilanço!$A54),0),"")</f>
        <v>0</v>
      </c>
      <c r="I54" s="2">
        <f>IFERROR(HLOOKUP(I$1,Data!$1:$149,ROW(Bilanço!$A54),0),"")</f>
        <v>0</v>
      </c>
      <c r="J54" s="3">
        <f>IFERROR(HLOOKUP(J$1,Data!$1:$149,ROW(Bilanço!$A54),0),"")</f>
        <v>0</v>
      </c>
      <c r="K54" s="3">
        <f>IFERROR(HLOOKUP(K$1,Data!$1:$149,ROW(Bilanço!$A54),0),"")</f>
        <v>0</v>
      </c>
      <c r="L54" s="3">
        <f>IFERROR(HLOOKUP(L$1,Data!$1:$149,ROW(Bilanço!$A54),0),"")</f>
        <v>0</v>
      </c>
      <c r="M54" s="3">
        <f>IFERROR(HLOOKUP(M$1,Data!$1:$149,ROW(Bilanço!$A54),0),"")</f>
        <v>0</v>
      </c>
      <c r="N54" s="3">
        <f>IFERROR(HLOOKUP(N$1,Data!$1:$149,ROW(Bilanço!$A54),0),"")</f>
        <v>0</v>
      </c>
      <c r="O54" s="3">
        <f>IFERROR(HLOOKUP(O$1,Data!$1:$149,ROW(Bilanço!$A54),0),"")</f>
        <v>0</v>
      </c>
      <c r="P54" s="3">
        <f>IFERROR(HLOOKUP(P$1,Data!$1:$149,ROW(Bilanço!$A54),0),"")</f>
        <v>0</v>
      </c>
      <c r="Q54" s="3">
        <f>IFERROR(HLOOKUP(Q$1,Data!$1:$149,ROW(Bilanço!$A54),0),"")</f>
        <v>0</v>
      </c>
      <c r="R54" s="3">
        <f>IFERROR(HLOOKUP(R$1,Data!$1:$149,ROW(Bilanço!$A54),0),"")</f>
        <v>0</v>
      </c>
      <c r="S54" s="3">
        <f>IFERROR(HLOOKUP(S$1,Data!$1:$149,ROW(Bilanço!$A54),0),"")</f>
        <v>0</v>
      </c>
      <c r="T54" s="3">
        <f>IFERROR(HLOOKUP(T$1,Data!$1:$149,ROW(Bilanço!$A54),0),"")</f>
        <v>0</v>
      </c>
      <c r="U54" s="3">
        <f>IFERROR(HLOOKUP(U$1,Data!$1:$149,ROW(Bilanço!$A54),0),"")</f>
        <v>0</v>
      </c>
      <c r="V54" s="3">
        <f>IFERROR(HLOOKUP(V$1,Data!$1:$149,ROW(Bilanço!$A54),0),"")</f>
        <v>0</v>
      </c>
      <c r="W54" s="3">
        <f>IFERROR(HLOOKUP(W$1,Data!$1:$149,ROW(Bilanço!$A54),0),"")</f>
        <v>0</v>
      </c>
      <c r="X54" s="3">
        <f>IFERROR(HLOOKUP(X$1,Data!$1:$149,ROW(Bilanço!$A54),0),"")</f>
        <v>0</v>
      </c>
    </row>
    <row r="55" spans="1:24" x14ac:dyDescent="0.25">
      <c r="A55" t="str">
        <f>Data!A55</f>
        <v xml:space="preserve">  Ertelenmiş Gelirler (Müşteri Söz.Doğan Yük. Dış.Kal.)</v>
      </c>
      <c r="B55" s="2">
        <f>IFERROR(HLOOKUP(B$1,Data!$1:$149,ROW(Bilanço!$A55),0),"")</f>
        <v>0</v>
      </c>
      <c r="C55" s="2">
        <f>IFERROR(HLOOKUP(C$1,Data!$1:$149,ROW(Bilanço!$A55),0),"")</f>
        <v>0</v>
      </c>
      <c r="D55" s="2">
        <f>IFERROR(HLOOKUP(D$1,Data!$1:$149,ROW(Bilanço!$A55),0),"")</f>
        <v>0</v>
      </c>
      <c r="E55" s="2">
        <f>IFERROR(HLOOKUP(E$1,Data!$1:$149,ROW(Bilanço!$A55),0),"")</f>
        <v>0</v>
      </c>
      <c r="F55" s="2">
        <f>IFERROR(HLOOKUP(F$1,Data!$1:$149,ROW(Bilanço!$A55),0),"")</f>
        <v>0</v>
      </c>
      <c r="G55" s="2">
        <f>IFERROR(HLOOKUP(G$1,Data!$1:$149,ROW(Bilanço!$A55),0),"")</f>
        <v>0</v>
      </c>
      <c r="H55" s="2">
        <f>IFERROR(HLOOKUP(H$1,Data!$1:$149,ROW(Bilanço!$A55),0),"")</f>
        <v>0</v>
      </c>
      <c r="I55" s="2">
        <f>IFERROR(HLOOKUP(I$1,Data!$1:$149,ROW(Bilanço!$A55),0),"")</f>
        <v>0</v>
      </c>
      <c r="J55" s="3">
        <f>IFERROR(HLOOKUP(J$1,Data!$1:$149,ROW(Bilanço!$A55),0),"")</f>
        <v>0</v>
      </c>
      <c r="K55" s="3">
        <f>IFERROR(HLOOKUP(K$1,Data!$1:$149,ROW(Bilanço!$A55),0),"")</f>
        <v>0</v>
      </c>
      <c r="L55" s="3">
        <f>IFERROR(HLOOKUP(L$1,Data!$1:$149,ROW(Bilanço!$A55),0),"")</f>
        <v>0</v>
      </c>
      <c r="M55" s="3">
        <f>IFERROR(HLOOKUP(M$1,Data!$1:$149,ROW(Bilanço!$A55),0),"")</f>
        <v>0</v>
      </c>
      <c r="N55" s="3">
        <f>IFERROR(HLOOKUP(N$1,Data!$1:$149,ROW(Bilanço!$A55),0),"")</f>
        <v>0</v>
      </c>
      <c r="O55" s="3">
        <f>IFERROR(HLOOKUP(O$1,Data!$1:$149,ROW(Bilanço!$A55),0),"")</f>
        <v>0</v>
      </c>
      <c r="P55" s="3">
        <f>IFERROR(HLOOKUP(P$1,Data!$1:$149,ROW(Bilanço!$A55),0),"")</f>
        <v>0</v>
      </c>
      <c r="Q55" s="3">
        <f>IFERROR(HLOOKUP(Q$1,Data!$1:$149,ROW(Bilanço!$A55),0),"")</f>
        <v>0</v>
      </c>
      <c r="R55" s="3">
        <f>IFERROR(HLOOKUP(R$1,Data!$1:$149,ROW(Bilanço!$A55),0),"")</f>
        <v>0</v>
      </c>
      <c r="S55" s="3">
        <f>IFERROR(HLOOKUP(S$1,Data!$1:$149,ROW(Bilanço!$A55),0),"")</f>
        <v>0</v>
      </c>
      <c r="T55" s="3">
        <f>IFERROR(HLOOKUP(T$1,Data!$1:$149,ROW(Bilanço!$A55),0),"")</f>
        <v>0</v>
      </c>
      <c r="U55" s="3">
        <f>IFERROR(HLOOKUP(U$1,Data!$1:$149,ROW(Bilanço!$A55),0),"")</f>
        <v>0</v>
      </c>
      <c r="V55" s="3">
        <f>IFERROR(HLOOKUP(V$1,Data!$1:$149,ROW(Bilanço!$A55),0),"")</f>
        <v>0</v>
      </c>
      <c r="W55" s="3">
        <f>IFERROR(HLOOKUP(W$1,Data!$1:$149,ROW(Bilanço!$A55),0),"")</f>
        <v>0</v>
      </c>
      <c r="X55" s="3">
        <f>IFERROR(HLOOKUP(X$1,Data!$1:$149,ROW(Bilanço!$A55),0),"")</f>
        <v>0</v>
      </c>
    </row>
    <row r="56" spans="1:24" x14ac:dyDescent="0.25">
      <c r="A56" t="str">
        <f>Data!A56</f>
        <v xml:space="preserve">    Uzun vadeli karşılıklar</v>
      </c>
      <c r="B56" s="2">
        <f>IFERROR(HLOOKUP(B$1,Data!$1:$149,ROW(Bilanço!$A56),0),"")</f>
        <v>176946000</v>
      </c>
      <c r="C56" s="2">
        <f>IFERROR(HLOOKUP(C$1,Data!$1:$149,ROW(Bilanço!$A56),0),"")</f>
        <v>186693000</v>
      </c>
      <c r="D56" s="2">
        <f>IFERROR(HLOOKUP(D$1,Data!$1:$149,ROW(Bilanço!$A56),0),"")</f>
        <v>206032000</v>
      </c>
      <c r="E56" s="2">
        <f>IFERROR(HLOOKUP(E$1,Data!$1:$149,ROW(Bilanço!$A56),0),"")</f>
        <v>228105000</v>
      </c>
      <c r="F56" s="2">
        <f>IFERROR(HLOOKUP(F$1,Data!$1:$149,ROW(Bilanço!$A56),0),"")</f>
        <v>235830000</v>
      </c>
      <c r="G56" s="2">
        <f>IFERROR(HLOOKUP(G$1,Data!$1:$149,ROW(Bilanço!$A56),0),"")</f>
        <v>243918000</v>
      </c>
      <c r="H56" s="2">
        <f>IFERROR(HLOOKUP(H$1,Data!$1:$149,ROW(Bilanço!$A56),0),"")</f>
        <v>275296000</v>
      </c>
      <c r="I56" s="2">
        <f>IFERROR(HLOOKUP(I$1,Data!$1:$149,ROW(Bilanço!$A56),0),"")</f>
        <v>346828000</v>
      </c>
      <c r="J56" s="3">
        <f>IFERROR(HLOOKUP(J$1,Data!$1:$149,ROW(Bilanço!$A56),0),"")</f>
        <v>407234000</v>
      </c>
      <c r="K56" s="3">
        <f>IFERROR(HLOOKUP(K$1,Data!$1:$149,ROW(Bilanço!$A56),0),"")</f>
        <v>461592000</v>
      </c>
      <c r="L56" s="3">
        <f>IFERROR(HLOOKUP(L$1,Data!$1:$149,ROW(Bilanço!$A56),0),"")</f>
        <v>578599000</v>
      </c>
      <c r="M56" s="3">
        <f>IFERROR(HLOOKUP(M$1,Data!$1:$149,ROW(Bilanço!$A56),0),"")</f>
        <v>1258484000</v>
      </c>
      <c r="N56" s="3">
        <f>IFERROR(HLOOKUP(N$1,Data!$1:$149,ROW(Bilanço!$A56),0),"")</f>
        <v>831251000</v>
      </c>
      <c r="O56" s="3">
        <f>IFERROR(HLOOKUP(O$1,Data!$1:$149,ROW(Bilanço!$A56),0),"")</f>
        <v>956486000</v>
      </c>
      <c r="P56" s="3">
        <f>IFERROR(HLOOKUP(P$1,Data!$1:$149,ROW(Bilanço!$A56),0),"")</f>
        <v>1081973000</v>
      </c>
      <c r="Q56" s="3">
        <f>IFERROR(HLOOKUP(Q$1,Data!$1:$149,ROW(Bilanço!$A56),0),"")</f>
        <v>1490659000</v>
      </c>
      <c r="R56" s="3">
        <f>IFERROR(HLOOKUP(R$1,Data!$1:$149,ROW(Bilanço!$A56),0),"")</f>
        <v>1281941000</v>
      </c>
      <c r="S56" s="3">
        <f>IFERROR(HLOOKUP(S$1,Data!$1:$149,ROW(Bilanço!$A56),0),"")</f>
        <v>1454045000</v>
      </c>
      <c r="T56" s="3">
        <f>IFERROR(HLOOKUP(T$1,Data!$1:$149,ROW(Bilanço!$A56),0),"")</f>
        <v>1540129000</v>
      </c>
      <c r="U56" s="3">
        <f>IFERROR(HLOOKUP(U$1,Data!$1:$149,ROW(Bilanço!$A56),0),"")</f>
        <v>2103457951</v>
      </c>
      <c r="V56" s="3">
        <f>IFERROR(HLOOKUP(V$1,Data!$1:$149,ROW(Bilanço!$A56),0),"")</f>
        <v>1803119000</v>
      </c>
      <c r="W56" s="3">
        <f>IFERROR(HLOOKUP(W$1,Data!$1:$149,ROW(Bilanço!$A56),0),"")</f>
        <v>2086916000</v>
      </c>
      <c r="X56" s="3">
        <f>IFERROR(HLOOKUP(X$1,Data!$1:$149,ROW(Bilanço!$A56),0),"")</f>
        <v>2154022000</v>
      </c>
    </row>
    <row r="57" spans="1:24" x14ac:dyDescent="0.25">
      <c r="A57" t="str">
        <f>Data!A57</f>
        <v xml:space="preserve">  Çalışanlara Sağlanan Faydalara İliş.Karş.</v>
      </c>
      <c r="B57" s="2">
        <f>IFERROR(HLOOKUP(B$1,Data!$1:$149,ROW(Bilanço!$A57),0),"")</f>
        <v>0</v>
      </c>
      <c r="C57" s="2">
        <f>IFERROR(HLOOKUP(C$1,Data!$1:$149,ROW(Bilanço!$A57),0),"")</f>
        <v>0</v>
      </c>
      <c r="D57" s="2">
        <f>IFERROR(HLOOKUP(D$1,Data!$1:$149,ROW(Bilanço!$A57),0),"")</f>
        <v>0</v>
      </c>
      <c r="E57" s="2">
        <f>IFERROR(HLOOKUP(E$1,Data!$1:$149,ROW(Bilanço!$A57),0),"")</f>
        <v>0</v>
      </c>
      <c r="F57" s="2">
        <f>IFERROR(HLOOKUP(F$1,Data!$1:$149,ROW(Bilanço!$A57),0),"")</f>
        <v>0</v>
      </c>
      <c r="G57" s="2">
        <f>IFERROR(HLOOKUP(G$1,Data!$1:$149,ROW(Bilanço!$A57),0),"")</f>
        <v>0</v>
      </c>
      <c r="H57" s="2">
        <f>IFERROR(HLOOKUP(H$1,Data!$1:$149,ROW(Bilanço!$A57),0),"")</f>
        <v>0</v>
      </c>
      <c r="I57" s="2">
        <f>IFERROR(HLOOKUP(I$1,Data!$1:$149,ROW(Bilanço!$A57),0),"")</f>
        <v>0</v>
      </c>
      <c r="J57" s="3">
        <f>IFERROR(HLOOKUP(J$1,Data!$1:$149,ROW(Bilanço!$A57),0),"")</f>
        <v>0</v>
      </c>
      <c r="K57" s="3">
        <f>IFERROR(HLOOKUP(K$1,Data!$1:$149,ROW(Bilanço!$A57),0),"")</f>
        <v>0</v>
      </c>
      <c r="L57" s="3">
        <f>IFERROR(HLOOKUP(L$1,Data!$1:$149,ROW(Bilanço!$A57),0),"")</f>
        <v>0</v>
      </c>
      <c r="M57" s="3">
        <f>IFERROR(HLOOKUP(M$1,Data!$1:$149,ROW(Bilanço!$A57),0),"")</f>
        <v>0</v>
      </c>
      <c r="N57" s="3">
        <f>IFERROR(HLOOKUP(N$1,Data!$1:$149,ROW(Bilanço!$A57),0),"")</f>
        <v>0</v>
      </c>
      <c r="O57" s="3">
        <f>IFERROR(HLOOKUP(O$1,Data!$1:$149,ROW(Bilanço!$A57),0),"")</f>
        <v>0</v>
      </c>
      <c r="P57" s="3">
        <f>IFERROR(HLOOKUP(P$1,Data!$1:$149,ROW(Bilanço!$A57),0),"")</f>
        <v>0</v>
      </c>
      <c r="Q57" s="3">
        <f>IFERROR(HLOOKUP(Q$1,Data!$1:$149,ROW(Bilanço!$A57),0),"")</f>
        <v>0</v>
      </c>
      <c r="R57" s="3">
        <f>IFERROR(HLOOKUP(R$1,Data!$1:$149,ROW(Bilanço!$A57),0),"")</f>
        <v>0</v>
      </c>
      <c r="S57" s="3">
        <f>IFERROR(HLOOKUP(S$1,Data!$1:$149,ROW(Bilanço!$A57),0),"")</f>
        <v>0</v>
      </c>
      <c r="T57" s="3">
        <f>IFERROR(HLOOKUP(T$1,Data!$1:$149,ROW(Bilanço!$A57),0),"")</f>
        <v>0</v>
      </c>
      <c r="U57" s="3">
        <f>IFERROR(HLOOKUP(U$1,Data!$1:$149,ROW(Bilanço!$A57),0),"")</f>
        <v>0</v>
      </c>
      <c r="V57" s="3">
        <f>IFERROR(HLOOKUP(V$1,Data!$1:$149,ROW(Bilanço!$A57),0),"")</f>
        <v>0</v>
      </c>
      <c r="W57" s="3">
        <f>IFERROR(HLOOKUP(W$1,Data!$1:$149,ROW(Bilanço!$A57),0),"")</f>
        <v>0</v>
      </c>
      <c r="X57" s="3">
        <f>IFERROR(HLOOKUP(X$1,Data!$1:$149,ROW(Bilanço!$A57),0),"")</f>
        <v>0</v>
      </c>
    </row>
    <row r="58" spans="1:24" x14ac:dyDescent="0.25">
      <c r="A58" t="str">
        <f>Data!A58</f>
        <v xml:space="preserve">  Ertelenmiş Vergi Yükümlülüğü</v>
      </c>
      <c r="B58" s="2">
        <f>IFERROR(HLOOKUP(B$1,Data!$1:$149,ROW(Bilanço!$A58),0),"")</f>
        <v>111276000</v>
      </c>
      <c r="C58" s="2">
        <f>IFERROR(HLOOKUP(C$1,Data!$1:$149,ROW(Bilanço!$A58),0),"")</f>
        <v>117929000</v>
      </c>
      <c r="D58" s="2">
        <f>IFERROR(HLOOKUP(D$1,Data!$1:$149,ROW(Bilanço!$A58),0),"")</f>
        <v>125683000</v>
      </c>
      <c r="E58" s="2">
        <f>IFERROR(HLOOKUP(E$1,Data!$1:$149,ROW(Bilanço!$A58),0),"")</f>
        <v>157845000</v>
      </c>
      <c r="F58" s="2">
        <f>IFERROR(HLOOKUP(F$1,Data!$1:$149,ROW(Bilanço!$A58),0),"")</f>
        <v>138407000</v>
      </c>
      <c r="G58" s="2">
        <f>IFERROR(HLOOKUP(G$1,Data!$1:$149,ROW(Bilanço!$A58),0),"")</f>
        <v>139281000</v>
      </c>
      <c r="H58" s="2">
        <f>IFERROR(HLOOKUP(H$1,Data!$1:$149,ROW(Bilanço!$A58),0),"")</f>
        <v>128809000</v>
      </c>
      <c r="I58" s="2">
        <f>IFERROR(HLOOKUP(I$1,Data!$1:$149,ROW(Bilanço!$A58),0),"")</f>
        <v>134897000</v>
      </c>
      <c r="J58" s="3">
        <f>IFERROR(HLOOKUP(J$1,Data!$1:$149,ROW(Bilanço!$A58),0),"")</f>
        <v>135901000</v>
      </c>
      <c r="K58" s="3">
        <f>IFERROR(HLOOKUP(K$1,Data!$1:$149,ROW(Bilanço!$A58),0),"")</f>
        <v>131631000</v>
      </c>
      <c r="L58" s="3">
        <f>IFERROR(HLOOKUP(L$1,Data!$1:$149,ROW(Bilanço!$A58),0),"")</f>
        <v>143064000</v>
      </c>
      <c r="M58" s="3">
        <f>IFERROR(HLOOKUP(M$1,Data!$1:$149,ROW(Bilanço!$A58),0),"")</f>
        <v>1073771000</v>
      </c>
      <c r="N58" s="3">
        <f>IFERROR(HLOOKUP(N$1,Data!$1:$149,ROW(Bilanço!$A58),0),"")</f>
        <v>154415000</v>
      </c>
      <c r="O58" s="3">
        <f>IFERROR(HLOOKUP(O$1,Data!$1:$149,ROW(Bilanço!$A58),0),"")</f>
        <v>80484000</v>
      </c>
      <c r="P58" s="3">
        <f>IFERROR(HLOOKUP(P$1,Data!$1:$149,ROW(Bilanço!$A58),0),"")</f>
        <v>80664000</v>
      </c>
      <c r="Q58" s="3">
        <f>IFERROR(HLOOKUP(Q$1,Data!$1:$149,ROW(Bilanço!$A58),0),"")</f>
        <v>296154000</v>
      </c>
      <c r="R58" s="3">
        <f>IFERROR(HLOOKUP(R$1,Data!$1:$149,ROW(Bilanço!$A58),0),"")</f>
        <v>506796000</v>
      </c>
      <c r="S58" s="3">
        <f>IFERROR(HLOOKUP(S$1,Data!$1:$149,ROW(Bilanço!$A58),0),"")</f>
        <v>843541000</v>
      </c>
      <c r="T58" s="3">
        <f>IFERROR(HLOOKUP(T$1,Data!$1:$149,ROW(Bilanço!$A58),0),"")</f>
        <v>1711870000</v>
      </c>
      <c r="U58" s="3">
        <f>IFERROR(HLOOKUP(U$1,Data!$1:$149,ROW(Bilanço!$A58),0),"")</f>
        <v>1385980640</v>
      </c>
      <c r="V58" s="3">
        <f>IFERROR(HLOOKUP(V$1,Data!$1:$149,ROW(Bilanço!$A58),0),"")</f>
        <v>1795852000</v>
      </c>
      <c r="W58" s="3">
        <f>IFERROR(HLOOKUP(W$1,Data!$1:$149,ROW(Bilanço!$A58),0),"")</f>
        <v>1917005000</v>
      </c>
      <c r="X58" s="3">
        <f>IFERROR(HLOOKUP(X$1,Data!$1:$149,ROW(Bilanço!$A58),0),"")</f>
        <v>2121573000</v>
      </c>
    </row>
    <row r="59" spans="1:24" x14ac:dyDescent="0.25">
      <c r="A59" t="str">
        <f>Data!A59</f>
        <v xml:space="preserve">  Diğer Uzun Vadeli Yükümlülükler</v>
      </c>
      <c r="B59" s="2">
        <f>IFERROR(HLOOKUP(B$1,Data!$1:$149,ROW(Bilanço!$A59),0),"")</f>
        <v>0</v>
      </c>
      <c r="C59" s="2">
        <f>IFERROR(HLOOKUP(C$1,Data!$1:$149,ROW(Bilanço!$A59),0),"")</f>
        <v>0</v>
      </c>
      <c r="D59" s="2">
        <f>IFERROR(HLOOKUP(D$1,Data!$1:$149,ROW(Bilanço!$A59),0),"")</f>
        <v>0</v>
      </c>
      <c r="E59" s="2">
        <f>IFERROR(HLOOKUP(E$1,Data!$1:$149,ROW(Bilanço!$A59),0),"")</f>
        <v>0</v>
      </c>
      <c r="F59" s="2">
        <f>IFERROR(HLOOKUP(F$1,Data!$1:$149,ROW(Bilanço!$A59),0),"")</f>
        <v>0</v>
      </c>
      <c r="G59" s="2">
        <f>IFERROR(HLOOKUP(G$1,Data!$1:$149,ROW(Bilanço!$A59),0),"")</f>
        <v>0</v>
      </c>
      <c r="H59" s="2">
        <f>IFERROR(HLOOKUP(H$1,Data!$1:$149,ROW(Bilanço!$A59),0),"")</f>
        <v>0</v>
      </c>
      <c r="I59" s="2">
        <f>IFERROR(HLOOKUP(I$1,Data!$1:$149,ROW(Bilanço!$A59),0),"")</f>
        <v>0</v>
      </c>
      <c r="J59" s="3">
        <f>IFERROR(HLOOKUP(J$1,Data!$1:$149,ROW(Bilanço!$A59),0),"")</f>
        <v>0</v>
      </c>
      <c r="K59" s="3">
        <f>IFERROR(HLOOKUP(K$1,Data!$1:$149,ROW(Bilanço!$A59),0),"")</f>
        <v>0</v>
      </c>
      <c r="L59" s="3">
        <f>IFERROR(HLOOKUP(L$1,Data!$1:$149,ROW(Bilanço!$A59),0),"")</f>
        <v>0</v>
      </c>
      <c r="M59" s="3">
        <f>IFERROR(HLOOKUP(M$1,Data!$1:$149,ROW(Bilanço!$A59),0),"")</f>
        <v>0</v>
      </c>
      <c r="N59" s="3">
        <f>IFERROR(HLOOKUP(N$1,Data!$1:$149,ROW(Bilanço!$A59),0),"")</f>
        <v>0</v>
      </c>
      <c r="O59" s="3">
        <f>IFERROR(HLOOKUP(O$1,Data!$1:$149,ROW(Bilanço!$A59),0),"")</f>
        <v>0</v>
      </c>
      <c r="P59" s="3">
        <f>IFERROR(HLOOKUP(P$1,Data!$1:$149,ROW(Bilanço!$A59),0),"")</f>
        <v>0</v>
      </c>
      <c r="Q59" s="3">
        <f>IFERROR(HLOOKUP(Q$1,Data!$1:$149,ROW(Bilanço!$A59),0),"")</f>
        <v>0</v>
      </c>
      <c r="R59" s="3">
        <f>IFERROR(HLOOKUP(R$1,Data!$1:$149,ROW(Bilanço!$A59),0),"")</f>
        <v>0</v>
      </c>
      <c r="S59" s="3">
        <f>IFERROR(HLOOKUP(S$1,Data!$1:$149,ROW(Bilanço!$A59),0),"")</f>
        <v>0</v>
      </c>
      <c r="T59" s="3">
        <f>IFERROR(HLOOKUP(T$1,Data!$1:$149,ROW(Bilanço!$A59),0),"")</f>
        <v>0</v>
      </c>
      <c r="U59" s="3">
        <f>IFERROR(HLOOKUP(U$1,Data!$1:$149,ROW(Bilanço!$A59),0),"")</f>
        <v>0</v>
      </c>
      <c r="V59" s="3">
        <f>IFERROR(HLOOKUP(V$1,Data!$1:$149,ROW(Bilanço!$A59),0),"")</f>
        <v>0</v>
      </c>
      <c r="W59" s="3">
        <f>IFERROR(HLOOKUP(W$1,Data!$1:$149,ROW(Bilanço!$A59),0),"")</f>
        <v>0</v>
      </c>
      <c r="X59" s="3">
        <f>IFERROR(HLOOKUP(X$1,Data!$1:$149,ROW(Bilanço!$A59),0),"")</f>
        <v>0</v>
      </c>
    </row>
    <row r="60" spans="1:24" x14ac:dyDescent="0.25">
      <c r="A60" t="str">
        <f>Data!A60</f>
        <v>Özkaynaklar</v>
      </c>
      <c r="B60" s="2">
        <f>IFERROR(HLOOKUP(B$1,Data!$1:$149,ROW(Bilanço!$A60),0),"")</f>
        <v>4930114000</v>
      </c>
      <c r="C60" s="2">
        <f>IFERROR(HLOOKUP(C$1,Data!$1:$149,ROW(Bilanço!$A60),0),"")</f>
        <v>5628782000</v>
      </c>
      <c r="D60" s="2">
        <f>IFERROR(HLOOKUP(D$1,Data!$1:$149,ROW(Bilanço!$A60),0),"")</f>
        <v>6139376000</v>
      </c>
      <c r="E60" s="2">
        <f>IFERROR(HLOOKUP(E$1,Data!$1:$149,ROW(Bilanço!$A60),0),"")</f>
        <v>6816693000</v>
      </c>
      <c r="F60" s="2">
        <f>IFERROR(HLOOKUP(F$1,Data!$1:$149,ROW(Bilanço!$A60),0),"")</f>
        <v>7099356000</v>
      </c>
      <c r="G60" s="2">
        <f>IFERROR(HLOOKUP(G$1,Data!$1:$149,ROW(Bilanço!$A60),0),"")</f>
        <v>7103476000</v>
      </c>
      <c r="H60" s="2">
        <f>IFERROR(HLOOKUP(H$1,Data!$1:$149,ROW(Bilanço!$A60),0),"")</f>
        <v>3714041000</v>
      </c>
      <c r="I60" s="2">
        <f>IFERROR(HLOOKUP(I$1,Data!$1:$149,ROW(Bilanço!$A60),0),"")</f>
        <v>4313902000</v>
      </c>
      <c r="J60" s="3">
        <f>IFERROR(HLOOKUP(J$1,Data!$1:$149,ROW(Bilanço!$A60),0),"")</f>
        <v>4094808000</v>
      </c>
      <c r="K60" s="3">
        <f>IFERROR(HLOOKUP(K$1,Data!$1:$149,ROW(Bilanço!$A60),0),"")</f>
        <v>4233107000</v>
      </c>
      <c r="L60" s="3">
        <f>IFERROR(HLOOKUP(L$1,Data!$1:$149,ROW(Bilanço!$A60),0),"")</f>
        <v>4550850000</v>
      </c>
      <c r="M60" s="3">
        <f>IFERROR(HLOOKUP(M$1,Data!$1:$149,ROW(Bilanço!$A60),0),"")</f>
        <v>15643115000</v>
      </c>
      <c r="N60" s="3">
        <f>IFERROR(HLOOKUP(N$1,Data!$1:$149,ROW(Bilanço!$A60),0),"")</f>
        <v>8722442000</v>
      </c>
      <c r="O60" s="3">
        <f>IFERROR(HLOOKUP(O$1,Data!$1:$149,ROW(Bilanço!$A60),0),"")</f>
        <v>8639324000</v>
      </c>
      <c r="P60" s="3">
        <f>IFERROR(HLOOKUP(P$1,Data!$1:$149,ROW(Bilanço!$A60),0),"")</f>
        <v>10509042000</v>
      </c>
      <c r="Q60" s="3">
        <f>IFERROR(HLOOKUP(Q$1,Data!$1:$149,ROW(Bilanço!$A60),0),"")</f>
        <v>28589846000</v>
      </c>
      <c r="R60" s="3">
        <f>IFERROR(HLOOKUP(R$1,Data!$1:$149,ROW(Bilanço!$A60),0),"")</f>
        <v>23486439000</v>
      </c>
      <c r="S60" s="3">
        <f>IFERROR(HLOOKUP(S$1,Data!$1:$149,ROW(Bilanço!$A60),0),"")</f>
        <v>26009650000</v>
      </c>
      <c r="T60" s="3">
        <f>IFERROR(HLOOKUP(T$1,Data!$1:$149,ROW(Bilanço!$A60),0),"")</f>
        <v>29046912000</v>
      </c>
      <c r="U60" s="3">
        <f>IFERROR(HLOOKUP(U$1,Data!$1:$149,ROW(Bilanço!$A60),0),"")</f>
        <v>41988932996</v>
      </c>
      <c r="V60" s="3">
        <f>IFERROR(HLOOKUP(V$1,Data!$1:$149,ROW(Bilanço!$A60),0),"")</f>
        <v>39176543000</v>
      </c>
      <c r="W60" s="3">
        <f>IFERROR(HLOOKUP(W$1,Data!$1:$149,ROW(Bilanço!$A60),0),"")</f>
        <v>38373555000</v>
      </c>
      <c r="X60" s="3">
        <f>IFERROR(HLOOKUP(X$1,Data!$1:$149,ROW(Bilanço!$A60),0),"")</f>
        <v>42583578000</v>
      </c>
    </row>
    <row r="61" spans="1:24" x14ac:dyDescent="0.25">
      <c r="A61" t="str">
        <f>Data!A61</f>
        <v xml:space="preserve">  Ana Ortaklığa Ait Özkaynaklar</v>
      </c>
      <c r="B61" s="2">
        <f>IFERROR(HLOOKUP(B$1,Data!$1:$149,ROW(Bilanço!$A61),0),"")</f>
        <v>4320951000</v>
      </c>
      <c r="C61" s="2">
        <f>IFERROR(HLOOKUP(C$1,Data!$1:$149,ROW(Bilanço!$A61),0),"")</f>
        <v>4970991000</v>
      </c>
      <c r="D61" s="2">
        <f>IFERROR(HLOOKUP(D$1,Data!$1:$149,ROW(Bilanço!$A61),0),"")</f>
        <v>5372639000</v>
      </c>
      <c r="E61" s="2">
        <f>IFERROR(HLOOKUP(E$1,Data!$1:$149,ROW(Bilanço!$A61),0),"")</f>
        <v>6036780000</v>
      </c>
      <c r="F61" s="2">
        <f>IFERROR(HLOOKUP(F$1,Data!$1:$149,ROW(Bilanço!$A61),0),"")</f>
        <v>6266620000</v>
      </c>
      <c r="G61" s="2">
        <f>IFERROR(HLOOKUP(G$1,Data!$1:$149,ROW(Bilanço!$A61),0),"")</f>
        <v>6232316000</v>
      </c>
      <c r="H61" s="2">
        <f>IFERROR(HLOOKUP(H$1,Data!$1:$149,ROW(Bilanço!$A61),0),"")</f>
        <v>2800809000</v>
      </c>
      <c r="I61" s="2">
        <f>IFERROR(HLOOKUP(I$1,Data!$1:$149,ROW(Bilanço!$A61),0),"")</f>
        <v>2986714000</v>
      </c>
      <c r="J61" s="3">
        <f>IFERROR(HLOOKUP(J$1,Data!$1:$149,ROW(Bilanço!$A61),0),"")</f>
        <v>2588162000</v>
      </c>
      <c r="K61" s="3">
        <f>IFERROR(HLOOKUP(K$1,Data!$1:$149,ROW(Bilanço!$A61),0),"")</f>
        <v>2516873000</v>
      </c>
      <c r="L61" s="3">
        <f>IFERROR(HLOOKUP(L$1,Data!$1:$149,ROW(Bilanço!$A61),0),"")</f>
        <v>2734275000</v>
      </c>
      <c r="M61" s="3">
        <f>IFERROR(HLOOKUP(M$1,Data!$1:$149,ROW(Bilanço!$A61),0),"")</f>
        <v>12035858000</v>
      </c>
      <c r="N61" s="3">
        <f>IFERROR(HLOOKUP(N$1,Data!$1:$149,ROW(Bilanço!$A61),0),"")</f>
        <v>6511844000</v>
      </c>
      <c r="O61" s="3">
        <f>IFERROR(HLOOKUP(O$1,Data!$1:$149,ROW(Bilanço!$A61),0),"")</f>
        <v>5908268000</v>
      </c>
      <c r="P61" s="3">
        <f>IFERROR(HLOOKUP(P$1,Data!$1:$149,ROW(Bilanço!$A61),0),"")</f>
        <v>8896407000</v>
      </c>
      <c r="Q61" s="3">
        <f>IFERROR(HLOOKUP(Q$1,Data!$1:$149,ROW(Bilanço!$A61),0),"")</f>
        <v>25946933000</v>
      </c>
      <c r="R61" s="3">
        <f>IFERROR(HLOOKUP(R$1,Data!$1:$149,ROW(Bilanço!$A61),0),"")</f>
        <v>21407330000</v>
      </c>
      <c r="S61" s="3">
        <f>IFERROR(HLOOKUP(S$1,Data!$1:$149,ROW(Bilanço!$A61),0),"")</f>
        <v>24127966000</v>
      </c>
      <c r="T61" s="3">
        <f>IFERROR(HLOOKUP(T$1,Data!$1:$149,ROW(Bilanço!$A61),0),"")</f>
        <v>27015414000</v>
      </c>
      <c r="U61" s="3">
        <f>IFERROR(HLOOKUP(U$1,Data!$1:$149,ROW(Bilanço!$A61),0),"")</f>
        <v>39237845709</v>
      </c>
      <c r="V61" s="3">
        <f>IFERROR(HLOOKUP(V$1,Data!$1:$149,ROW(Bilanço!$A61),0),"")</f>
        <v>36650682000</v>
      </c>
      <c r="W61" s="3">
        <f>IFERROR(HLOOKUP(W$1,Data!$1:$149,ROW(Bilanço!$A61),0),"")</f>
        <v>36116656000</v>
      </c>
      <c r="X61" s="3">
        <f>IFERROR(HLOOKUP(X$1,Data!$1:$149,ROW(Bilanço!$A61),0),"")</f>
        <v>40151407000</v>
      </c>
    </row>
    <row r="62" spans="1:24" x14ac:dyDescent="0.25">
      <c r="A62" t="str">
        <f>Data!A62</f>
        <v xml:space="preserve">  Ödenmiş Sermaye</v>
      </c>
      <c r="B62" s="2">
        <f>IFERROR(HLOOKUP(B$1,Data!$1:$149,ROW(Bilanço!$A62),0),"")</f>
        <v>342000000</v>
      </c>
      <c r="C62" s="2">
        <f>IFERROR(HLOOKUP(C$1,Data!$1:$149,ROW(Bilanço!$A62),0),"")</f>
        <v>342000000</v>
      </c>
      <c r="D62" s="2">
        <f>IFERROR(HLOOKUP(D$1,Data!$1:$149,ROW(Bilanço!$A62),0),"")</f>
        <v>342000000</v>
      </c>
      <c r="E62" s="2">
        <f>IFERROR(HLOOKUP(E$1,Data!$1:$149,ROW(Bilanço!$A62),0),"")</f>
        <v>342000000</v>
      </c>
      <c r="F62" s="2">
        <f>IFERROR(HLOOKUP(F$1,Data!$1:$149,ROW(Bilanço!$A62),0),"")</f>
        <v>342000000</v>
      </c>
      <c r="G62" s="2">
        <f>IFERROR(HLOOKUP(G$1,Data!$1:$149,ROW(Bilanço!$A62),0),"")</f>
        <v>342000000</v>
      </c>
      <c r="H62" s="2">
        <f>IFERROR(HLOOKUP(H$1,Data!$1:$149,ROW(Bilanço!$A62),0),"")</f>
        <v>342000000</v>
      </c>
      <c r="I62" s="2">
        <f>IFERROR(HLOOKUP(I$1,Data!$1:$149,ROW(Bilanço!$A62),0),"")</f>
        <v>342000000</v>
      </c>
      <c r="J62" s="3">
        <f>IFERROR(HLOOKUP(J$1,Data!$1:$149,ROW(Bilanço!$A62),0),"")</f>
        <v>342000000</v>
      </c>
      <c r="K62" s="3">
        <f>IFERROR(HLOOKUP(K$1,Data!$1:$149,ROW(Bilanço!$A62),0),"")</f>
        <v>342000000</v>
      </c>
      <c r="L62" s="3">
        <f>IFERROR(HLOOKUP(L$1,Data!$1:$149,ROW(Bilanço!$A62),0),"")</f>
        <v>342000000</v>
      </c>
      <c r="M62" s="3">
        <f>IFERROR(HLOOKUP(M$1,Data!$1:$149,ROW(Bilanço!$A62),0),"")</f>
        <v>342000000</v>
      </c>
      <c r="N62" s="3">
        <f>IFERROR(HLOOKUP(N$1,Data!$1:$149,ROW(Bilanço!$A62),0),"")</f>
        <v>342000000</v>
      </c>
      <c r="O62" s="3">
        <f>IFERROR(HLOOKUP(O$1,Data!$1:$149,ROW(Bilanço!$A62),0),"")</f>
        <v>342000000</v>
      </c>
      <c r="P62" s="3">
        <f>IFERROR(HLOOKUP(P$1,Data!$1:$149,ROW(Bilanço!$A62),0),"")</f>
        <v>369276000</v>
      </c>
      <c r="Q62" s="3">
        <f>IFERROR(HLOOKUP(Q$1,Data!$1:$149,ROW(Bilanço!$A62),0),"")</f>
        <v>369276000</v>
      </c>
      <c r="R62" s="3">
        <f>IFERROR(HLOOKUP(R$1,Data!$1:$149,ROW(Bilanço!$A62),0),"")</f>
        <v>369276000</v>
      </c>
      <c r="S62" s="3">
        <f>IFERROR(HLOOKUP(S$1,Data!$1:$149,ROW(Bilanço!$A62),0),"")</f>
        <v>369276000</v>
      </c>
      <c r="T62" s="3">
        <f>IFERROR(HLOOKUP(T$1,Data!$1:$149,ROW(Bilanço!$A62),0),"")</f>
        <v>369276000</v>
      </c>
      <c r="U62" s="3">
        <f>IFERROR(HLOOKUP(U$1,Data!$1:$149,ROW(Bilanço!$A62),0),"")</f>
        <v>369276000</v>
      </c>
      <c r="V62" s="3">
        <f>IFERROR(HLOOKUP(V$1,Data!$1:$149,ROW(Bilanço!$A62),0),"")</f>
        <v>369276000</v>
      </c>
      <c r="W62" s="3">
        <f>IFERROR(HLOOKUP(W$1,Data!$1:$149,ROW(Bilanço!$A62),0),"")</f>
        <v>369276000</v>
      </c>
      <c r="X62" s="3">
        <f>IFERROR(HLOOKUP(X$1,Data!$1:$149,ROW(Bilanço!$A62),0),"")</f>
        <v>369276000</v>
      </c>
    </row>
    <row r="63" spans="1:24" x14ac:dyDescent="0.25">
      <c r="A63" t="str">
        <f>Data!A63</f>
        <v xml:space="preserve">  Karşılıklı İştirak Sermayesi Düzeltmesi (-)</v>
      </c>
      <c r="B63" s="2">
        <f>IFERROR(HLOOKUP(B$1,Data!$1:$149,ROW(Bilanço!$A63),0),"")</f>
        <v>0</v>
      </c>
      <c r="C63" s="2">
        <f>IFERROR(HLOOKUP(C$1,Data!$1:$149,ROW(Bilanço!$A63),0),"")</f>
        <v>0</v>
      </c>
      <c r="D63" s="2">
        <f>IFERROR(HLOOKUP(D$1,Data!$1:$149,ROW(Bilanço!$A63),0),"")</f>
        <v>0</v>
      </c>
      <c r="E63" s="2">
        <f>IFERROR(HLOOKUP(E$1,Data!$1:$149,ROW(Bilanço!$A63),0),"")</f>
        <v>0</v>
      </c>
      <c r="F63" s="2">
        <f>IFERROR(HLOOKUP(F$1,Data!$1:$149,ROW(Bilanço!$A63),0),"")</f>
        <v>0</v>
      </c>
      <c r="G63" s="2">
        <f>IFERROR(HLOOKUP(G$1,Data!$1:$149,ROW(Bilanço!$A63),0),"")</f>
        <v>0</v>
      </c>
      <c r="H63" s="2">
        <f>IFERROR(HLOOKUP(H$1,Data!$1:$149,ROW(Bilanço!$A63),0),"")</f>
        <v>0</v>
      </c>
      <c r="I63" s="2">
        <f>IFERROR(HLOOKUP(I$1,Data!$1:$149,ROW(Bilanço!$A63),0),"")</f>
        <v>0</v>
      </c>
      <c r="J63" s="3">
        <f>IFERROR(HLOOKUP(J$1,Data!$1:$149,ROW(Bilanço!$A63),0),"")</f>
        <v>0</v>
      </c>
      <c r="K63" s="3">
        <f>IFERROR(HLOOKUP(K$1,Data!$1:$149,ROW(Bilanço!$A63),0),"")</f>
        <v>0</v>
      </c>
      <c r="L63" s="3">
        <f>IFERROR(HLOOKUP(L$1,Data!$1:$149,ROW(Bilanço!$A63),0),"")</f>
        <v>0</v>
      </c>
      <c r="M63" s="3">
        <f>IFERROR(HLOOKUP(M$1,Data!$1:$149,ROW(Bilanço!$A63),0),"")</f>
        <v>0</v>
      </c>
      <c r="N63" s="3">
        <f>IFERROR(HLOOKUP(N$1,Data!$1:$149,ROW(Bilanço!$A63),0),"")</f>
        <v>0</v>
      </c>
      <c r="O63" s="3">
        <f>IFERROR(HLOOKUP(O$1,Data!$1:$149,ROW(Bilanço!$A63),0),"")</f>
        <v>0</v>
      </c>
      <c r="P63" s="3">
        <f>IFERROR(HLOOKUP(P$1,Data!$1:$149,ROW(Bilanço!$A63),0),"")</f>
        <v>0</v>
      </c>
      <c r="Q63" s="3">
        <f>IFERROR(HLOOKUP(Q$1,Data!$1:$149,ROW(Bilanço!$A63),0),"")</f>
        <v>0</v>
      </c>
      <c r="R63" s="3">
        <f>IFERROR(HLOOKUP(R$1,Data!$1:$149,ROW(Bilanço!$A63),0),"")</f>
        <v>0</v>
      </c>
      <c r="S63" s="3">
        <f>IFERROR(HLOOKUP(S$1,Data!$1:$149,ROW(Bilanço!$A63),0),"")</f>
        <v>0</v>
      </c>
      <c r="T63" s="3">
        <f>IFERROR(HLOOKUP(T$1,Data!$1:$149,ROW(Bilanço!$A63),0),"")</f>
        <v>0</v>
      </c>
      <c r="U63" s="3">
        <f>IFERROR(HLOOKUP(U$1,Data!$1:$149,ROW(Bilanço!$A63),0),"")</f>
        <v>0</v>
      </c>
      <c r="V63" s="3">
        <f>IFERROR(HLOOKUP(V$1,Data!$1:$149,ROW(Bilanço!$A63),0),"")</f>
        <v>0</v>
      </c>
      <c r="W63" s="3">
        <f>IFERROR(HLOOKUP(W$1,Data!$1:$149,ROW(Bilanço!$A63),0),"")</f>
        <v>0</v>
      </c>
      <c r="X63" s="3">
        <f>IFERROR(HLOOKUP(X$1,Data!$1:$149,ROW(Bilanço!$A63),0),"")</f>
        <v>0</v>
      </c>
    </row>
    <row r="64" spans="1:24" x14ac:dyDescent="0.25">
      <c r="A64" t="str">
        <f>Data!A64</f>
        <v xml:space="preserve">  Hisse Senedi İhraç Primleri</v>
      </c>
      <c r="B64" s="2">
        <f>IFERROR(HLOOKUP(B$1,Data!$1:$149,ROW(Bilanço!$A64),0),"")</f>
        <v>0</v>
      </c>
      <c r="C64" s="2">
        <f>IFERROR(HLOOKUP(C$1,Data!$1:$149,ROW(Bilanço!$A64),0),"")</f>
        <v>0</v>
      </c>
      <c r="D64" s="2">
        <f>IFERROR(HLOOKUP(D$1,Data!$1:$149,ROW(Bilanço!$A64),0),"")</f>
        <v>0</v>
      </c>
      <c r="E64" s="2">
        <f>IFERROR(HLOOKUP(E$1,Data!$1:$149,ROW(Bilanço!$A64),0),"")</f>
        <v>0</v>
      </c>
      <c r="F64" s="2">
        <f>IFERROR(HLOOKUP(F$1,Data!$1:$149,ROW(Bilanço!$A64),0),"")</f>
        <v>0</v>
      </c>
      <c r="G64" s="2">
        <f>IFERROR(HLOOKUP(G$1,Data!$1:$149,ROW(Bilanço!$A64),0),"")</f>
        <v>0</v>
      </c>
      <c r="H64" s="2">
        <f>IFERROR(HLOOKUP(H$1,Data!$1:$149,ROW(Bilanço!$A64),0),"")</f>
        <v>0</v>
      </c>
      <c r="I64" s="2">
        <f>IFERROR(HLOOKUP(I$1,Data!$1:$149,ROW(Bilanço!$A64),0),"")</f>
        <v>0</v>
      </c>
      <c r="J64" s="3">
        <f>IFERROR(HLOOKUP(J$1,Data!$1:$149,ROW(Bilanço!$A64),0),"")</f>
        <v>0</v>
      </c>
      <c r="K64" s="3">
        <f>IFERROR(HLOOKUP(K$1,Data!$1:$149,ROW(Bilanço!$A64),0),"")</f>
        <v>0</v>
      </c>
      <c r="L64" s="3">
        <f>IFERROR(HLOOKUP(L$1,Data!$1:$149,ROW(Bilanço!$A64),0),"")</f>
        <v>0</v>
      </c>
      <c r="M64" s="3">
        <f>IFERROR(HLOOKUP(M$1,Data!$1:$149,ROW(Bilanço!$A64),0),"")</f>
        <v>0</v>
      </c>
      <c r="N64" s="3">
        <f>IFERROR(HLOOKUP(N$1,Data!$1:$149,ROW(Bilanço!$A64),0),"")</f>
        <v>0</v>
      </c>
      <c r="O64" s="3">
        <f>IFERROR(HLOOKUP(O$1,Data!$1:$149,ROW(Bilanço!$A64),0),"")</f>
        <v>0</v>
      </c>
      <c r="P64" s="3">
        <f>IFERROR(HLOOKUP(P$1,Data!$1:$149,ROW(Bilanço!$A64),0),"")</f>
        <v>0</v>
      </c>
      <c r="Q64" s="3">
        <f>IFERROR(HLOOKUP(Q$1,Data!$1:$149,ROW(Bilanço!$A64),0),"")</f>
        <v>4815119000</v>
      </c>
      <c r="R64" s="3">
        <f>IFERROR(HLOOKUP(R$1,Data!$1:$149,ROW(Bilanço!$A64),0),"")</f>
        <v>0</v>
      </c>
      <c r="S64" s="3">
        <f>IFERROR(HLOOKUP(S$1,Data!$1:$149,ROW(Bilanço!$A64),0),"")</f>
        <v>0</v>
      </c>
      <c r="T64" s="3">
        <f>IFERROR(HLOOKUP(T$1,Data!$1:$149,ROW(Bilanço!$A64),0),"")</f>
        <v>4531024000</v>
      </c>
      <c r="U64" s="3">
        <f>IFERROR(HLOOKUP(U$1,Data!$1:$149,ROW(Bilanço!$A64),0),"")</f>
        <v>6039583915</v>
      </c>
      <c r="V64" s="3">
        <f>IFERROR(HLOOKUP(V$1,Data!$1:$149,ROW(Bilanço!$A64),0),"")</f>
        <v>5299653000</v>
      </c>
      <c r="W64" s="3">
        <f>IFERROR(HLOOKUP(W$1,Data!$1:$149,ROW(Bilanço!$A64),0),"")</f>
        <v>5617989000</v>
      </c>
      <c r="X64" s="3">
        <f>IFERROR(HLOOKUP(X$1,Data!$1:$149,ROW(Bilanço!$A64),0),"")</f>
        <v>6039584000</v>
      </c>
    </row>
    <row r="65" spans="1:24" x14ac:dyDescent="0.25">
      <c r="A65" t="str">
        <f>Data!A65</f>
        <v xml:space="preserve">  Değer Artış Fonları</v>
      </c>
      <c r="B65" s="2">
        <f>IFERROR(HLOOKUP(B$1,Data!$1:$149,ROW(Bilanço!$A65),0),"")</f>
        <v>0</v>
      </c>
      <c r="C65" s="2">
        <f>IFERROR(HLOOKUP(C$1,Data!$1:$149,ROW(Bilanço!$A65),0),"")</f>
        <v>0</v>
      </c>
      <c r="D65" s="2">
        <f>IFERROR(HLOOKUP(D$1,Data!$1:$149,ROW(Bilanço!$A65),0),"")</f>
        <v>0</v>
      </c>
      <c r="E65" s="2">
        <f>IFERROR(HLOOKUP(E$1,Data!$1:$149,ROW(Bilanço!$A65),0),"")</f>
        <v>0</v>
      </c>
      <c r="F65" s="2">
        <f>IFERROR(HLOOKUP(F$1,Data!$1:$149,ROW(Bilanço!$A65),0),"")</f>
        <v>0</v>
      </c>
      <c r="G65" s="2">
        <f>IFERROR(HLOOKUP(G$1,Data!$1:$149,ROW(Bilanço!$A65),0),"")</f>
        <v>0</v>
      </c>
      <c r="H65" s="2">
        <f>IFERROR(HLOOKUP(H$1,Data!$1:$149,ROW(Bilanço!$A65),0),"")</f>
        <v>0</v>
      </c>
      <c r="I65" s="2">
        <f>IFERROR(HLOOKUP(I$1,Data!$1:$149,ROW(Bilanço!$A65),0),"")</f>
        <v>0</v>
      </c>
      <c r="J65" s="3">
        <f>IFERROR(HLOOKUP(J$1,Data!$1:$149,ROW(Bilanço!$A65),0),"")</f>
        <v>0</v>
      </c>
      <c r="K65" s="3">
        <f>IFERROR(HLOOKUP(K$1,Data!$1:$149,ROW(Bilanço!$A65),0),"")</f>
        <v>0</v>
      </c>
      <c r="L65" s="3">
        <f>IFERROR(HLOOKUP(L$1,Data!$1:$149,ROW(Bilanço!$A65),0),"")</f>
        <v>0</v>
      </c>
      <c r="M65" s="3">
        <f>IFERROR(HLOOKUP(M$1,Data!$1:$149,ROW(Bilanço!$A65),0),"")</f>
        <v>0</v>
      </c>
      <c r="N65" s="3">
        <f>IFERROR(HLOOKUP(N$1,Data!$1:$149,ROW(Bilanço!$A65),0),"")</f>
        <v>0</v>
      </c>
      <c r="O65" s="3">
        <f>IFERROR(HLOOKUP(O$1,Data!$1:$149,ROW(Bilanço!$A65),0),"")</f>
        <v>0</v>
      </c>
      <c r="P65" s="3">
        <f>IFERROR(HLOOKUP(P$1,Data!$1:$149,ROW(Bilanço!$A65),0),"")</f>
        <v>0</v>
      </c>
      <c r="Q65" s="3">
        <f>IFERROR(HLOOKUP(Q$1,Data!$1:$149,ROW(Bilanço!$A65),0),"")</f>
        <v>0</v>
      </c>
      <c r="R65" s="3">
        <f>IFERROR(HLOOKUP(R$1,Data!$1:$149,ROW(Bilanço!$A65),0),"")</f>
        <v>0</v>
      </c>
      <c r="S65" s="3">
        <f>IFERROR(HLOOKUP(S$1,Data!$1:$149,ROW(Bilanço!$A65),0),"")</f>
        <v>0</v>
      </c>
      <c r="T65" s="3">
        <f>IFERROR(HLOOKUP(T$1,Data!$1:$149,ROW(Bilanço!$A65),0),"")</f>
        <v>0</v>
      </c>
      <c r="U65" s="3">
        <f>IFERROR(HLOOKUP(U$1,Data!$1:$149,ROW(Bilanço!$A65),0),"")</f>
        <v>0</v>
      </c>
      <c r="V65" s="3">
        <f>IFERROR(HLOOKUP(V$1,Data!$1:$149,ROW(Bilanço!$A65),0),"")</f>
        <v>0</v>
      </c>
      <c r="W65" s="3">
        <f>IFERROR(HLOOKUP(W$1,Data!$1:$149,ROW(Bilanço!$A65),0),"")</f>
        <v>0</v>
      </c>
      <c r="X65" s="3">
        <f>IFERROR(HLOOKUP(X$1,Data!$1:$149,ROW(Bilanço!$A65),0),"")</f>
        <v>0</v>
      </c>
    </row>
    <row r="66" spans="1:24" ht="14.25" customHeight="1" x14ac:dyDescent="0.25">
      <c r="A66" t="str">
        <f>Data!A66</f>
        <v xml:space="preserve">  Yabancı Para Çevrim Farkları</v>
      </c>
      <c r="B66" s="2">
        <f>IFERROR(HLOOKUP(B$1,Data!$1:$149,ROW(Bilanço!$A66),0),"")</f>
        <v>-48106000</v>
      </c>
      <c r="C66" s="2">
        <f>IFERROR(HLOOKUP(C$1,Data!$1:$149,ROW(Bilanço!$A66),0),"")</f>
        <v>-47703000</v>
      </c>
      <c r="D66" s="2">
        <f>IFERROR(HLOOKUP(D$1,Data!$1:$149,ROW(Bilanço!$A66),0),"")</f>
        <v>33003000</v>
      </c>
      <c r="E66" s="2">
        <f>IFERROR(HLOOKUP(E$1,Data!$1:$149,ROW(Bilanço!$A66),0),"")</f>
        <v>22444000</v>
      </c>
      <c r="F66" s="2">
        <f>IFERROR(HLOOKUP(F$1,Data!$1:$149,ROW(Bilanço!$A66),0),"")</f>
        <v>118142000</v>
      </c>
      <c r="G66" s="2">
        <f>IFERROR(HLOOKUP(G$1,Data!$1:$149,ROW(Bilanço!$A66),0),"")</f>
        <v>153723000</v>
      </c>
      <c r="H66" s="2">
        <f>IFERROR(HLOOKUP(H$1,Data!$1:$149,ROW(Bilanço!$A66),0),"")</f>
        <v>147334000</v>
      </c>
      <c r="I66" s="2">
        <f>IFERROR(HLOOKUP(I$1,Data!$1:$149,ROW(Bilanço!$A66),0),"")</f>
        <v>607882000</v>
      </c>
      <c r="J66" s="3">
        <f>IFERROR(HLOOKUP(J$1,Data!$1:$149,ROW(Bilanço!$A66),0),"")</f>
        <v>652853000</v>
      </c>
      <c r="K66" s="3">
        <f>IFERROR(HLOOKUP(K$1,Data!$1:$149,ROW(Bilanço!$A66),0),"")</f>
        <v>766418000</v>
      </c>
      <c r="L66" s="3">
        <f>IFERROR(HLOOKUP(L$1,Data!$1:$149,ROW(Bilanço!$A66),0),"")</f>
        <v>818644000</v>
      </c>
      <c r="M66" s="3">
        <f>IFERROR(HLOOKUP(M$1,Data!$1:$149,ROW(Bilanço!$A66),0),"")</f>
        <v>-1064911000</v>
      </c>
      <c r="N66" s="3">
        <f>IFERROR(HLOOKUP(N$1,Data!$1:$149,ROW(Bilanço!$A66),0),"")</f>
        <v>842540000</v>
      </c>
      <c r="O66" s="3">
        <f>IFERROR(HLOOKUP(O$1,Data!$1:$149,ROW(Bilanço!$A66),0),"")</f>
        <v>1549157000</v>
      </c>
      <c r="P66" s="3">
        <f>IFERROR(HLOOKUP(P$1,Data!$1:$149,ROW(Bilanço!$A66),0),"")</f>
        <v>1590682000</v>
      </c>
      <c r="Q66" s="3">
        <f>IFERROR(HLOOKUP(Q$1,Data!$1:$149,ROW(Bilanço!$A66),0),"")</f>
        <v>-505000</v>
      </c>
      <c r="R66" s="3">
        <f>IFERROR(HLOOKUP(R$1,Data!$1:$149,ROW(Bilanço!$A66),0),"")</f>
        <v>-1001506000</v>
      </c>
      <c r="S66" s="3">
        <f>IFERROR(HLOOKUP(S$1,Data!$1:$149,ROW(Bilanço!$A66),0),"")</f>
        <v>-1461364000</v>
      </c>
      <c r="T66" s="3">
        <f>IFERROR(HLOOKUP(T$1,Data!$1:$149,ROW(Bilanço!$A66),0),"")</f>
        <v>-1340934000</v>
      </c>
      <c r="U66" s="3">
        <f>IFERROR(HLOOKUP(U$1,Data!$1:$149,ROW(Bilanço!$A66),0),"")</f>
        <v>-2210142087</v>
      </c>
      <c r="V66" s="3">
        <f>IFERROR(HLOOKUP(V$1,Data!$1:$149,ROW(Bilanço!$A66),0),"")</f>
        <v>-1793664000</v>
      </c>
      <c r="W66" s="3">
        <f>IFERROR(HLOOKUP(W$1,Data!$1:$149,ROW(Bilanço!$A66),0),"")</f>
        <v>-1826444000</v>
      </c>
      <c r="X66" s="3">
        <f>IFERROR(HLOOKUP(X$1,Data!$1:$149,ROW(Bilanço!$A66),0),"")</f>
        <v>-2307013000</v>
      </c>
    </row>
    <row r="67" spans="1:24" x14ac:dyDescent="0.25">
      <c r="A67" t="str">
        <f>Data!A67</f>
        <v xml:space="preserve">  Kardan Ayrılan Kısıtlanmış Yedekler</v>
      </c>
      <c r="B67" s="2">
        <f>IFERROR(HLOOKUP(B$1,Data!$1:$149,ROW(Bilanço!$A67),0),"")</f>
        <v>131587000</v>
      </c>
      <c r="C67" s="2">
        <f>IFERROR(HLOOKUP(C$1,Data!$1:$149,ROW(Bilanço!$A67),0),"")</f>
        <v>131587000</v>
      </c>
      <c r="D67" s="2">
        <f>IFERROR(HLOOKUP(D$1,Data!$1:$149,ROW(Bilanço!$A67),0),"")</f>
        <v>131587000</v>
      </c>
      <c r="E67" s="2">
        <f>IFERROR(HLOOKUP(E$1,Data!$1:$149,ROW(Bilanço!$A67),0),"")</f>
        <v>131587000</v>
      </c>
      <c r="F67" s="2">
        <f>IFERROR(HLOOKUP(F$1,Data!$1:$149,ROW(Bilanço!$A67),0),"")</f>
        <v>131587000</v>
      </c>
      <c r="G67" s="2">
        <f>IFERROR(HLOOKUP(G$1,Data!$1:$149,ROW(Bilanço!$A67),0),"")</f>
        <v>157537000</v>
      </c>
      <c r="H67" s="2">
        <f>IFERROR(HLOOKUP(H$1,Data!$1:$149,ROW(Bilanço!$A67),0),"")</f>
        <v>157537000</v>
      </c>
      <c r="I67" s="2">
        <f>IFERROR(HLOOKUP(I$1,Data!$1:$149,ROW(Bilanço!$A67),0),"")</f>
        <v>157537000</v>
      </c>
      <c r="J67" s="3">
        <f>IFERROR(HLOOKUP(J$1,Data!$1:$149,ROW(Bilanço!$A67),0),"")</f>
        <v>157537000</v>
      </c>
      <c r="K67" s="3">
        <f>IFERROR(HLOOKUP(K$1,Data!$1:$149,ROW(Bilanço!$A67),0),"")</f>
        <v>157537000</v>
      </c>
      <c r="L67" s="3">
        <f>IFERROR(HLOOKUP(L$1,Data!$1:$149,ROW(Bilanço!$A67),0),"")</f>
        <v>157537000</v>
      </c>
      <c r="M67" s="3">
        <f>IFERROR(HLOOKUP(M$1,Data!$1:$149,ROW(Bilanço!$A67),0),"")</f>
        <v>1406764000</v>
      </c>
      <c r="N67" s="3">
        <f>IFERROR(HLOOKUP(N$1,Data!$1:$149,ROW(Bilanço!$A67),0),"")</f>
        <v>157537000</v>
      </c>
      <c r="O67" s="3">
        <f>IFERROR(HLOOKUP(O$1,Data!$1:$149,ROW(Bilanço!$A67),0),"")</f>
        <v>157537000</v>
      </c>
      <c r="P67" s="3">
        <f>IFERROR(HLOOKUP(P$1,Data!$1:$149,ROW(Bilanço!$A67),0),"")</f>
        <v>173080000</v>
      </c>
      <c r="Q67" s="3">
        <f>IFERROR(HLOOKUP(Q$1,Data!$1:$149,ROW(Bilanço!$A67),0),"")</f>
        <v>2206096000</v>
      </c>
      <c r="R67" s="3">
        <f>IFERROR(HLOOKUP(R$1,Data!$1:$149,ROW(Bilanço!$A67),0),"")</f>
        <v>1758162000</v>
      </c>
      <c r="S67" s="3">
        <f>IFERROR(HLOOKUP(S$1,Data!$1:$149,ROW(Bilanço!$A67),0),"")</f>
        <v>1905933000</v>
      </c>
      <c r="T67" s="3">
        <f>IFERROR(HLOOKUP(T$1,Data!$1:$149,ROW(Bilanço!$A67),0),"")</f>
        <v>2075934000</v>
      </c>
      <c r="U67" s="3">
        <f>IFERROR(HLOOKUP(U$1,Data!$1:$149,ROW(Bilanço!$A67),0),"")</f>
        <v>2767097120</v>
      </c>
      <c r="V67" s="3">
        <f>IFERROR(HLOOKUP(V$1,Data!$1:$149,ROW(Bilanço!$A67),0),"")</f>
        <v>2428090000</v>
      </c>
      <c r="W67" s="3">
        <f>IFERROR(HLOOKUP(W$1,Data!$1:$149,ROW(Bilanço!$A67),0),"")</f>
        <v>2870086000</v>
      </c>
      <c r="X67" s="3">
        <f>IFERROR(HLOOKUP(X$1,Data!$1:$149,ROW(Bilanço!$A67),0),"")</f>
        <v>3085474000</v>
      </c>
    </row>
    <row r="68" spans="1:24" x14ac:dyDescent="0.25">
      <c r="A68" t="str">
        <f>Data!A68</f>
        <v xml:space="preserve">  Geçmiş Yıllar Kar/Zararları</v>
      </c>
      <c r="B68" s="2">
        <f>IFERROR(HLOOKUP(B$1,Data!$1:$149,ROW(Bilanço!$A68),0),"")</f>
        <v>2415254000</v>
      </c>
      <c r="C68" s="2">
        <f>IFERROR(HLOOKUP(C$1,Data!$1:$149,ROW(Bilanço!$A68),0),"")</f>
        <v>2506455000</v>
      </c>
      <c r="D68" s="2">
        <f>IFERROR(HLOOKUP(D$1,Data!$1:$149,ROW(Bilanço!$A68),0),"")</f>
        <v>3324334000</v>
      </c>
      <c r="E68" s="2">
        <f>IFERROR(HLOOKUP(E$1,Data!$1:$149,ROW(Bilanço!$A68),0),"")</f>
        <v>3541181000</v>
      </c>
      <c r="F68" s="2">
        <f>IFERROR(HLOOKUP(F$1,Data!$1:$149,ROW(Bilanço!$A68),0),"")</f>
        <v>4345981000</v>
      </c>
      <c r="G68" s="2">
        <f>IFERROR(HLOOKUP(G$1,Data!$1:$149,ROW(Bilanço!$A68),0),"")</f>
        <v>4043431000</v>
      </c>
      <c r="H68" s="2">
        <f>IFERROR(HLOOKUP(H$1,Data!$1:$149,ROW(Bilanço!$A68),0),"")</f>
        <v>4384635000</v>
      </c>
      <c r="I68" s="2">
        <f>IFERROR(HLOOKUP(I$1,Data!$1:$149,ROW(Bilanço!$A68),0),"")</f>
        <v>4384636000</v>
      </c>
      <c r="J68" s="3">
        <f>IFERROR(HLOOKUP(J$1,Data!$1:$149,ROW(Bilanço!$A68),0),"")</f>
        <v>3920304000</v>
      </c>
      <c r="K68" s="3">
        <f>IFERROR(HLOOKUP(K$1,Data!$1:$149,ROW(Bilanço!$A68),0),"")</f>
        <v>3920304000</v>
      </c>
      <c r="L68" s="3">
        <f>IFERROR(HLOOKUP(L$1,Data!$1:$149,ROW(Bilanço!$A68),0),"")</f>
        <v>3920304000</v>
      </c>
      <c r="M68" s="3">
        <f>IFERROR(HLOOKUP(M$1,Data!$1:$149,ROW(Bilanço!$A68),0),"")</f>
        <v>16234730000</v>
      </c>
      <c r="N68" s="3">
        <f>IFERROR(HLOOKUP(N$1,Data!$1:$149,ROW(Bilanço!$A68),0),"")</f>
        <v>3567203000</v>
      </c>
      <c r="O68" s="3">
        <f>IFERROR(HLOOKUP(O$1,Data!$1:$149,ROW(Bilanço!$A68),0),"")</f>
        <v>3567203000</v>
      </c>
      <c r="P68" s="3">
        <f>IFERROR(HLOOKUP(P$1,Data!$1:$149,ROW(Bilanço!$A68),0),"")</f>
        <v>3567203000</v>
      </c>
      <c r="Q68" s="3">
        <f>IFERROR(HLOOKUP(Q$1,Data!$1:$149,ROW(Bilanço!$A68),0),"")</f>
        <v>24861335000</v>
      </c>
      <c r="R68" s="3">
        <f>IFERROR(HLOOKUP(R$1,Data!$1:$149,ROW(Bilanço!$A68),0),"")</f>
        <v>23701266000</v>
      </c>
      <c r="S68" s="3">
        <f>IFERROR(HLOOKUP(S$1,Data!$1:$149,ROW(Bilanço!$A68),0),"")</f>
        <v>25693330000</v>
      </c>
      <c r="T68" s="3">
        <f>IFERROR(HLOOKUP(T$1,Data!$1:$149,ROW(Bilanço!$A68),0),"")</f>
        <v>27985057000</v>
      </c>
      <c r="U68" s="3">
        <f>IFERROR(HLOOKUP(U$1,Data!$1:$149,ROW(Bilanço!$A68),0),"")</f>
        <v>12943177003</v>
      </c>
      <c r="V68" s="3">
        <f>IFERROR(HLOOKUP(V$1,Data!$1:$149,ROW(Bilanço!$A68),0),"")</f>
        <v>19502679000</v>
      </c>
      <c r="W68" s="3">
        <f>IFERROR(HLOOKUP(W$1,Data!$1:$149,ROW(Bilanço!$A68),0),"")</f>
        <v>17398002000</v>
      </c>
      <c r="X68" s="3">
        <f>IFERROR(HLOOKUP(X$1,Data!$1:$149,ROW(Bilanço!$A68),0),"")</f>
        <v>18703612000</v>
      </c>
    </row>
    <row r="69" spans="1:24" x14ac:dyDescent="0.25">
      <c r="A69" t="str">
        <f>Data!A69</f>
        <v xml:space="preserve">  Dönem Net Kar/Zararı</v>
      </c>
      <c r="B69" s="2">
        <f>IFERROR(HLOOKUP(B$1,Data!$1:$149,ROW(Bilanço!$A69),0),"")</f>
        <v>-98292000</v>
      </c>
      <c r="C69" s="2">
        <f>IFERROR(HLOOKUP(C$1,Data!$1:$149,ROW(Bilanço!$A69),0),"")</f>
        <v>406151000</v>
      </c>
      <c r="D69" s="2">
        <f>IFERROR(HLOOKUP(D$1,Data!$1:$149,ROW(Bilanço!$A69),0),"")</f>
        <v>729375000</v>
      </c>
      <c r="E69" s="2">
        <f>IFERROR(HLOOKUP(E$1,Data!$1:$149,ROW(Bilanço!$A69),0),"")</f>
        <v>1081394000</v>
      </c>
      <c r="F69" s="2">
        <f>IFERROR(HLOOKUP(F$1,Data!$1:$149,ROW(Bilanço!$A69),0),"")</f>
        <v>479294000</v>
      </c>
      <c r="G69" s="2">
        <f>IFERROR(HLOOKUP(G$1,Data!$1:$149,ROW(Bilanço!$A69),0),"")</f>
        <v>685878000</v>
      </c>
      <c r="H69" s="2">
        <f>IFERROR(HLOOKUP(H$1,Data!$1:$149,ROW(Bilanço!$A69),0),"")</f>
        <v>654654000</v>
      </c>
      <c r="I69" s="2">
        <f>IFERROR(HLOOKUP(I$1,Data!$1:$149,ROW(Bilanço!$A69),0),"")</f>
        <v>-464332000</v>
      </c>
      <c r="J69" s="3">
        <f>IFERROR(HLOOKUP(J$1,Data!$1:$149,ROW(Bilanço!$A69),0),"")</f>
        <v>-470705000</v>
      </c>
      <c r="K69" s="3">
        <f>IFERROR(HLOOKUP(K$1,Data!$1:$149,ROW(Bilanço!$A69),0),"")</f>
        <v>-1119340000</v>
      </c>
      <c r="L69" s="3">
        <f>IFERROR(HLOOKUP(L$1,Data!$1:$149,ROW(Bilanço!$A69),0),"")</f>
        <v>-1336418000</v>
      </c>
      <c r="M69" s="3">
        <f>IFERROR(HLOOKUP(M$1,Data!$1:$149,ROW(Bilanço!$A69),0),"")</f>
        <v>984793000</v>
      </c>
      <c r="N69" s="3">
        <f>IFERROR(HLOOKUP(N$1,Data!$1:$149,ROW(Bilanço!$A69),0),"")</f>
        <v>895647000</v>
      </c>
      <c r="O69" s="3">
        <f>IFERROR(HLOOKUP(O$1,Data!$1:$149,ROW(Bilanço!$A69),0),"")</f>
        <v>-796751000</v>
      </c>
      <c r="P69" s="3">
        <f>IFERROR(HLOOKUP(P$1,Data!$1:$149,ROW(Bilanço!$A69),0),"")</f>
        <v>659305000</v>
      </c>
      <c r="Q69" s="3">
        <f>IFERROR(HLOOKUP(Q$1,Data!$1:$149,ROW(Bilanço!$A69),0),"")</f>
        <v>4878383000</v>
      </c>
      <c r="R69" s="3">
        <f>IFERROR(HLOOKUP(R$1,Data!$1:$149,ROW(Bilanço!$A69),0),"")</f>
        <v>2167307000</v>
      </c>
      <c r="S69" s="3">
        <f>IFERROR(HLOOKUP(S$1,Data!$1:$149,ROW(Bilanço!$A69),0),"")</f>
        <v>3609816000</v>
      </c>
      <c r="T69" s="3">
        <f>IFERROR(HLOOKUP(T$1,Data!$1:$149,ROW(Bilanço!$A69),0),"")</f>
        <v>4402276000</v>
      </c>
      <c r="U69" s="3">
        <f>IFERROR(HLOOKUP(U$1,Data!$1:$149,ROW(Bilanço!$A69),0),"")</f>
        <v>9282439224</v>
      </c>
      <c r="V69" s="3">
        <f>IFERROR(HLOOKUP(V$1,Data!$1:$149,ROW(Bilanço!$A69),0),"")</f>
        <v>2413368000</v>
      </c>
      <c r="W69" s="3">
        <f>IFERROR(HLOOKUP(W$1,Data!$1:$149,ROW(Bilanço!$A69),0),"")</f>
        <v>3279913000</v>
      </c>
      <c r="X69" s="3">
        <f>IFERROR(HLOOKUP(X$1,Data!$1:$149,ROW(Bilanço!$A69),0),"")</f>
        <v>4593516000</v>
      </c>
    </row>
    <row r="70" spans="1:24" x14ac:dyDescent="0.25">
      <c r="A70" t="str">
        <f>Data!A70</f>
        <v xml:space="preserve">  Diğer Özsermaye Kalemleri</v>
      </c>
      <c r="B70" s="2">
        <f>IFERROR(HLOOKUP(B$1,Data!$1:$149,ROW(Bilanço!$A70),0),"")</f>
        <v>1578508000</v>
      </c>
      <c r="C70" s="2">
        <f>IFERROR(HLOOKUP(C$1,Data!$1:$149,ROW(Bilanço!$A70),0),"")</f>
        <v>1632501000</v>
      </c>
      <c r="D70" s="2">
        <f>IFERROR(HLOOKUP(D$1,Data!$1:$149,ROW(Bilanço!$A70),0),"")</f>
        <v>812340000</v>
      </c>
      <c r="E70" s="2">
        <f>IFERROR(HLOOKUP(E$1,Data!$1:$149,ROW(Bilanço!$A70),0),"")</f>
        <v>918174000</v>
      </c>
      <c r="F70" s="2">
        <f>IFERROR(HLOOKUP(F$1,Data!$1:$149,ROW(Bilanço!$A70),0),"")</f>
        <v>849616000</v>
      </c>
      <c r="G70" s="2">
        <f>IFERROR(HLOOKUP(G$1,Data!$1:$149,ROW(Bilanço!$A70),0),"")</f>
        <v>849747000</v>
      </c>
      <c r="H70" s="2">
        <f>IFERROR(HLOOKUP(H$1,Data!$1:$149,ROW(Bilanço!$A70),0),"")</f>
        <v>-2885351000</v>
      </c>
      <c r="I70" s="2">
        <f>IFERROR(HLOOKUP(I$1,Data!$1:$149,ROW(Bilanço!$A70),0),"")</f>
        <v>-2041009000</v>
      </c>
      <c r="J70" s="3">
        <f>IFERROR(HLOOKUP(J$1,Data!$1:$149,ROW(Bilanço!$A70),0),"")</f>
        <v>-2013827000</v>
      </c>
      <c r="K70" s="3">
        <f>IFERROR(HLOOKUP(K$1,Data!$1:$149,ROW(Bilanço!$A70),0),"")</f>
        <v>-1550046000</v>
      </c>
      <c r="L70" s="3">
        <f>IFERROR(HLOOKUP(L$1,Data!$1:$149,ROW(Bilanço!$A70),0),"")</f>
        <v>-1167792000</v>
      </c>
      <c r="M70" s="3">
        <f>IFERROR(HLOOKUP(M$1,Data!$1:$149,ROW(Bilanço!$A70),0),"")</f>
        <v>-5867518000</v>
      </c>
      <c r="N70" s="3">
        <f>IFERROR(HLOOKUP(N$1,Data!$1:$149,ROW(Bilanço!$A70),0),"")</f>
        <v>706917000</v>
      </c>
      <c r="O70" s="3">
        <f>IFERROR(HLOOKUP(O$1,Data!$1:$149,ROW(Bilanço!$A70),0),"")</f>
        <v>1089122000</v>
      </c>
      <c r="P70" s="3">
        <f>IFERROR(HLOOKUP(P$1,Data!$1:$149,ROW(Bilanço!$A70),0),"")</f>
        <v>2536861000</v>
      </c>
      <c r="Q70" s="3">
        <f>IFERROR(HLOOKUP(Q$1,Data!$1:$149,ROW(Bilanço!$A70),0),"")</f>
        <v>-11182771000</v>
      </c>
      <c r="R70" s="3">
        <f>IFERROR(HLOOKUP(R$1,Data!$1:$149,ROW(Bilanço!$A70),0),"")</f>
        <v>-5587175000</v>
      </c>
      <c r="S70" s="3">
        <f>IFERROR(HLOOKUP(S$1,Data!$1:$149,ROW(Bilanço!$A70),0),"")</f>
        <v>-5989025000</v>
      </c>
      <c r="T70" s="3">
        <f>IFERROR(HLOOKUP(T$1,Data!$1:$149,ROW(Bilanço!$A70),0),"")</f>
        <v>-11007219000</v>
      </c>
      <c r="U70" s="3">
        <f>IFERROR(HLOOKUP(U$1,Data!$1:$149,ROW(Bilanço!$A70),0),"")</f>
        <v>9952509169</v>
      </c>
      <c r="V70" s="3">
        <f>IFERROR(HLOOKUP(V$1,Data!$1:$149,ROW(Bilanço!$A70),0),"")</f>
        <v>8431280000</v>
      </c>
      <c r="W70" s="3">
        <f>IFERROR(HLOOKUP(W$1,Data!$1:$149,ROW(Bilanço!$A70),0),"")</f>
        <v>8407834000</v>
      </c>
      <c r="X70" s="3">
        <f>IFERROR(HLOOKUP(X$1,Data!$1:$149,ROW(Bilanço!$A70),0),"")</f>
        <v>9666958000</v>
      </c>
    </row>
    <row r="71" spans="1:24" x14ac:dyDescent="0.25">
      <c r="A71" t="str">
        <f>Data!A71</f>
        <v xml:space="preserve">  Azınlık Payları</v>
      </c>
      <c r="B71" s="2">
        <f>IFERROR(HLOOKUP(B$1,Data!$1:$149,ROW(Bilanço!$A71),0),"")</f>
        <v>609163000</v>
      </c>
      <c r="C71" s="2">
        <f>IFERROR(HLOOKUP(C$1,Data!$1:$149,ROW(Bilanço!$A71),0),"")</f>
        <v>657791000</v>
      </c>
      <c r="D71" s="2">
        <f>IFERROR(HLOOKUP(D$1,Data!$1:$149,ROW(Bilanço!$A71),0),"")</f>
        <v>766737000</v>
      </c>
      <c r="E71" s="2">
        <f>IFERROR(HLOOKUP(E$1,Data!$1:$149,ROW(Bilanço!$A71),0),"")</f>
        <v>779913000</v>
      </c>
      <c r="F71" s="2">
        <f>IFERROR(HLOOKUP(F$1,Data!$1:$149,ROW(Bilanço!$A71),0),"")</f>
        <v>832736000</v>
      </c>
      <c r="G71" s="2">
        <f>IFERROR(HLOOKUP(G$1,Data!$1:$149,ROW(Bilanço!$A71),0),"")</f>
        <v>871160000</v>
      </c>
      <c r="H71" s="2">
        <f>IFERROR(HLOOKUP(H$1,Data!$1:$149,ROW(Bilanço!$A71),0),"")</f>
        <v>913232000</v>
      </c>
      <c r="I71" s="2">
        <f>IFERROR(HLOOKUP(I$1,Data!$1:$149,ROW(Bilanço!$A71),0),"")</f>
        <v>1327188000</v>
      </c>
      <c r="J71" s="3">
        <f>IFERROR(HLOOKUP(J$1,Data!$1:$149,ROW(Bilanço!$A71),0),"")</f>
        <v>1506646000</v>
      </c>
      <c r="K71" s="3">
        <f>IFERROR(HLOOKUP(K$1,Data!$1:$149,ROW(Bilanço!$A71),0),"")</f>
        <v>1716234000</v>
      </c>
      <c r="L71" s="3">
        <f>IFERROR(HLOOKUP(L$1,Data!$1:$149,ROW(Bilanço!$A71),0),"")</f>
        <v>1816575000</v>
      </c>
      <c r="M71" s="3">
        <f>IFERROR(HLOOKUP(M$1,Data!$1:$149,ROW(Bilanço!$A71),0),"")</f>
        <v>3607257000</v>
      </c>
      <c r="N71" s="3">
        <f>IFERROR(HLOOKUP(N$1,Data!$1:$149,ROW(Bilanço!$A71),0),"")</f>
        <v>2210598000</v>
      </c>
      <c r="O71" s="3">
        <f>IFERROR(HLOOKUP(O$1,Data!$1:$149,ROW(Bilanço!$A71),0),"")</f>
        <v>2731056000</v>
      </c>
      <c r="P71" s="3">
        <f>IFERROR(HLOOKUP(P$1,Data!$1:$149,ROW(Bilanço!$A71),0),"")</f>
        <v>1612635000</v>
      </c>
      <c r="Q71" s="3">
        <f>IFERROR(HLOOKUP(Q$1,Data!$1:$149,ROW(Bilanço!$A71),0),"")</f>
        <v>2642913000</v>
      </c>
      <c r="R71" s="3">
        <f>IFERROR(HLOOKUP(R$1,Data!$1:$149,ROW(Bilanço!$A71),0),"")</f>
        <v>2079109000</v>
      </c>
      <c r="S71" s="3">
        <f>IFERROR(HLOOKUP(S$1,Data!$1:$149,ROW(Bilanço!$A71),0),"")</f>
        <v>1881684000</v>
      </c>
      <c r="T71" s="3">
        <f>IFERROR(HLOOKUP(T$1,Data!$1:$149,ROW(Bilanço!$A71),0),"")</f>
        <v>2031498000</v>
      </c>
      <c r="U71" s="3">
        <f>IFERROR(HLOOKUP(U$1,Data!$1:$149,ROW(Bilanço!$A71),0),"")</f>
        <v>2751087287</v>
      </c>
      <c r="V71" s="3">
        <f>IFERROR(HLOOKUP(V$1,Data!$1:$149,ROW(Bilanço!$A71),0),"")</f>
        <v>2525861000</v>
      </c>
      <c r="W71" s="3">
        <f>IFERROR(HLOOKUP(W$1,Data!$1:$149,ROW(Bilanço!$A71),0),"")</f>
        <v>2256899000</v>
      </c>
      <c r="X71" s="3">
        <f>IFERROR(HLOOKUP(X$1,Data!$1:$149,ROW(Bilanço!$A71),0),"")</f>
        <v>2432171000</v>
      </c>
    </row>
    <row r="72" spans="1:24" x14ac:dyDescent="0.25">
      <c r="A72" t="str">
        <f>Data!A72</f>
        <v>TOPLAM KAYNAKLAR</v>
      </c>
      <c r="B72" s="2">
        <f>IFERROR(HLOOKUP(B$1,Data!$1:$149,ROW(Bilanço!$A72),0),"")</f>
        <v>13352306000</v>
      </c>
      <c r="C72" s="2">
        <f>IFERROR(HLOOKUP(C$1,Data!$1:$149,ROW(Bilanço!$A72),0),"")</f>
        <v>14646534000</v>
      </c>
      <c r="D72" s="2">
        <f>IFERROR(HLOOKUP(D$1,Data!$1:$149,ROW(Bilanço!$A72),0),"")</f>
        <v>16490984000</v>
      </c>
      <c r="E72" s="2">
        <f>IFERROR(HLOOKUP(E$1,Data!$1:$149,ROW(Bilanço!$A72),0),"")</f>
        <v>19491674000</v>
      </c>
      <c r="F72" s="2">
        <f>IFERROR(HLOOKUP(F$1,Data!$1:$149,ROW(Bilanço!$A72),0),"")</f>
        <v>20168907000</v>
      </c>
      <c r="G72" s="2">
        <f>IFERROR(HLOOKUP(G$1,Data!$1:$149,ROW(Bilanço!$A72),0),"")</f>
        <v>20295531000</v>
      </c>
      <c r="H72" s="2">
        <f>IFERROR(HLOOKUP(H$1,Data!$1:$149,ROW(Bilanço!$A72),0),"")</f>
        <v>18886371000</v>
      </c>
      <c r="I72" s="2">
        <f>IFERROR(HLOOKUP(I$1,Data!$1:$149,ROW(Bilanço!$A72),0),"")</f>
        <v>26243625000</v>
      </c>
      <c r="J72" s="3">
        <f>IFERROR(HLOOKUP(J$1,Data!$1:$149,ROW(Bilanço!$A72),0),"")</f>
        <v>28760684000</v>
      </c>
      <c r="K72" s="3">
        <f>IFERROR(HLOOKUP(K$1,Data!$1:$149,ROW(Bilanço!$A72),0),"")</f>
        <v>31330846000</v>
      </c>
      <c r="L72" s="3">
        <f>IFERROR(HLOOKUP(L$1,Data!$1:$149,ROW(Bilanço!$A72),0),"")</f>
        <v>34607753000</v>
      </c>
      <c r="M72" s="3">
        <f>IFERROR(HLOOKUP(M$1,Data!$1:$149,ROW(Bilanço!$A72),0),"")</f>
        <v>66149172000</v>
      </c>
      <c r="N72" s="3">
        <f>IFERROR(HLOOKUP(N$1,Data!$1:$149,ROW(Bilanço!$A72),0),"")</f>
        <v>41322972000</v>
      </c>
      <c r="O72" s="3">
        <f>IFERROR(HLOOKUP(O$1,Data!$1:$149,ROW(Bilanço!$A72),0),"")</f>
        <v>44926068000</v>
      </c>
      <c r="P72" s="3">
        <f>IFERROR(HLOOKUP(P$1,Data!$1:$149,ROW(Bilanço!$A72),0),"")</f>
        <v>48060699000</v>
      </c>
      <c r="Q72" s="3">
        <f>IFERROR(HLOOKUP(Q$1,Data!$1:$149,ROW(Bilanço!$A72),0),"")</f>
        <v>88922371000</v>
      </c>
      <c r="R72" s="3">
        <f>IFERROR(HLOOKUP(R$1,Data!$1:$149,ROW(Bilanço!$A72),0),"")</f>
        <v>70253658000</v>
      </c>
      <c r="S72" s="3">
        <f>IFERROR(HLOOKUP(S$1,Data!$1:$149,ROW(Bilanço!$A72),0),"")</f>
        <v>76252568000</v>
      </c>
      <c r="T72" s="3">
        <f>IFERROR(HLOOKUP(T$1,Data!$1:$149,ROW(Bilanço!$A72),0),"")</f>
        <v>89877783000</v>
      </c>
      <c r="U72" s="3">
        <f>IFERROR(HLOOKUP(U$1,Data!$1:$149,ROW(Bilanço!$A72),0),"")</f>
        <v>122215375618</v>
      </c>
      <c r="V72" s="3">
        <f>IFERROR(HLOOKUP(V$1,Data!$1:$149,ROW(Bilanço!$A72),0),"")</f>
        <v>112279639000</v>
      </c>
      <c r="W72" s="3">
        <f>IFERROR(HLOOKUP(W$1,Data!$1:$149,ROW(Bilanço!$A72),0),"")</f>
        <v>121715463000</v>
      </c>
      <c r="X72" s="3">
        <f>IFERROR(HLOOKUP(X$1,Data!$1:$149,ROW(Bilanço!$A72),0),"")</f>
        <v>129208588000</v>
      </c>
    </row>
    <row r="73" spans="1:24" x14ac:dyDescent="0.25">
      <c r="A73" t="str">
        <f>Data!A73</f>
        <v>Sürdürülen Faaliyetler</v>
      </c>
      <c r="B73" s="2">
        <f>IFERROR(HLOOKUP(B$1,Data!$1:$149,ROW(Bilanço!$A73),0),"")</f>
        <v>0</v>
      </c>
      <c r="C73" s="2">
        <f>IFERROR(HLOOKUP(C$1,Data!$1:$149,ROW(Bilanço!$A73),0),"")</f>
        <v>0</v>
      </c>
      <c r="D73" s="2">
        <f>IFERROR(HLOOKUP(D$1,Data!$1:$149,ROW(Bilanço!$A73),0),"")</f>
        <v>0</v>
      </c>
      <c r="E73" s="2">
        <f>IFERROR(HLOOKUP(E$1,Data!$1:$149,ROW(Bilanço!$A73),0),"")</f>
        <v>0</v>
      </c>
      <c r="F73" s="2">
        <f>IFERROR(HLOOKUP(F$1,Data!$1:$149,ROW(Bilanço!$A73),0),"")</f>
        <v>0</v>
      </c>
      <c r="G73" s="2">
        <f>IFERROR(HLOOKUP(G$1,Data!$1:$149,ROW(Bilanço!$A73),0),"")</f>
        <v>0</v>
      </c>
      <c r="H73" s="2">
        <f>IFERROR(HLOOKUP(H$1,Data!$1:$149,ROW(Bilanço!$A73),0),"")</f>
        <v>0</v>
      </c>
      <c r="I73" s="2">
        <f>IFERROR(HLOOKUP(I$1,Data!$1:$149,ROW(Bilanço!$A73),0),"")</f>
        <v>0</v>
      </c>
      <c r="J73" s="3">
        <f>IFERROR(HLOOKUP(J$1,Data!$1:$149,ROW(Bilanço!$A73),0),"")</f>
        <v>0</v>
      </c>
      <c r="K73" s="3">
        <f>IFERROR(HLOOKUP(K$1,Data!$1:$149,ROW(Bilanço!$A73),0),"")</f>
        <v>0</v>
      </c>
      <c r="L73" s="3">
        <f>IFERROR(HLOOKUP(L$1,Data!$1:$149,ROW(Bilanço!$A73),0),"")</f>
        <v>0</v>
      </c>
      <c r="M73" s="3">
        <f>IFERROR(HLOOKUP(M$1,Data!$1:$149,ROW(Bilanço!$A73),0),"")</f>
        <v>0</v>
      </c>
      <c r="N73" s="3">
        <f>IFERROR(HLOOKUP(N$1,Data!$1:$149,ROW(Bilanço!$A73),0),"")</f>
        <v>0</v>
      </c>
      <c r="O73" s="3">
        <f>IFERROR(HLOOKUP(O$1,Data!$1:$149,ROW(Bilanço!$A73),0),"")</f>
        <v>0</v>
      </c>
      <c r="P73" s="3">
        <f>IFERROR(HLOOKUP(P$1,Data!$1:$149,ROW(Bilanço!$A73),0),"")</f>
        <v>0</v>
      </c>
      <c r="Q73" s="3">
        <f>IFERROR(HLOOKUP(Q$1,Data!$1:$149,ROW(Bilanço!$A73),0),"")</f>
        <v>0</v>
      </c>
      <c r="R73" s="3">
        <f>IFERROR(HLOOKUP(R$1,Data!$1:$149,ROW(Bilanço!$A73),0),"")</f>
        <v>0</v>
      </c>
      <c r="S73" s="3">
        <f>IFERROR(HLOOKUP(S$1,Data!$1:$149,ROW(Bilanço!$A73),0),"")</f>
        <v>0</v>
      </c>
      <c r="T73" s="3">
        <f>IFERROR(HLOOKUP(T$1,Data!$1:$149,ROW(Bilanço!$A73),0),"")</f>
        <v>0</v>
      </c>
      <c r="U73" s="3">
        <f>IFERROR(HLOOKUP(U$1,Data!$1:$149,ROW(Bilanço!$A73),0),"")</f>
        <v>0</v>
      </c>
      <c r="V73" s="3">
        <f>IFERROR(HLOOKUP(V$1,Data!$1:$149,ROW(Bilanço!$A73),0),"")</f>
        <v>0</v>
      </c>
      <c r="W73" s="3">
        <f>IFERROR(HLOOKUP(W$1,Data!$1:$149,ROW(Bilanço!$A73),0),"")</f>
        <v>0</v>
      </c>
      <c r="X73" s="3">
        <f>IFERROR(HLOOKUP(X$1,Data!$1:$149,ROW(Bilanço!$A73),0),"")</f>
        <v>0</v>
      </c>
    </row>
    <row r="74" spans="1:24" x14ac:dyDescent="0.25">
      <c r="A74" t="str">
        <f>Data!A74</f>
        <v>Satış Gelirleri</v>
      </c>
      <c r="B74" s="2">
        <f>IFERROR(HLOOKUP(B$1,Data!$1:$149,ROW(Bilanço!$A74),0),"")</f>
        <v>2376126000</v>
      </c>
      <c r="C74" s="2">
        <f>IFERROR(HLOOKUP(C$1,Data!$1:$149,ROW(Bilanço!$A74),0),"")</f>
        <v>4520767000</v>
      </c>
      <c r="D74" s="2">
        <f>IFERROR(HLOOKUP(D$1,Data!$1:$149,ROW(Bilanço!$A74),0),"")</f>
        <v>6976612000</v>
      </c>
      <c r="E74" s="2">
        <f>IFERROR(HLOOKUP(E$1,Data!$1:$149,ROW(Bilanço!$A74),0),"")</f>
        <v>9715630000</v>
      </c>
      <c r="F74" s="2">
        <f>IFERROR(HLOOKUP(F$1,Data!$1:$149,ROW(Bilanço!$A74),0),"")</f>
        <v>2783757000</v>
      </c>
      <c r="G74" s="2">
        <f>IFERROR(HLOOKUP(G$1,Data!$1:$149,ROW(Bilanço!$A74),0),"")</f>
        <v>5442824000</v>
      </c>
      <c r="H74" s="2">
        <f>IFERROR(HLOOKUP(H$1,Data!$1:$149,ROW(Bilanço!$A74),0),"")</f>
        <v>8418957000</v>
      </c>
      <c r="I74" s="2">
        <f>IFERROR(HLOOKUP(I$1,Data!$1:$149,ROW(Bilanço!$A74),0),"")</f>
        <v>12537080000</v>
      </c>
      <c r="J74" s="3">
        <f>IFERROR(HLOOKUP(J$1,Data!$1:$149,ROW(Bilanço!$A74),0),"")</f>
        <v>5886018000</v>
      </c>
      <c r="K74" s="3">
        <f>IFERROR(HLOOKUP(K$1,Data!$1:$149,ROW(Bilanço!$A74),0),"")</f>
        <v>11877060000</v>
      </c>
      <c r="L74" s="3">
        <f>IFERROR(HLOOKUP(L$1,Data!$1:$149,ROW(Bilanço!$A74),0),"")</f>
        <v>19178880000</v>
      </c>
      <c r="M74" s="3">
        <f>IFERROR(HLOOKUP(M$1,Data!$1:$149,ROW(Bilanço!$A74),0),"")</f>
        <v>51981208000</v>
      </c>
      <c r="N74" s="3">
        <f>IFERROR(HLOOKUP(N$1,Data!$1:$149,ROW(Bilanço!$A74),0),"")</f>
        <v>18804838000</v>
      </c>
      <c r="O74" s="3">
        <f>IFERROR(HLOOKUP(O$1,Data!$1:$149,ROW(Bilanço!$A74),0),"")</f>
        <v>38340257000</v>
      </c>
      <c r="P74" s="3">
        <f>IFERROR(HLOOKUP(P$1,Data!$1:$149,ROW(Bilanço!$A74),0),"")</f>
        <v>56149663000</v>
      </c>
      <c r="Q74" s="3">
        <f>IFERROR(HLOOKUP(Q$1,Data!$1:$149,ROW(Bilanço!$A74),0),"")</f>
        <v>80615534000</v>
      </c>
      <c r="R74" s="3">
        <f>IFERROR(HLOOKUP(R$1,Data!$1:$149,ROW(Bilanço!$A74),0),"")</f>
        <v>27069643000</v>
      </c>
      <c r="S74" s="3">
        <f>IFERROR(HLOOKUP(S$1,Data!$1:$149,ROW(Bilanço!$A74),0),"")</f>
        <v>49370684000</v>
      </c>
      <c r="T74" s="3">
        <f>IFERROR(HLOOKUP(T$1,Data!$1:$149,ROW(Bilanço!$A74),0),"")</f>
        <v>77330367000</v>
      </c>
      <c r="U74" s="3">
        <f>IFERROR(HLOOKUP(U$1,Data!$1:$149,ROW(Bilanço!$A74),0),"")</f>
        <v>105483659375</v>
      </c>
      <c r="V74" s="3">
        <f>IFERROR(HLOOKUP(V$1,Data!$1:$149,ROW(Bilanço!$A74),0),"")</f>
        <v>26962317000</v>
      </c>
      <c r="W74" s="3">
        <f>IFERROR(HLOOKUP(W$1,Data!$1:$149,ROW(Bilanço!$A74),0),"")</f>
        <v>51639553000</v>
      </c>
      <c r="X74" s="3">
        <f>IFERROR(HLOOKUP(X$1,Data!$1:$149,ROW(Bilanço!$A74),0),"")</f>
        <v>80925915000</v>
      </c>
    </row>
    <row r="75" spans="1:24" x14ac:dyDescent="0.25">
      <c r="A75" t="str">
        <f>Data!A75</f>
        <v>Satışların Maliyeti (-)</v>
      </c>
      <c r="B75" s="2">
        <f>IFERROR(HLOOKUP(B$1,Data!$1:$149,ROW(Bilanço!$A75),0),"")</f>
        <v>-1659845000</v>
      </c>
      <c r="C75" s="2">
        <f>IFERROR(HLOOKUP(C$1,Data!$1:$149,ROW(Bilanço!$A75),0),"")</f>
        <v>-3217351000</v>
      </c>
      <c r="D75" s="2">
        <f>IFERROR(HLOOKUP(D$1,Data!$1:$149,ROW(Bilanço!$A75),0),"")</f>
        <v>-4864280000</v>
      </c>
      <c r="E75" s="2">
        <f>IFERROR(HLOOKUP(E$1,Data!$1:$149,ROW(Bilanço!$A75),0),"")</f>
        <v>-6778372000</v>
      </c>
      <c r="F75" s="2">
        <f>IFERROR(HLOOKUP(F$1,Data!$1:$149,ROW(Bilanço!$A75),0),"")</f>
        <v>-1921419000</v>
      </c>
      <c r="G75" s="2">
        <f>IFERROR(HLOOKUP(G$1,Data!$1:$149,ROW(Bilanço!$A75),0),"")</f>
        <v>-3869128000</v>
      </c>
      <c r="H75" s="2">
        <f>IFERROR(HLOOKUP(H$1,Data!$1:$149,ROW(Bilanço!$A75),0),"")</f>
        <v>-6041077000</v>
      </c>
      <c r="I75" s="2">
        <f>IFERROR(HLOOKUP(I$1,Data!$1:$149,ROW(Bilanço!$A75),0),"")</f>
        <v>-8924665000</v>
      </c>
      <c r="J75" s="3">
        <f>IFERROR(HLOOKUP(J$1,Data!$1:$149,ROW(Bilanço!$A75),0),"")</f>
        <v>-4036928000</v>
      </c>
      <c r="K75" s="3">
        <f>IFERROR(HLOOKUP(K$1,Data!$1:$149,ROW(Bilanço!$A75),0),"")</f>
        <v>-8330260000</v>
      </c>
      <c r="L75" s="3">
        <f>IFERROR(HLOOKUP(L$1,Data!$1:$149,ROW(Bilanço!$A75),0),"")</f>
        <v>-13611178000</v>
      </c>
      <c r="M75" s="3">
        <f>IFERROR(HLOOKUP(M$1,Data!$1:$149,ROW(Bilanço!$A75),0),"")</f>
        <v>-40653018000</v>
      </c>
      <c r="N75" s="3">
        <f>IFERROR(HLOOKUP(N$1,Data!$1:$149,ROW(Bilanço!$A75),0),"")</f>
        <v>-13025103000</v>
      </c>
      <c r="O75" s="3">
        <f>IFERROR(HLOOKUP(O$1,Data!$1:$149,ROW(Bilanço!$A75),0),"")</f>
        <v>-27160097000</v>
      </c>
      <c r="P75" s="3">
        <f>IFERROR(HLOOKUP(P$1,Data!$1:$149,ROW(Bilanço!$A75),0),"")</f>
        <v>-39568789000</v>
      </c>
      <c r="Q75" s="3">
        <f>IFERROR(HLOOKUP(Q$1,Data!$1:$149,ROW(Bilanço!$A75),0),"")</f>
        <v>-57260016000</v>
      </c>
      <c r="R75" s="3">
        <f>IFERROR(HLOOKUP(R$1,Data!$1:$149,ROW(Bilanço!$A75),0),"")</f>
        <v>-18417380000</v>
      </c>
      <c r="S75" s="3">
        <f>IFERROR(HLOOKUP(S$1,Data!$1:$149,ROW(Bilanço!$A75),0),"")</f>
        <v>-33882146000</v>
      </c>
      <c r="T75" s="3">
        <f>IFERROR(HLOOKUP(T$1,Data!$1:$149,ROW(Bilanço!$A75),0),"")</f>
        <v>-54106872000</v>
      </c>
      <c r="U75" s="3">
        <f>IFERROR(HLOOKUP(U$1,Data!$1:$149,ROW(Bilanço!$A75),0),"")</f>
        <v>-74043027344</v>
      </c>
      <c r="V75" s="3">
        <f>IFERROR(HLOOKUP(V$1,Data!$1:$149,ROW(Bilanço!$A75),0),"")</f>
        <v>-17946855000</v>
      </c>
      <c r="W75" s="3">
        <f>IFERROR(HLOOKUP(W$1,Data!$1:$149,ROW(Bilanço!$A75),0),"")</f>
        <v>-35801158000</v>
      </c>
      <c r="X75" s="3">
        <f>IFERROR(HLOOKUP(X$1,Data!$1:$149,ROW(Bilanço!$A75),0),"")</f>
        <v>-56468934000</v>
      </c>
    </row>
    <row r="76" spans="1:24" x14ac:dyDescent="0.25">
      <c r="A76" t="str">
        <f>Data!A76</f>
        <v>Ticari Faaliyetlerden Diğer Kar (Zarar)</v>
      </c>
      <c r="B76" s="2">
        <f>IFERROR(HLOOKUP(B$1,Data!$1:$149,ROW(Bilanço!$A76),0),"")</f>
        <v>0</v>
      </c>
      <c r="C76" s="2">
        <f>IFERROR(HLOOKUP(C$1,Data!$1:$149,ROW(Bilanço!$A76),0),"")</f>
        <v>0</v>
      </c>
      <c r="D76" s="2">
        <f>IFERROR(HLOOKUP(D$1,Data!$1:$149,ROW(Bilanço!$A76),0),"")</f>
        <v>0</v>
      </c>
      <c r="E76" s="2">
        <f>IFERROR(HLOOKUP(E$1,Data!$1:$149,ROW(Bilanço!$A76),0),"")</f>
        <v>0</v>
      </c>
      <c r="F76" s="2">
        <f>IFERROR(HLOOKUP(F$1,Data!$1:$149,ROW(Bilanço!$A76),0),"")</f>
        <v>0</v>
      </c>
      <c r="G76" s="2">
        <f>IFERROR(HLOOKUP(G$1,Data!$1:$149,ROW(Bilanço!$A76),0),"")</f>
        <v>0</v>
      </c>
      <c r="H76" s="2">
        <f>IFERROR(HLOOKUP(H$1,Data!$1:$149,ROW(Bilanço!$A76),0),"")</f>
        <v>0</v>
      </c>
      <c r="I76" s="2">
        <f>IFERROR(HLOOKUP(I$1,Data!$1:$149,ROW(Bilanço!$A76),0),"")</f>
        <v>0</v>
      </c>
      <c r="J76" s="3">
        <f>IFERROR(HLOOKUP(J$1,Data!$1:$149,ROW(Bilanço!$A76),0),"")</f>
        <v>0</v>
      </c>
      <c r="K76" s="3">
        <f>IFERROR(HLOOKUP(K$1,Data!$1:$149,ROW(Bilanço!$A76),0),"")</f>
        <v>0</v>
      </c>
      <c r="L76" s="3">
        <f>IFERROR(HLOOKUP(L$1,Data!$1:$149,ROW(Bilanço!$A76),0),"")</f>
        <v>0</v>
      </c>
      <c r="M76" s="3">
        <f>IFERROR(HLOOKUP(M$1,Data!$1:$149,ROW(Bilanço!$A76),0),"")</f>
        <v>0</v>
      </c>
      <c r="N76" s="3">
        <f>IFERROR(HLOOKUP(N$1,Data!$1:$149,ROW(Bilanço!$A76),0),"")</f>
        <v>0</v>
      </c>
      <c r="O76" s="3">
        <f>IFERROR(HLOOKUP(O$1,Data!$1:$149,ROW(Bilanço!$A76),0),"")</f>
        <v>0</v>
      </c>
      <c r="P76" s="3">
        <f>IFERROR(HLOOKUP(P$1,Data!$1:$149,ROW(Bilanço!$A76),0),"")</f>
        <v>0</v>
      </c>
      <c r="Q76" s="3">
        <f>IFERROR(HLOOKUP(Q$1,Data!$1:$149,ROW(Bilanço!$A76),0),"")</f>
        <v>0</v>
      </c>
      <c r="R76" s="3">
        <f>IFERROR(HLOOKUP(R$1,Data!$1:$149,ROW(Bilanço!$A76),0),"")</f>
        <v>0</v>
      </c>
      <c r="S76" s="3">
        <f>IFERROR(HLOOKUP(S$1,Data!$1:$149,ROW(Bilanço!$A76),0),"")</f>
        <v>0</v>
      </c>
      <c r="T76" s="3">
        <f>IFERROR(HLOOKUP(T$1,Data!$1:$149,ROW(Bilanço!$A76),0),"")</f>
        <v>0</v>
      </c>
      <c r="U76" s="3">
        <f>IFERROR(HLOOKUP(U$1,Data!$1:$149,ROW(Bilanço!$A76),0),"")</f>
        <v>0</v>
      </c>
      <c r="V76" s="3">
        <f>IFERROR(HLOOKUP(V$1,Data!$1:$149,ROW(Bilanço!$A76),0),"")</f>
        <v>0</v>
      </c>
      <c r="W76" s="3">
        <f>IFERROR(HLOOKUP(W$1,Data!$1:$149,ROW(Bilanço!$A76),0),"")</f>
        <v>0</v>
      </c>
      <c r="X76" s="3">
        <f>IFERROR(HLOOKUP(X$1,Data!$1:$149,ROW(Bilanço!$A76),0),"")</f>
        <v>0</v>
      </c>
    </row>
    <row r="77" spans="1:24" x14ac:dyDescent="0.25">
      <c r="A77" t="str">
        <f>Data!A77</f>
        <v>Ticari Faaliyetlerden Brüt Kar (Zarar)</v>
      </c>
      <c r="B77" s="2">
        <f>IFERROR(HLOOKUP(B$1,Data!$1:$149,ROW(Bilanço!$A77),0),"")</f>
        <v>716281000</v>
      </c>
      <c r="C77" s="2">
        <f>IFERROR(HLOOKUP(C$1,Data!$1:$149,ROW(Bilanço!$A77),0),"")</f>
        <v>1303416000</v>
      </c>
      <c r="D77" s="2">
        <f>IFERROR(HLOOKUP(D$1,Data!$1:$149,ROW(Bilanço!$A77),0),"")</f>
        <v>2112332000</v>
      </c>
      <c r="E77" s="2">
        <f>IFERROR(HLOOKUP(E$1,Data!$1:$149,ROW(Bilanço!$A77),0),"")</f>
        <v>2937258000</v>
      </c>
      <c r="F77" s="2">
        <f>IFERROR(HLOOKUP(F$1,Data!$1:$149,ROW(Bilanço!$A77),0),"")</f>
        <v>862338000</v>
      </c>
      <c r="G77" s="2">
        <f>IFERROR(HLOOKUP(G$1,Data!$1:$149,ROW(Bilanço!$A77),0),"")</f>
        <v>1573696000</v>
      </c>
      <c r="H77" s="2">
        <f>IFERROR(HLOOKUP(H$1,Data!$1:$149,ROW(Bilanço!$A77),0),"")</f>
        <v>2377880000</v>
      </c>
      <c r="I77" s="2">
        <f>IFERROR(HLOOKUP(I$1,Data!$1:$149,ROW(Bilanço!$A77),0),"")</f>
        <v>3612415000</v>
      </c>
      <c r="J77" s="3">
        <f>IFERROR(HLOOKUP(J$1,Data!$1:$149,ROW(Bilanço!$A77),0),"")</f>
        <v>1849090000</v>
      </c>
      <c r="K77" s="3">
        <f>IFERROR(HLOOKUP(K$1,Data!$1:$149,ROW(Bilanço!$A77),0),"")</f>
        <v>3546800000</v>
      </c>
      <c r="L77" s="3">
        <f>IFERROR(HLOOKUP(L$1,Data!$1:$149,ROW(Bilanço!$A77),0),"")</f>
        <v>5567702000</v>
      </c>
      <c r="M77" s="3">
        <f>IFERROR(HLOOKUP(M$1,Data!$1:$149,ROW(Bilanço!$A77),0),"")</f>
        <v>11328190000</v>
      </c>
      <c r="N77" s="3">
        <f>IFERROR(HLOOKUP(N$1,Data!$1:$149,ROW(Bilanço!$A77),0),"")</f>
        <v>5779735000</v>
      </c>
      <c r="O77" s="3">
        <f>IFERROR(HLOOKUP(O$1,Data!$1:$149,ROW(Bilanço!$A77),0),"")</f>
        <v>11180160000</v>
      </c>
      <c r="P77" s="3">
        <f>IFERROR(HLOOKUP(P$1,Data!$1:$149,ROW(Bilanço!$A77),0),"")</f>
        <v>16580874000</v>
      </c>
      <c r="Q77" s="3">
        <f>IFERROR(HLOOKUP(Q$1,Data!$1:$149,ROW(Bilanço!$A77),0),"")</f>
        <v>23355518000</v>
      </c>
      <c r="R77" s="3">
        <f>IFERROR(HLOOKUP(R$1,Data!$1:$149,ROW(Bilanço!$A77),0),"")</f>
        <v>8652263000</v>
      </c>
      <c r="S77" s="3">
        <f>IFERROR(HLOOKUP(S$1,Data!$1:$149,ROW(Bilanço!$A77),0),"")</f>
        <v>15488538000</v>
      </c>
      <c r="T77" s="3">
        <f>IFERROR(HLOOKUP(T$1,Data!$1:$149,ROW(Bilanço!$A77),0),"")</f>
        <v>23223495000</v>
      </c>
      <c r="U77" s="3">
        <f>IFERROR(HLOOKUP(U$1,Data!$1:$149,ROW(Bilanço!$A77),0),"")</f>
        <v>31440632031</v>
      </c>
      <c r="V77" s="3">
        <f>IFERROR(HLOOKUP(V$1,Data!$1:$149,ROW(Bilanço!$A77),0),"")</f>
        <v>9015462000</v>
      </c>
      <c r="W77" s="3">
        <f>IFERROR(HLOOKUP(W$1,Data!$1:$149,ROW(Bilanço!$A77),0),"")</f>
        <v>15838395000</v>
      </c>
      <c r="X77" s="3">
        <f>IFERROR(HLOOKUP(X$1,Data!$1:$149,ROW(Bilanço!$A77),0),"")</f>
        <v>24456981000</v>
      </c>
    </row>
    <row r="78" spans="1:24" x14ac:dyDescent="0.25">
      <c r="A78" t="str">
        <f>Data!A78</f>
        <v>Faiz, Ücret, Prim, Komisyon ve Diğer Gelirler</v>
      </c>
      <c r="B78" s="2">
        <f>IFERROR(HLOOKUP(B$1,Data!$1:$149,ROW(Bilanço!$A78),0),"")</f>
        <v>0</v>
      </c>
      <c r="C78" s="2">
        <f>IFERROR(HLOOKUP(C$1,Data!$1:$149,ROW(Bilanço!$A78),0),"")</f>
        <v>0</v>
      </c>
      <c r="D78" s="2">
        <f>IFERROR(HLOOKUP(D$1,Data!$1:$149,ROW(Bilanço!$A78),0),"")</f>
        <v>0</v>
      </c>
      <c r="E78" s="2">
        <f>IFERROR(HLOOKUP(E$1,Data!$1:$149,ROW(Bilanço!$A78),0),"")</f>
        <v>0</v>
      </c>
      <c r="F78" s="2">
        <f>IFERROR(HLOOKUP(F$1,Data!$1:$149,ROW(Bilanço!$A78),0),"")</f>
        <v>0</v>
      </c>
      <c r="G78" s="2">
        <f>IFERROR(HLOOKUP(G$1,Data!$1:$149,ROW(Bilanço!$A78),0),"")</f>
        <v>0</v>
      </c>
      <c r="H78" s="2">
        <f>IFERROR(HLOOKUP(H$1,Data!$1:$149,ROW(Bilanço!$A78),0),"")</f>
        <v>0</v>
      </c>
      <c r="I78" s="2">
        <f>IFERROR(HLOOKUP(I$1,Data!$1:$149,ROW(Bilanço!$A78),0),"")</f>
        <v>0</v>
      </c>
      <c r="J78" s="3">
        <f>IFERROR(HLOOKUP(J$1,Data!$1:$149,ROW(Bilanço!$A78),0),"")</f>
        <v>0</v>
      </c>
      <c r="K78" s="3">
        <f>IFERROR(HLOOKUP(K$1,Data!$1:$149,ROW(Bilanço!$A78),0),"")</f>
        <v>0</v>
      </c>
      <c r="L78" s="3">
        <f>IFERROR(HLOOKUP(L$1,Data!$1:$149,ROW(Bilanço!$A78),0),"")</f>
        <v>0</v>
      </c>
      <c r="M78" s="3">
        <f>IFERROR(HLOOKUP(M$1,Data!$1:$149,ROW(Bilanço!$A78),0),"")</f>
        <v>0</v>
      </c>
      <c r="N78" s="3">
        <f>IFERROR(HLOOKUP(N$1,Data!$1:$149,ROW(Bilanço!$A78),0),"")</f>
        <v>0</v>
      </c>
      <c r="O78" s="3">
        <f>IFERROR(HLOOKUP(O$1,Data!$1:$149,ROW(Bilanço!$A78),0),"")</f>
        <v>0</v>
      </c>
      <c r="P78" s="3">
        <f>IFERROR(HLOOKUP(P$1,Data!$1:$149,ROW(Bilanço!$A78),0),"")</f>
        <v>0</v>
      </c>
      <c r="Q78" s="3">
        <f>IFERROR(HLOOKUP(Q$1,Data!$1:$149,ROW(Bilanço!$A78),0),"")</f>
        <v>0</v>
      </c>
      <c r="R78" s="3">
        <f>IFERROR(HLOOKUP(R$1,Data!$1:$149,ROW(Bilanço!$A78),0),"")</f>
        <v>0</v>
      </c>
      <c r="S78" s="3">
        <f>IFERROR(HLOOKUP(S$1,Data!$1:$149,ROW(Bilanço!$A78),0),"")</f>
        <v>0</v>
      </c>
      <c r="T78" s="3">
        <f>IFERROR(HLOOKUP(T$1,Data!$1:$149,ROW(Bilanço!$A78),0),"")</f>
        <v>0</v>
      </c>
      <c r="U78" s="3">
        <f>IFERROR(HLOOKUP(U$1,Data!$1:$149,ROW(Bilanço!$A78),0),"")</f>
        <v>0</v>
      </c>
      <c r="V78" s="3">
        <f>IFERROR(HLOOKUP(V$1,Data!$1:$149,ROW(Bilanço!$A78),0),"")</f>
        <v>0</v>
      </c>
      <c r="W78" s="3">
        <f>IFERROR(HLOOKUP(W$1,Data!$1:$149,ROW(Bilanço!$A78),0),"")</f>
        <v>0</v>
      </c>
      <c r="X78" s="3">
        <f>IFERROR(HLOOKUP(X$1,Data!$1:$149,ROW(Bilanço!$A78),0),"")</f>
        <v>0</v>
      </c>
    </row>
    <row r="79" spans="1:24" x14ac:dyDescent="0.25">
      <c r="A79" t="str">
        <f>Data!A79</f>
        <v>Faiz, Ücret, Prim, Komisyon ve Diğer Giderler (-)</v>
      </c>
      <c r="B79" s="2">
        <f>IFERROR(HLOOKUP(B$1,Data!$1:$149,ROW(Bilanço!$A79),0),"")</f>
        <v>0</v>
      </c>
      <c r="C79" s="2">
        <f>IFERROR(HLOOKUP(C$1,Data!$1:$149,ROW(Bilanço!$A79),0),"")</f>
        <v>0</v>
      </c>
      <c r="D79" s="2">
        <f>IFERROR(HLOOKUP(D$1,Data!$1:$149,ROW(Bilanço!$A79),0),"")</f>
        <v>0</v>
      </c>
      <c r="E79" s="2">
        <f>IFERROR(HLOOKUP(E$1,Data!$1:$149,ROW(Bilanço!$A79),0),"")</f>
        <v>0</v>
      </c>
      <c r="F79" s="2">
        <f>IFERROR(HLOOKUP(F$1,Data!$1:$149,ROW(Bilanço!$A79),0),"")</f>
        <v>0</v>
      </c>
      <c r="G79" s="2">
        <f>IFERROR(HLOOKUP(G$1,Data!$1:$149,ROW(Bilanço!$A79),0),"")</f>
        <v>0</v>
      </c>
      <c r="H79" s="2">
        <f>IFERROR(HLOOKUP(H$1,Data!$1:$149,ROW(Bilanço!$A79),0),"")</f>
        <v>0</v>
      </c>
      <c r="I79" s="2">
        <f>IFERROR(HLOOKUP(I$1,Data!$1:$149,ROW(Bilanço!$A79),0),"")</f>
        <v>0</v>
      </c>
      <c r="J79" s="3">
        <f>IFERROR(HLOOKUP(J$1,Data!$1:$149,ROW(Bilanço!$A79),0),"")</f>
        <v>0</v>
      </c>
      <c r="K79" s="3">
        <f>IFERROR(HLOOKUP(K$1,Data!$1:$149,ROW(Bilanço!$A79),0),"")</f>
        <v>0</v>
      </c>
      <c r="L79" s="3">
        <f>IFERROR(HLOOKUP(L$1,Data!$1:$149,ROW(Bilanço!$A79),0),"")</f>
        <v>0</v>
      </c>
      <c r="M79" s="3">
        <f>IFERROR(HLOOKUP(M$1,Data!$1:$149,ROW(Bilanço!$A79),0),"")</f>
        <v>0</v>
      </c>
      <c r="N79" s="3">
        <f>IFERROR(HLOOKUP(N$1,Data!$1:$149,ROW(Bilanço!$A79),0),"")</f>
        <v>0</v>
      </c>
      <c r="O79" s="3">
        <f>IFERROR(HLOOKUP(O$1,Data!$1:$149,ROW(Bilanço!$A79),0),"")</f>
        <v>0</v>
      </c>
      <c r="P79" s="3">
        <f>IFERROR(HLOOKUP(P$1,Data!$1:$149,ROW(Bilanço!$A79),0),"")</f>
        <v>0</v>
      </c>
      <c r="Q79" s="3">
        <f>IFERROR(HLOOKUP(Q$1,Data!$1:$149,ROW(Bilanço!$A79),0),"")</f>
        <v>0</v>
      </c>
      <c r="R79" s="3">
        <f>IFERROR(HLOOKUP(R$1,Data!$1:$149,ROW(Bilanço!$A79),0),"")</f>
        <v>0</v>
      </c>
      <c r="S79" s="3">
        <f>IFERROR(HLOOKUP(S$1,Data!$1:$149,ROW(Bilanço!$A79),0),"")</f>
        <v>0</v>
      </c>
      <c r="T79" s="3">
        <f>IFERROR(HLOOKUP(T$1,Data!$1:$149,ROW(Bilanço!$A79),0),"")</f>
        <v>0</v>
      </c>
      <c r="U79" s="3">
        <f>IFERROR(HLOOKUP(U$1,Data!$1:$149,ROW(Bilanço!$A79),0),"")</f>
        <v>0</v>
      </c>
      <c r="V79" s="3">
        <f>IFERROR(HLOOKUP(V$1,Data!$1:$149,ROW(Bilanço!$A79),0),"")</f>
        <v>0</v>
      </c>
      <c r="W79" s="3">
        <f>IFERROR(HLOOKUP(W$1,Data!$1:$149,ROW(Bilanço!$A79),0),"")</f>
        <v>0</v>
      </c>
      <c r="X79" s="3">
        <f>IFERROR(HLOOKUP(X$1,Data!$1:$149,ROW(Bilanço!$A79),0),"")</f>
        <v>0</v>
      </c>
    </row>
    <row r="80" spans="1:24" x14ac:dyDescent="0.25">
      <c r="A80" t="str">
        <f>Data!A80</f>
        <v>Finans Sektörü Faaliyetlerinden Diğer Kar (Zarar)</v>
      </c>
      <c r="B80" s="2">
        <f>IFERROR(HLOOKUP(B$1,Data!$1:$149,ROW(Bilanço!$A80),0),"")</f>
        <v>0</v>
      </c>
      <c r="C80" s="2">
        <f>IFERROR(HLOOKUP(C$1,Data!$1:$149,ROW(Bilanço!$A80),0),"")</f>
        <v>0</v>
      </c>
      <c r="D80" s="2">
        <f>IFERROR(HLOOKUP(D$1,Data!$1:$149,ROW(Bilanço!$A80),0),"")</f>
        <v>0</v>
      </c>
      <c r="E80" s="2">
        <f>IFERROR(HLOOKUP(E$1,Data!$1:$149,ROW(Bilanço!$A80),0),"")</f>
        <v>0</v>
      </c>
      <c r="F80" s="2">
        <f>IFERROR(HLOOKUP(F$1,Data!$1:$149,ROW(Bilanço!$A80),0),"")</f>
        <v>0</v>
      </c>
      <c r="G80" s="2">
        <f>IFERROR(HLOOKUP(G$1,Data!$1:$149,ROW(Bilanço!$A80),0),"")</f>
        <v>0</v>
      </c>
      <c r="H80" s="2">
        <f>IFERROR(HLOOKUP(H$1,Data!$1:$149,ROW(Bilanço!$A80),0),"")</f>
        <v>0</v>
      </c>
      <c r="I80" s="2">
        <f>IFERROR(HLOOKUP(I$1,Data!$1:$149,ROW(Bilanço!$A80),0),"")</f>
        <v>0</v>
      </c>
      <c r="J80" s="3">
        <f>IFERROR(HLOOKUP(J$1,Data!$1:$149,ROW(Bilanço!$A80),0),"")</f>
        <v>0</v>
      </c>
      <c r="K80" s="3">
        <f>IFERROR(HLOOKUP(K$1,Data!$1:$149,ROW(Bilanço!$A80),0),"")</f>
        <v>0</v>
      </c>
      <c r="L80" s="3">
        <f>IFERROR(HLOOKUP(L$1,Data!$1:$149,ROW(Bilanço!$A80),0),"")</f>
        <v>0</v>
      </c>
      <c r="M80" s="3">
        <f>IFERROR(HLOOKUP(M$1,Data!$1:$149,ROW(Bilanço!$A80),0),"")</f>
        <v>0</v>
      </c>
      <c r="N80" s="3">
        <f>IFERROR(HLOOKUP(N$1,Data!$1:$149,ROW(Bilanço!$A80),0),"")</f>
        <v>0</v>
      </c>
      <c r="O80" s="3">
        <f>IFERROR(HLOOKUP(O$1,Data!$1:$149,ROW(Bilanço!$A80),0),"")</f>
        <v>0</v>
      </c>
      <c r="P80" s="3">
        <f>IFERROR(HLOOKUP(P$1,Data!$1:$149,ROW(Bilanço!$A80),0),"")</f>
        <v>0</v>
      </c>
      <c r="Q80" s="3">
        <f>IFERROR(HLOOKUP(Q$1,Data!$1:$149,ROW(Bilanço!$A80),0),"")</f>
        <v>0</v>
      </c>
      <c r="R80" s="3">
        <f>IFERROR(HLOOKUP(R$1,Data!$1:$149,ROW(Bilanço!$A80),0),"")</f>
        <v>0</v>
      </c>
      <c r="S80" s="3">
        <f>IFERROR(HLOOKUP(S$1,Data!$1:$149,ROW(Bilanço!$A80),0),"")</f>
        <v>0</v>
      </c>
      <c r="T80" s="3">
        <f>IFERROR(HLOOKUP(T$1,Data!$1:$149,ROW(Bilanço!$A80),0),"")</f>
        <v>0</v>
      </c>
      <c r="U80" s="3">
        <f>IFERROR(HLOOKUP(U$1,Data!$1:$149,ROW(Bilanço!$A80),0),"")</f>
        <v>0</v>
      </c>
      <c r="V80" s="3">
        <f>IFERROR(HLOOKUP(V$1,Data!$1:$149,ROW(Bilanço!$A80),0),"")</f>
        <v>0</v>
      </c>
      <c r="W80" s="3">
        <f>IFERROR(HLOOKUP(W$1,Data!$1:$149,ROW(Bilanço!$A80),0),"")</f>
        <v>0</v>
      </c>
      <c r="X80" s="3">
        <f>IFERROR(HLOOKUP(X$1,Data!$1:$149,ROW(Bilanço!$A80),0),"")</f>
        <v>0</v>
      </c>
    </row>
    <row r="81" spans="1:24" x14ac:dyDescent="0.25">
      <c r="A81" t="str">
        <f>Data!A81</f>
        <v>Finans Sektörü Faaliyetlerinden Brüt Kar (Zarar)</v>
      </c>
      <c r="B81" s="2">
        <f>IFERROR(HLOOKUP(B$1,Data!$1:$149,ROW(Bilanço!$A81),0),"")</f>
        <v>0</v>
      </c>
      <c r="C81" s="2">
        <f>IFERROR(HLOOKUP(C$1,Data!$1:$149,ROW(Bilanço!$A81),0),"")</f>
        <v>0</v>
      </c>
      <c r="D81" s="2">
        <f>IFERROR(HLOOKUP(D$1,Data!$1:$149,ROW(Bilanço!$A81),0),"")</f>
        <v>0</v>
      </c>
      <c r="E81" s="2">
        <f>IFERROR(HLOOKUP(E$1,Data!$1:$149,ROW(Bilanço!$A81),0),"")</f>
        <v>0</v>
      </c>
      <c r="F81" s="2">
        <f>IFERROR(HLOOKUP(F$1,Data!$1:$149,ROW(Bilanço!$A81),0),"")</f>
        <v>0</v>
      </c>
      <c r="G81" s="2">
        <f>IFERROR(HLOOKUP(G$1,Data!$1:$149,ROW(Bilanço!$A81),0),"")</f>
        <v>0</v>
      </c>
      <c r="H81" s="2">
        <f>IFERROR(HLOOKUP(H$1,Data!$1:$149,ROW(Bilanço!$A81),0),"")</f>
        <v>0</v>
      </c>
      <c r="I81" s="2">
        <f>IFERROR(HLOOKUP(I$1,Data!$1:$149,ROW(Bilanço!$A81),0),"")</f>
        <v>0</v>
      </c>
      <c r="J81" s="3">
        <f>IFERROR(HLOOKUP(J$1,Data!$1:$149,ROW(Bilanço!$A81),0),"")</f>
        <v>0</v>
      </c>
      <c r="K81" s="3">
        <f>IFERROR(HLOOKUP(K$1,Data!$1:$149,ROW(Bilanço!$A81),0),"")</f>
        <v>0</v>
      </c>
      <c r="L81" s="3">
        <f>IFERROR(HLOOKUP(L$1,Data!$1:$149,ROW(Bilanço!$A81),0),"")</f>
        <v>0</v>
      </c>
      <c r="M81" s="3">
        <f>IFERROR(HLOOKUP(M$1,Data!$1:$149,ROW(Bilanço!$A81),0),"")</f>
        <v>0</v>
      </c>
      <c r="N81" s="3">
        <f>IFERROR(HLOOKUP(N$1,Data!$1:$149,ROW(Bilanço!$A81),0),"")</f>
        <v>0</v>
      </c>
      <c r="O81" s="3">
        <f>IFERROR(HLOOKUP(O$1,Data!$1:$149,ROW(Bilanço!$A81),0),"")</f>
        <v>0</v>
      </c>
      <c r="P81" s="3">
        <f>IFERROR(HLOOKUP(P$1,Data!$1:$149,ROW(Bilanço!$A81),0),"")</f>
        <v>0</v>
      </c>
      <c r="Q81" s="3">
        <f>IFERROR(HLOOKUP(Q$1,Data!$1:$149,ROW(Bilanço!$A81),0),"")</f>
        <v>0</v>
      </c>
      <c r="R81" s="3">
        <f>IFERROR(HLOOKUP(R$1,Data!$1:$149,ROW(Bilanço!$A81),0),"")</f>
        <v>0</v>
      </c>
      <c r="S81" s="3">
        <f>IFERROR(HLOOKUP(S$1,Data!$1:$149,ROW(Bilanço!$A81),0),"")</f>
        <v>0</v>
      </c>
      <c r="T81" s="3">
        <f>IFERROR(HLOOKUP(T$1,Data!$1:$149,ROW(Bilanço!$A81),0),"")</f>
        <v>0</v>
      </c>
      <c r="U81" s="3">
        <f>IFERROR(HLOOKUP(U$1,Data!$1:$149,ROW(Bilanço!$A81),0),"")</f>
        <v>0</v>
      </c>
      <c r="V81" s="3">
        <f>IFERROR(HLOOKUP(V$1,Data!$1:$149,ROW(Bilanço!$A81),0),"")</f>
        <v>0</v>
      </c>
      <c r="W81" s="3">
        <f>IFERROR(HLOOKUP(W$1,Data!$1:$149,ROW(Bilanço!$A81),0),"")</f>
        <v>0</v>
      </c>
      <c r="X81" s="3">
        <f>IFERROR(HLOOKUP(X$1,Data!$1:$149,ROW(Bilanço!$A81),0),"")</f>
        <v>0</v>
      </c>
    </row>
    <row r="82" spans="1:24" x14ac:dyDescent="0.25">
      <c r="A82" t="str">
        <f>Data!A82</f>
        <v>Diğer Gelir ve Giderler</v>
      </c>
      <c r="B82" s="2">
        <f>IFERROR(HLOOKUP(B$1,Data!$1:$149,ROW(Bilanço!$A82),0),"")</f>
        <v>0</v>
      </c>
      <c r="C82" s="2">
        <f>IFERROR(HLOOKUP(C$1,Data!$1:$149,ROW(Bilanço!$A82),0),"")</f>
        <v>0</v>
      </c>
      <c r="D82" s="2">
        <f>IFERROR(HLOOKUP(D$1,Data!$1:$149,ROW(Bilanço!$A82),0),"")</f>
        <v>0</v>
      </c>
      <c r="E82" s="2">
        <f>IFERROR(HLOOKUP(E$1,Data!$1:$149,ROW(Bilanço!$A82),0),"")</f>
        <v>0</v>
      </c>
      <c r="F82" s="2">
        <f>IFERROR(HLOOKUP(F$1,Data!$1:$149,ROW(Bilanço!$A82),0),"")</f>
        <v>0</v>
      </c>
      <c r="G82" s="2">
        <f>IFERROR(HLOOKUP(G$1,Data!$1:$149,ROW(Bilanço!$A82),0),"")</f>
        <v>0</v>
      </c>
      <c r="H82" s="2">
        <f>IFERROR(HLOOKUP(H$1,Data!$1:$149,ROW(Bilanço!$A82),0),"")</f>
        <v>0</v>
      </c>
      <c r="I82" s="2">
        <f>IFERROR(HLOOKUP(I$1,Data!$1:$149,ROW(Bilanço!$A82),0),"")</f>
        <v>0</v>
      </c>
      <c r="J82" s="3">
        <f>IFERROR(HLOOKUP(J$1,Data!$1:$149,ROW(Bilanço!$A82),0),"")</f>
        <v>0</v>
      </c>
      <c r="K82" s="3">
        <f>IFERROR(HLOOKUP(K$1,Data!$1:$149,ROW(Bilanço!$A82),0),"")</f>
        <v>0</v>
      </c>
      <c r="L82" s="3">
        <f>IFERROR(HLOOKUP(L$1,Data!$1:$149,ROW(Bilanço!$A82),0),"")</f>
        <v>0</v>
      </c>
      <c r="M82" s="3">
        <f>IFERROR(HLOOKUP(M$1,Data!$1:$149,ROW(Bilanço!$A82),0),"")</f>
        <v>0</v>
      </c>
      <c r="N82" s="3">
        <f>IFERROR(HLOOKUP(N$1,Data!$1:$149,ROW(Bilanço!$A82),0),"")</f>
        <v>0</v>
      </c>
      <c r="O82" s="3">
        <f>IFERROR(HLOOKUP(O$1,Data!$1:$149,ROW(Bilanço!$A82),0),"")</f>
        <v>0</v>
      </c>
      <c r="P82" s="3">
        <f>IFERROR(HLOOKUP(P$1,Data!$1:$149,ROW(Bilanço!$A82),0),"")</f>
        <v>0</v>
      </c>
      <c r="Q82" s="3">
        <f>IFERROR(HLOOKUP(Q$1,Data!$1:$149,ROW(Bilanço!$A82),0),"")</f>
        <v>0</v>
      </c>
      <c r="R82" s="3">
        <f>IFERROR(HLOOKUP(R$1,Data!$1:$149,ROW(Bilanço!$A82),0),"")</f>
        <v>0</v>
      </c>
      <c r="S82" s="3">
        <f>IFERROR(HLOOKUP(S$1,Data!$1:$149,ROW(Bilanço!$A82),0),"")</f>
        <v>0</v>
      </c>
      <c r="T82" s="3">
        <f>IFERROR(HLOOKUP(T$1,Data!$1:$149,ROW(Bilanço!$A82),0),"")</f>
        <v>0</v>
      </c>
      <c r="U82" s="3">
        <f>IFERROR(HLOOKUP(U$1,Data!$1:$149,ROW(Bilanço!$A82),0),"")</f>
        <v>0</v>
      </c>
      <c r="V82" s="3">
        <f>IFERROR(HLOOKUP(V$1,Data!$1:$149,ROW(Bilanço!$A82),0),"")</f>
        <v>0</v>
      </c>
      <c r="W82" s="3">
        <f>IFERROR(HLOOKUP(W$1,Data!$1:$149,ROW(Bilanço!$A82),0),"")</f>
        <v>0</v>
      </c>
      <c r="X82" s="3">
        <f>IFERROR(HLOOKUP(X$1,Data!$1:$149,ROW(Bilanço!$A82),0),"")</f>
        <v>0</v>
      </c>
    </row>
    <row r="83" spans="1:24" x14ac:dyDescent="0.25">
      <c r="A83" t="str">
        <f>Data!A83</f>
        <v>BRÜT KAR (ZARAR)</v>
      </c>
      <c r="B83" s="2">
        <f>IFERROR(HLOOKUP(B$1,Data!$1:$149,ROW(Bilanço!$A83),0),"")</f>
        <v>716281000</v>
      </c>
      <c r="C83" s="2">
        <f>IFERROR(HLOOKUP(C$1,Data!$1:$149,ROW(Bilanço!$A83),0),"")</f>
        <v>1303416000</v>
      </c>
      <c r="D83" s="2">
        <f>IFERROR(HLOOKUP(D$1,Data!$1:$149,ROW(Bilanço!$A83),0),"")</f>
        <v>2112332000</v>
      </c>
      <c r="E83" s="2">
        <f>IFERROR(HLOOKUP(E$1,Data!$1:$149,ROW(Bilanço!$A83),0),"")</f>
        <v>2937258000</v>
      </c>
      <c r="F83" s="2">
        <f>IFERROR(HLOOKUP(F$1,Data!$1:$149,ROW(Bilanço!$A83),0),"")</f>
        <v>862338000</v>
      </c>
      <c r="G83" s="2">
        <f>IFERROR(HLOOKUP(G$1,Data!$1:$149,ROW(Bilanço!$A83),0),"")</f>
        <v>1573696000</v>
      </c>
      <c r="H83" s="2">
        <f>IFERROR(HLOOKUP(H$1,Data!$1:$149,ROW(Bilanço!$A83),0),"")</f>
        <v>2377880000</v>
      </c>
      <c r="I83" s="2">
        <f>IFERROR(HLOOKUP(I$1,Data!$1:$149,ROW(Bilanço!$A83),0),"")</f>
        <v>3612415000</v>
      </c>
      <c r="J83" s="3">
        <f>IFERROR(HLOOKUP(J$1,Data!$1:$149,ROW(Bilanço!$A83),0),"")</f>
        <v>1849090000</v>
      </c>
      <c r="K83" s="3">
        <f>IFERROR(HLOOKUP(K$1,Data!$1:$149,ROW(Bilanço!$A83),0),"")</f>
        <v>3546800000</v>
      </c>
      <c r="L83" s="3">
        <f>IFERROR(HLOOKUP(L$1,Data!$1:$149,ROW(Bilanço!$A83),0),"")</f>
        <v>5567702000</v>
      </c>
      <c r="M83" s="3">
        <f>IFERROR(HLOOKUP(M$1,Data!$1:$149,ROW(Bilanço!$A83),0),"")</f>
        <v>11328190000</v>
      </c>
      <c r="N83" s="3">
        <f>IFERROR(HLOOKUP(N$1,Data!$1:$149,ROW(Bilanço!$A83),0),"")</f>
        <v>5779735000</v>
      </c>
      <c r="O83" s="3">
        <f>IFERROR(HLOOKUP(O$1,Data!$1:$149,ROW(Bilanço!$A83),0),"")</f>
        <v>11180160000</v>
      </c>
      <c r="P83" s="3">
        <f>IFERROR(HLOOKUP(P$1,Data!$1:$149,ROW(Bilanço!$A83),0),"")</f>
        <v>16580874000</v>
      </c>
      <c r="Q83" s="3">
        <f>IFERROR(HLOOKUP(Q$1,Data!$1:$149,ROW(Bilanço!$A83),0),"")</f>
        <v>23355518000</v>
      </c>
      <c r="R83" s="3">
        <f>IFERROR(HLOOKUP(R$1,Data!$1:$149,ROW(Bilanço!$A83),0),"")</f>
        <v>8652263000</v>
      </c>
      <c r="S83" s="3">
        <f>IFERROR(HLOOKUP(S$1,Data!$1:$149,ROW(Bilanço!$A83),0),"")</f>
        <v>15488538000</v>
      </c>
      <c r="T83" s="3">
        <f>IFERROR(HLOOKUP(T$1,Data!$1:$149,ROW(Bilanço!$A83),0),"")</f>
        <v>23223495000</v>
      </c>
      <c r="U83" s="3">
        <f>IFERROR(HLOOKUP(U$1,Data!$1:$149,ROW(Bilanço!$A83),0),"")</f>
        <v>31440632031</v>
      </c>
      <c r="V83" s="3">
        <f>IFERROR(HLOOKUP(V$1,Data!$1:$149,ROW(Bilanço!$A83),0),"")</f>
        <v>9015462000</v>
      </c>
      <c r="W83" s="3">
        <f>IFERROR(HLOOKUP(W$1,Data!$1:$149,ROW(Bilanço!$A83),0),"")</f>
        <v>15838395000</v>
      </c>
      <c r="X83" s="3">
        <f>IFERROR(HLOOKUP(X$1,Data!$1:$149,ROW(Bilanço!$A83),0),"")</f>
        <v>24456981000</v>
      </c>
    </row>
    <row r="84" spans="1:24" x14ac:dyDescent="0.25">
      <c r="A84" t="str">
        <f>Data!A84</f>
        <v>Pazarlama, Satış ve Dağıtım Giderleri (-)</v>
      </c>
      <c r="B84" s="2">
        <f>IFERROR(HLOOKUP(B$1,Data!$1:$149,ROW(Bilanço!$A84),0),"")</f>
        <v>-275631000</v>
      </c>
      <c r="C84" s="2">
        <f>IFERROR(HLOOKUP(C$1,Data!$1:$149,ROW(Bilanço!$A84),0),"")</f>
        <v>-459455000</v>
      </c>
      <c r="D84" s="2">
        <f>IFERROR(HLOOKUP(D$1,Data!$1:$149,ROW(Bilanço!$A84),0),"")</f>
        <v>-671055000</v>
      </c>
      <c r="E84" s="2">
        <f>IFERROR(HLOOKUP(E$1,Data!$1:$149,ROW(Bilanço!$A84),0),"")</f>
        <v>-923064000</v>
      </c>
      <c r="F84" s="2">
        <f>IFERROR(HLOOKUP(F$1,Data!$1:$149,ROW(Bilanço!$A84),0),"")</f>
        <v>-281943000</v>
      </c>
      <c r="G84" s="2">
        <f>IFERROR(HLOOKUP(G$1,Data!$1:$149,ROW(Bilanço!$A84),0),"")</f>
        <v>-510175000</v>
      </c>
      <c r="H84" s="2">
        <f>IFERROR(HLOOKUP(H$1,Data!$1:$149,ROW(Bilanço!$A84),0),"")</f>
        <v>-780580000</v>
      </c>
      <c r="I84" s="2">
        <f>IFERROR(HLOOKUP(I$1,Data!$1:$149,ROW(Bilanço!$A84),0),"")</f>
        <v>-1120598000</v>
      </c>
      <c r="J84" s="3">
        <f>IFERROR(HLOOKUP(J$1,Data!$1:$149,ROW(Bilanço!$A84),0),"")</f>
        <v>-537250000</v>
      </c>
      <c r="K84" s="3">
        <f>IFERROR(HLOOKUP(K$1,Data!$1:$149,ROW(Bilanço!$A84),0),"")</f>
        <v>-1021269000</v>
      </c>
      <c r="L84" s="3">
        <f>IFERROR(HLOOKUP(L$1,Data!$1:$149,ROW(Bilanço!$A84),0),"")</f>
        <v>-1661640000</v>
      </c>
      <c r="M84" s="3">
        <f>IFERROR(HLOOKUP(M$1,Data!$1:$149,ROW(Bilanço!$A84),0),"")</f>
        <v>-4389641000</v>
      </c>
      <c r="N84" s="3">
        <f>IFERROR(HLOOKUP(N$1,Data!$1:$149,ROW(Bilanço!$A84),0),"")</f>
        <v>-1834367000</v>
      </c>
      <c r="O84" s="3">
        <f>IFERROR(HLOOKUP(O$1,Data!$1:$149,ROW(Bilanço!$A84),0),"")</f>
        <v>-3664507000</v>
      </c>
      <c r="P84" s="3">
        <f>IFERROR(HLOOKUP(P$1,Data!$1:$149,ROW(Bilanço!$A84),0),"")</f>
        <v>-5157593000</v>
      </c>
      <c r="Q84" s="3">
        <f>IFERROR(HLOOKUP(Q$1,Data!$1:$149,ROW(Bilanço!$A84),0),"")</f>
        <v>-7411104000</v>
      </c>
      <c r="R84" s="3">
        <f>IFERROR(HLOOKUP(R$1,Data!$1:$149,ROW(Bilanço!$A84),0),"")</f>
        <v>-2818513000</v>
      </c>
      <c r="S84" s="3">
        <f>IFERROR(HLOOKUP(S$1,Data!$1:$149,ROW(Bilanço!$A84),0),"")</f>
        <v>-5201700000</v>
      </c>
      <c r="T84" s="3">
        <f>IFERROR(HLOOKUP(T$1,Data!$1:$149,ROW(Bilanço!$A84),0),"")</f>
        <v>-7936163000</v>
      </c>
      <c r="U84" s="3">
        <f>IFERROR(HLOOKUP(U$1,Data!$1:$149,ROW(Bilanço!$A84),0),"")</f>
        <v>-10787416168</v>
      </c>
      <c r="V84" s="3">
        <f>IFERROR(HLOOKUP(V$1,Data!$1:$149,ROW(Bilanço!$A84),0),"")</f>
        <v>-3251343000</v>
      </c>
      <c r="W84" s="3">
        <f>IFERROR(HLOOKUP(W$1,Data!$1:$149,ROW(Bilanço!$A84),0),"")</f>
        <v>-6091594000</v>
      </c>
      <c r="X84" s="3">
        <f>IFERROR(HLOOKUP(X$1,Data!$1:$149,ROW(Bilanço!$A84),0),"")</f>
        <v>-9247760000</v>
      </c>
    </row>
    <row r="85" spans="1:24" x14ac:dyDescent="0.25">
      <c r="A85" t="str">
        <f>Data!A85</f>
        <v>Genel Yönetim Giderleri (-)</v>
      </c>
      <c r="B85" s="2">
        <f>IFERROR(HLOOKUP(B$1,Data!$1:$149,ROW(Bilanço!$A85),0),"")</f>
        <v>-63816000</v>
      </c>
      <c r="C85" s="2">
        <f>IFERROR(HLOOKUP(C$1,Data!$1:$149,ROW(Bilanço!$A85),0),"")</f>
        <v>-127624000</v>
      </c>
      <c r="D85" s="2">
        <f>IFERROR(HLOOKUP(D$1,Data!$1:$149,ROW(Bilanço!$A85),0),"")</f>
        <v>-195877000</v>
      </c>
      <c r="E85" s="2">
        <f>IFERROR(HLOOKUP(E$1,Data!$1:$149,ROW(Bilanço!$A85),0),"")</f>
        <v>-267314000</v>
      </c>
      <c r="F85" s="2">
        <f>IFERROR(HLOOKUP(F$1,Data!$1:$149,ROW(Bilanço!$A85),0),"")</f>
        <v>-78118000</v>
      </c>
      <c r="G85" s="2">
        <f>IFERROR(HLOOKUP(G$1,Data!$1:$149,ROW(Bilanço!$A85),0),"")</f>
        <v>-160863000</v>
      </c>
      <c r="H85" s="2">
        <f>IFERROR(HLOOKUP(H$1,Data!$1:$149,ROW(Bilanço!$A85),0),"")</f>
        <v>-242968000</v>
      </c>
      <c r="I85" s="2">
        <f>IFERROR(HLOOKUP(I$1,Data!$1:$149,ROW(Bilanço!$A85),0),"")</f>
        <v>-353681000</v>
      </c>
      <c r="J85" s="3">
        <f>IFERROR(HLOOKUP(J$1,Data!$1:$149,ROW(Bilanço!$A85),0),"")</f>
        <v>-132796000</v>
      </c>
      <c r="K85" s="3">
        <f>IFERROR(HLOOKUP(K$1,Data!$1:$149,ROW(Bilanço!$A85),0),"")</f>
        <v>-278375000</v>
      </c>
      <c r="L85" s="3">
        <f>IFERROR(HLOOKUP(L$1,Data!$1:$149,ROW(Bilanço!$A85),0),"")</f>
        <v>-473180000</v>
      </c>
      <c r="M85" s="3">
        <f>IFERROR(HLOOKUP(M$1,Data!$1:$149,ROW(Bilanço!$A85),0),"")</f>
        <v>-1238763000</v>
      </c>
      <c r="N85" s="3">
        <f>IFERROR(HLOOKUP(N$1,Data!$1:$149,ROW(Bilanço!$A85),0),"")</f>
        <v>-388910000</v>
      </c>
      <c r="O85" s="3">
        <f>IFERROR(HLOOKUP(O$1,Data!$1:$149,ROW(Bilanço!$A85),0),"")</f>
        <v>-869885000</v>
      </c>
      <c r="P85" s="3">
        <f>IFERROR(HLOOKUP(P$1,Data!$1:$149,ROW(Bilanço!$A85),0),"")</f>
        <v>-1412903000</v>
      </c>
      <c r="Q85" s="3">
        <f>IFERROR(HLOOKUP(Q$1,Data!$1:$149,ROW(Bilanço!$A85),0),"")</f>
        <v>-2004377000</v>
      </c>
      <c r="R85" s="3">
        <f>IFERROR(HLOOKUP(R$1,Data!$1:$149,ROW(Bilanço!$A85),0),"")</f>
        <v>-664690000</v>
      </c>
      <c r="S85" s="3">
        <f>IFERROR(HLOOKUP(S$1,Data!$1:$149,ROW(Bilanço!$A85),0),"")</f>
        <v>-1245971000</v>
      </c>
      <c r="T85" s="3">
        <f>IFERROR(HLOOKUP(T$1,Data!$1:$149,ROW(Bilanço!$A85),0),"")</f>
        <v>-2100192000</v>
      </c>
      <c r="U85" s="3">
        <f>IFERROR(HLOOKUP(U$1,Data!$1:$149,ROW(Bilanço!$A85),0),"")</f>
        <v>-2854184137</v>
      </c>
      <c r="V85" s="3">
        <f>IFERROR(HLOOKUP(V$1,Data!$1:$149,ROW(Bilanço!$A85),0),"")</f>
        <v>-660350000</v>
      </c>
      <c r="W85" s="3">
        <f>IFERROR(HLOOKUP(W$1,Data!$1:$149,ROW(Bilanço!$A85),0),"")</f>
        <v>-1344671000</v>
      </c>
      <c r="X85" s="3">
        <f>IFERROR(HLOOKUP(X$1,Data!$1:$149,ROW(Bilanço!$A85),0),"")</f>
        <v>-2144839000</v>
      </c>
    </row>
    <row r="86" spans="1:24" x14ac:dyDescent="0.25">
      <c r="A86" t="str">
        <f>Data!A86</f>
        <v>Araştırma ve Geliştirme Giderleri (-)</v>
      </c>
      <c r="B86" s="2">
        <f>IFERROR(HLOOKUP(B$1,Data!$1:$149,ROW(Bilanço!$A86),0),"")</f>
        <v>-5682000</v>
      </c>
      <c r="C86" s="2">
        <f>IFERROR(HLOOKUP(C$1,Data!$1:$149,ROW(Bilanço!$A86),0),"")</f>
        <v>-11176000</v>
      </c>
      <c r="D86" s="2">
        <f>IFERROR(HLOOKUP(D$1,Data!$1:$149,ROW(Bilanço!$A86),0),"")</f>
        <v>-16702000</v>
      </c>
      <c r="E86" s="2">
        <f>IFERROR(HLOOKUP(E$1,Data!$1:$149,ROW(Bilanço!$A86),0),"")</f>
        <v>-24114000</v>
      </c>
      <c r="F86" s="2">
        <f>IFERROR(HLOOKUP(F$1,Data!$1:$149,ROW(Bilanço!$A86),0),"")</f>
        <v>-8865000</v>
      </c>
      <c r="G86" s="2">
        <f>IFERROR(HLOOKUP(G$1,Data!$1:$149,ROW(Bilanço!$A86),0),"")</f>
        <v>-18760000</v>
      </c>
      <c r="H86" s="2">
        <f>IFERROR(HLOOKUP(H$1,Data!$1:$149,ROW(Bilanço!$A86),0),"")</f>
        <v>-27070000</v>
      </c>
      <c r="I86" s="2">
        <f>IFERROR(HLOOKUP(I$1,Data!$1:$149,ROW(Bilanço!$A86),0),"")</f>
        <v>-39786000</v>
      </c>
      <c r="J86" s="3">
        <f>IFERROR(HLOOKUP(J$1,Data!$1:$149,ROW(Bilanço!$A86),0),"")</f>
        <v>-12484000</v>
      </c>
      <c r="K86" s="3">
        <f>IFERROR(HLOOKUP(K$1,Data!$1:$149,ROW(Bilanço!$A86),0),"")</f>
        <v>-29714000</v>
      </c>
      <c r="L86" s="3">
        <f>IFERROR(HLOOKUP(L$1,Data!$1:$149,ROW(Bilanço!$A86),0),"")</f>
        <v>-50545000</v>
      </c>
      <c r="M86" s="3">
        <f>IFERROR(HLOOKUP(M$1,Data!$1:$149,ROW(Bilanço!$A86),0),"")</f>
        <v>-164649000</v>
      </c>
      <c r="N86" s="3">
        <f>IFERROR(HLOOKUP(N$1,Data!$1:$149,ROW(Bilanço!$A86),0),"")</f>
        <v>-75297000</v>
      </c>
      <c r="O86" s="3">
        <f>IFERROR(HLOOKUP(O$1,Data!$1:$149,ROW(Bilanço!$A86),0),"")</f>
        <v>-157045000</v>
      </c>
      <c r="P86" s="3">
        <f>IFERROR(HLOOKUP(P$1,Data!$1:$149,ROW(Bilanço!$A86),0),"")</f>
        <v>-238559000</v>
      </c>
      <c r="Q86" s="3">
        <f>IFERROR(HLOOKUP(Q$1,Data!$1:$149,ROW(Bilanço!$A86),0),"")</f>
        <v>-344639000</v>
      </c>
      <c r="R86" s="3">
        <f>IFERROR(HLOOKUP(R$1,Data!$1:$149,ROW(Bilanço!$A86),0),"")</f>
        <v>-107188000</v>
      </c>
      <c r="S86" s="3">
        <f>IFERROR(HLOOKUP(S$1,Data!$1:$149,ROW(Bilanço!$A86),0),"")</f>
        <v>-206325000</v>
      </c>
      <c r="T86" s="3">
        <f>IFERROR(HLOOKUP(T$1,Data!$1:$149,ROW(Bilanço!$A86),0),"")</f>
        <v>-327627000</v>
      </c>
      <c r="U86" s="3">
        <f>IFERROR(HLOOKUP(U$1,Data!$1:$149,ROW(Bilanço!$A86),0),"")</f>
        <v>-520693339</v>
      </c>
      <c r="V86" s="3">
        <f>IFERROR(HLOOKUP(V$1,Data!$1:$149,ROW(Bilanço!$A86),0),"")</f>
        <v>-140298000</v>
      </c>
      <c r="W86" s="3">
        <f>IFERROR(HLOOKUP(W$1,Data!$1:$149,ROW(Bilanço!$A86),0),"")</f>
        <v>-282400000</v>
      </c>
      <c r="X86" s="3">
        <f>IFERROR(HLOOKUP(X$1,Data!$1:$149,ROW(Bilanço!$A86),0),"")</f>
        <v>-452859000</v>
      </c>
    </row>
    <row r="87" spans="1:24" x14ac:dyDescent="0.25">
      <c r="A87" t="str">
        <f>Data!A87</f>
        <v>Diğer Faaliyet Gelirleri</v>
      </c>
      <c r="B87" s="2">
        <f>IFERROR(HLOOKUP(B$1,Data!$1:$149,ROW(Bilanço!$A87),0),"")</f>
        <v>54783000</v>
      </c>
      <c r="C87" s="2">
        <f>IFERROR(HLOOKUP(C$1,Data!$1:$149,ROW(Bilanço!$A87),0),"")</f>
        <v>97242000</v>
      </c>
      <c r="D87" s="2">
        <f>IFERROR(HLOOKUP(D$1,Data!$1:$149,ROW(Bilanço!$A87),0),"")</f>
        <v>246971000</v>
      </c>
      <c r="E87" s="2">
        <f>IFERROR(HLOOKUP(E$1,Data!$1:$149,ROW(Bilanço!$A87),0),"")</f>
        <v>289555000</v>
      </c>
      <c r="F87" s="2">
        <f>IFERROR(HLOOKUP(F$1,Data!$1:$149,ROW(Bilanço!$A87),0),"")</f>
        <v>126614000</v>
      </c>
      <c r="G87" s="2">
        <f>IFERROR(HLOOKUP(G$1,Data!$1:$149,ROW(Bilanço!$A87),0),"")</f>
        <v>187152000</v>
      </c>
      <c r="H87" s="2">
        <f>IFERROR(HLOOKUP(H$1,Data!$1:$149,ROW(Bilanço!$A87),0),"")</f>
        <v>200454000</v>
      </c>
      <c r="I87" s="2">
        <f>IFERROR(HLOOKUP(I$1,Data!$1:$149,ROW(Bilanço!$A87),0),"")</f>
        <v>895987000</v>
      </c>
      <c r="J87" s="3">
        <f>IFERROR(HLOOKUP(J$1,Data!$1:$149,ROW(Bilanço!$A87),0),"")</f>
        <v>422510000</v>
      </c>
      <c r="K87" s="3">
        <f>IFERROR(HLOOKUP(K$1,Data!$1:$149,ROW(Bilanço!$A87),0),"")</f>
        <v>680062000</v>
      </c>
      <c r="L87" s="3">
        <f>IFERROR(HLOOKUP(L$1,Data!$1:$149,ROW(Bilanço!$A87),0),"")</f>
        <v>1045410000</v>
      </c>
      <c r="M87" s="3">
        <f>IFERROR(HLOOKUP(M$1,Data!$1:$149,ROW(Bilanço!$A87),0),"")</f>
        <v>2401751000</v>
      </c>
      <c r="N87" s="3">
        <f>IFERROR(HLOOKUP(N$1,Data!$1:$149,ROW(Bilanço!$A87),0),"")</f>
        <v>437588000</v>
      </c>
      <c r="O87" s="3">
        <f>IFERROR(HLOOKUP(O$1,Data!$1:$149,ROW(Bilanço!$A87),0),"")</f>
        <v>2535746000</v>
      </c>
      <c r="P87" s="3">
        <f>IFERROR(HLOOKUP(P$1,Data!$1:$149,ROW(Bilanço!$A87),0),"")</f>
        <v>3123473000</v>
      </c>
      <c r="Q87" s="3">
        <f>IFERROR(HLOOKUP(Q$1,Data!$1:$149,ROW(Bilanço!$A87),0),"")</f>
        <v>3964120000</v>
      </c>
      <c r="R87" s="3">
        <f>IFERROR(HLOOKUP(R$1,Data!$1:$149,ROW(Bilanço!$A87),0),"")</f>
        <v>1866214000</v>
      </c>
      <c r="S87" s="3">
        <f>IFERROR(HLOOKUP(S$1,Data!$1:$149,ROW(Bilanço!$A87),0),"")</f>
        <v>1982666000</v>
      </c>
      <c r="T87" s="3">
        <f>IFERROR(HLOOKUP(T$1,Data!$1:$149,ROW(Bilanço!$A87),0),"")</f>
        <v>2311060000</v>
      </c>
      <c r="U87" s="3">
        <f>IFERROR(HLOOKUP(U$1,Data!$1:$149,ROW(Bilanço!$A87),0),"")</f>
        <v>2606435615</v>
      </c>
      <c r="V87" s="3">
        <f>IFERROR(HLOOKUP(V$1,Data!$1:$149,ROW(Bilanço!$A87),0),"")</f>
        <v>1131685000</v>
      </c>
      <c r="W87" s="3">
        <f>IFERROR(HLOOKUP(W$1,Data!$1:$149,ROW(Bilanço!$A87),0),"")</f>
        <v>1627459000</v>
      </c>
      <c r="X87" s="3">
        <f>IFERROR(HLOOKUP(X$1,Data!$1:$149,ROW(Bilanço!$A87),0),"")</f>
        <v>2419912000</v>
      </c>
    </row>
    <row r="88" spans="1:24" x14ac:dyDescent="0.25">
      <c r="A88" t="str">
        <f>Data!A88</f>
        <v>Diğer Faaliyet Giderleri (-)</v>
      </c>
      <c r="B88" s="2">
        <f>IFERROR(HLOOKUP(B$1,Data!$1:$149,ROW(Bilanço!$A88),0),"")</f>
        <v>-28728000</v>
      </c>
      <c r="C88" s="2">
        <f>IFERROR(HLOOKUP(C$1,Data!$1:$149,ROW(Bilanço!$A88),0),"")</f>
        <v>-61805000</v>
      </c>
      <c r="D88" s="2">
        <f>IFERROR(HLOOKUP(D$1,Data!$1:$149,ROW(Bilanço!$A88),0),"")</f>
        <v>-163189000</v>
      </c>
      <c r="E88" s="2">
        <f>IFERROR(HLOOKUP(E$1,Data!$1:$149,ROW(Bilanço!$A88),0),"")</f>
        <v>-273805000</v>
      </c>
      <c r="F88" s="2">
        <f>IFERROR(HLOOKUP(F$1,Data!$1:$149,ROW(Bilanço!$A88),0),"")</f>
        <v>-122723000</v>
      </c>
      <c r="G88" s="2">
        <f>IFERROR(HLOOKUP(G$1,Data!$1:$149,ROW(Bilanço!$A88),0),"")</f>
        <v>-220476000</v>
      </c>
      <c r="H88" s="2">
        <f>IFERROR(HLOOKUP(H$1,Data!$1:$149,ROW(Bilanço!$A88),0),"")</f>
        <v>-227837000</v>
      </c>
      <c r="I88" s="2">
        <f>IFERROR(HLOOKUP(I$1,Data!$1:$149,ROW(Bilanço!$A88),0),"")</f>
        <v>-564347000</v>
      </c>
      <c r="J88" s="3">
        <f>IFERROR(HLOOKUP(J$1,Data!$1:$149,ROW(Bilanço!$A88),0),"")</f>
        <v>-254476000</v>
      </c>
      <c r="K88" s="3">
        <f>IFERROR(HLOOKUP(K$1,Data!$1:$149,ROW(Bilanço!$A88),0),"")</f>
        <v>-277791000</v>
      </c>
      <c r="L88" s="3">
        <f>IFERROR(HLOOKUP(L$1,Data!$1:$149,ROW(Bilanço!$A88),0),"")</f>
        <v>-262162000</v>
      </c>
      <c r="M88" s="3">
        <f>IFERROR(HLOOKUP(M$1,Data!$1:$149,ROW(Bilanço!$A88),0),"")</f>
        <v>-878881000</v>
      </c>
      <c r="N88" s="3">
        <f>IFERROR(HLOOKUP(N$1,Data!$1:$149,ROW(Bilanço!$A88),0),"")</f>
        <v>-391040000</v>
      </c>
      <c r="O88" s="3">
        <f>IFERROR(HLOOKUP(O$1,Data!$1:$149,ROW(Bilanço!$A88),0),"")</f>
        <v>-556868000</v>
      </c>
      <c r="P88" s="3">
        <f>IFERROR(HLOOKUP(P$1,Data!$1:$149,ROW(Bilanço!$A88),0),"")</f>
        <v>-1248978000</v>
      </c>
      <c r="Q88" s="3">
        <f>IFERROR(HLOOKUP(Q$1,Data!$1:$149,ROW(Bilanço!$A88),0),"")</f>
        <v>-1688082000</v>
      </c>
      <c r="R88" s="3">
        <f>IFERROR(HLOOKUP(R$1,Data!$1:$149,ROW(Bilanço!$A88),0),"")</f>
        <v>-1142493000</v>
      </c>
      <c r="S88" s="3">
        <f>IFERROR(HLOOKUP(S$1,Data!$1:$149,ROW(Bilanço!$A88),0),"")</f>
        <v>-1213763000</v>
      </c>
      <c r="T88" s="3">
        <f>IFERROR(HLOOKUP(T$1,Data!$1:$149,ROW(Bilanço!$A88),0),"")</f>
        <v>-1592246000</v>
      </c>
      <c r="U88" s="3">
        <f>IFERROR(HLOOKUP(U$1,Data!$1:$149,ROW(Bilanço!$A88),0),"")</f>
        <v>-1975677812</v>
      </c>
      <c r="V88" s="3">
        <f>IFERROR(HLOOKUP(V$1,Data!$1:$149,ROW(Bilanço!$A88),0),"")</f>
        <v>-720551000</v>
      </c>
      <c r="W88" s="3">
        <f>IFERROR(HLOOKUP(W$1,Data!$1:$149,ROW(Bilanço!$A88),0),"")</f>
        <v>-1129405000</v>
      </c>
      <c r="X88" s="3">
        <f>IFERROR(HLOOKUP(X$1,Data!$1:$149,ROW(Bilanço!$A88),0),"")</f>
        <v>-1679257000</v>
      </c>
    </row>
    <row r="89" spans="1:24" x14ac:dyDescent="0.25">
      <c r="A89" t="str">
        <f>Data!A89</f>
        <v>Faaliyet Karı Öncesi Diğer Gelir ve Giderler</v>
      </c>
      <c r="B89" s="2">
        <f>IFERROR(HLOOKUP(B$1,Data!$1:$149,ROW(Bilanço!$A89),0),"")</f>
        <v>0</v>
      </c>
      <c r="C89" s="2">
        <f>IFERROR(HLOOKUP(C$1,Data!$1:$149,ROW(Bilanço!$A89),0),"")</f>
        <v>0</v>
      </c>
      <c r="D89" s="2">
        <f>IFERROR(HLOOKUP(D$1,Data!$1:$149,ROW(Bilanço!$A89),0),"")</f>
        <v>0</v>
      </c>
      <c r="E89" s="2">
        <f>IFERROR(HLOOKUP(E$1,Data!$1:$149,ROW(Bilanço!$A89),0),"")</f>
        <v>0</v>
      </c>
      <c r="F89" s="2">
        <f>IFERROR(HLOOKUP(F$1,Data!$1:$149,ROW(Bilanço!$A89),0),"")</f>
        <v>0</v>
      </c>
      <c r="G89" s="2">
        <f>IFERROR(HLOOKUP(G$1,Data!$1:$149,ROW(Bilanço!$A89),0),"")</f>
        <v>0</v>
      </c>
      <c r="H89" s="2">
        <f>IFERROR(HLOOKUP(H$1,Data!$1:$149,ROW(Bilanço!$A89),0),"")</f>
        <v>0</v>
      </c>
      <c r="I89" s="2">
        <f>IFERROR(HLOOKUP(I$1,Data!$1:$149,ROW(Bilanço!$A89),0),"")</f>
        <v>0</v>
      </c>
      <c r="J89" s="3">
        <f>IFERROR(HLOOKUP(J$1,Data!$1:$149,ROW(Bilanço!$A89),0),"")</f>
        <v>0</v>
      </c>
      <c r="K89" s="3">
        <f>IFERROR(HLOOKUP(K$1,Data!$1:$149,ROW(Bilanço!$A89),0),"")</f>
        <v>0</v>
      </c>
      <c r="L89" s="3">
        <f>IFERROR(HLOOKUP(L$1,Data!$1:$149,ROW(Bilanço!$A89),0),"")</f>
        <v>0</v>
      </c>
      <c r="M89" s="3">
        <f>IFERROR(HLOOKUP(M$1,Data!$1:$149,ROW(Bilanço!$A89),0),"")</f>
        <v>0</v>
      </c>
      <c r="N89" s="3">
        <f>IFERROR(HLOOKUP(N$1,Data!$1:$149,ROW(Bilanço!$A89),0),"")</f>
        <v>0</v>
      </c>
      <c r="O89" s="3">
        <f>IFERROR(HLOOKUP(O$1,Data!$1:$149,ROW(Bilanço!$A89),0),"")</f>
        <v>0</v>
      </c>
      <c r="P89" s="3">
        <f>IFERROR(HLOOKUP(P$1,Data!$1:$149,ROW(Bilanço!$A89),0),"")</f>
        <v>0</v>
      </c>
      <c r="Q89" s="3">
        <f>IFERROR(HLOOKUP(Q$1,Data!$1:$149,ROW(Bilanço!$A89),0),"")</f>
        <v>0</v>
      </c>
      <c r="R89" s="3">
        <f>IFERROR(HLOOKUP(R$1,Data!$1:$149,ROW(Bilanço!$A89),0),"")</f>
        <v>0</v>
      </c>
      <c r="S89" s="3">
        <f>IFERROR(HLOOKUP(S$1,Data!$1:$149,ROW(Bilanço!$A89),0),"")</f>
        <v>0</v>
      </c>
      <c r="T89" s="3">
        <f>IFERROR(HLOOKUP(T$1,Data!$1:$149,ROW(Bilanço!$A89),0),"")</f>
        <v>0</v>
      </c>
      <c r="U89" s="3">
        <f>IFERROR(HLOOKUP(U$1,Data!$1:$149,ROW(Bilanço!$A89),0),"")</f>
        <v>0</v>
      </c>
      <c r="V89" s="3">
        <f>IFERROR(HLOOKUP(V$1,Data!$1:$149,ROW(Bilanço!$A89),0),"")</f>
        <v>0</v>
      </c>
      <c r="W89" s="3">
        <f>IFERROR(HLOOKUP(W$1,Data!$1:$149,ROW(Bilanço!$A89),0),"")</f>
        <v>0</v>
      </c>
      <c r="X89" s="3">
        <f>IFERROR(HLOOKUP(X$1,Data!$1:$149,ROW(Bilanço!$A89),0),"")</f>
        <v>0</v>
      </c>
    </row>
    <row r="90" spans="1:24" x14ac:dyDescent="0.25">
      <c r="A90" t="str">
        <f>Data!A90</f>
        <v>FAALİYET KARI (ZARARI)</v>
      </c>
      <c r="B90" s="2">
        <f>IFERROR(HLOOKUP(B$1,Data!$1:$149,ROW(Bilanço!$A90),0),"")</f>
        <v>397207000</v>
      </c>
      <c r="C90" s="2">
        <f>IFERROR(HLOOKUP(C$1,Data!$1:$149,ROW(Bilanço!$A90),0),"")</f>
        <v>740598000</v>
      </c>
      <c r="D90" s="2">
        <f>IFERROR(HLOOKUP(D$1,Data!$1:$149,ROW(Bilanço!$A90),0),"")</f>
        <v>1312480000</v>
      </c>
      <c r="E90" s="2">
        <f>IFERROR(HLOOKUP(E$1,Data!$1:$149,ROW(Bilanço!$A90),0),"")</f>
        <v>1738516000</v>
      </c>
      <c r="F90" s="2">
        <f>IFERROR(HLOOKUP(F$1,Data!$1:$149,ROW(Bilanço!$A90),0),"")</f>
        <v>497303000</v>
      </c>
      <c r="G90" s="2">
        <f>IFERROR(HLOOKUP(G$1,Data!$1:$149,ROW(Bilanço!$A90),0),"")</f>
        <v>850574000</v>
      </c>
      <c r="H90" s="2">
        <f>IFERROR(HLOOKUP(H$1,Data!$1:$149,ROW(Bilanço!$A90),0),"")</f>
        <v>1299879000</v>
      </c>
      <c r="I90" s="2">
        <f>IFERROR(HLOOKUP(I$1,Data!$1:$149,ROW(Bilanço!$A90),0),"")</f>
        <v>2429990000</v>
      </c>
      <c r="J90" s="3">
        <f>IFERROR(HLOOKUP(J$1,Data!$1:$149,ROW(Bilanço!$A90),0),"")</f>
        <v>1334594000</v>
      </c>
      <c r="K90" s="3">
        <f>IFERROR(HLOOKUP(K$1,Data!$1:$149,ROW(Bilanço!$A90),0),"")</f>
        <v>2619713000</v>
      </c>
      <c r="L90" s="3">
        <f>IFERROR(HLOOKUP(L$1,Data!$1:$149,ROW(Bilanço!$A90),0),"")</f>
        <v>4165585000</v>
      </c>
      <c r="M90" s="3">
        <f>IFERROR(HLOOKUP(M$1,Data!$1:$149,ROW(Bilanço!$A90),0),"")</f>
        <v>7058007000</v>
      </c>
      <c r="N90" s="3">
        <f>IFERROR(HLOOKUP(N$1,Data!$1:$149,ROW(Bilanço!$A90),0),"")</f>
        <v>3527709000</v>
      </c>
      <c r="O90" s="3">
        <f>IFERROR(HLOOKUP(O$1,Data!$1:$149,ROW(Bilanço!$A90),0),"")</f>
        <v>8467601000</v>
      </c>
      <c r="P90" s="3">
        <f>IFERROR(HLOOKUP(P$1,Data!$1:$149,ROW(Bilanço!$A90),0),"")</f>
        <v>11646314000</v>
      </c>
      <c r="Q90" s="3">
        <f>IFERROR(HLOOKUP(Q$1,Data!$1:$149,ROW(Bilanço!$A90),0),"")</f>
        <v>15871436000</v>
      </c>
      <c r="R90" s="3">
        <f>IFERROR(HLOOKUP(R$1,Data!$1:$149,ROW(Bilanço!$A90),0),"")</f>
        <v>5785593000</v>
      </c>
      <c r="S90" s="3">
        <f>IFERROR(HLOOKUP(S$1,Data!$1:$149,ROW(Bilanço!$A90),0),"")</f>
        <v>9603445000</v>
      </c>
      <c r="T90" s="3">
        <f>IFERROR(HLOOKUP(T$1,Data!$1:$149,ROW(Bilanço!$A90),0),"")</f>
        <v>13578327000</v>
      </c>
      <c r="U90" s="3">
        <f>IFERROR(HLOOKUP(U$1,Data!$1:$149,ROW(Bilanço!$A90),0),"")</f>
        <v>17909096189</v>
      </c>
      <c r="V90" s="3">
        <f>IFERROR(HLOOKUP(V$1,Data!$1:$149,ROW(Bilanço!$A90),0),"")</f>
        <v>5374605000</v>
      </c>
      <c r="W90" s="3">
        <f>IFERROR(HLOOKUP(W$1,Data!$1:$149,ROW(Bilanço!$A90),0),"")</f>
        <v>8617784000</v>
      </c>
      <c r="X90" s="3">
        <f>IFERROR(HLOOKUP(X$1,Data!$1:$149,ROW(Bilanço!$A90),0),"")</f>
        <v>13352178000</v>
      </c>
    </row>
    <row r="91" spans="1:24" x14ac:dyDescent="0.25">
      <c r="A91" t="str">
        <f>Data!A91</f>
        <v>Net Faaliyet Kar/Zararı</v>
      </c>
      <c r="B91" s="2">
        <f>IFERROR(HLOOKUP(B$1,Data!$1:$149,ROW(Bilanço!$A91),0),"")</f>
        <v>371152000</v>
      </c>
      <c r="C91" s="2">
        <f>IFERROR(HLOOKUP(C$1,Data!$1:$149,ROW(Bilanço!$A91),0),"")</f>
        <v>705161000</v>
      </c>
      <c r="D91" s="2">
        <f>IFERROR(HLOOKUP(D$1,Data!$1:$149,ROW(Bilanço!$A91),0),"")</f>
        <v>1228698000</v>
      </c>
      <c r="E91" s="2">
        <f>IFERROR(HLOOKUP(E$1,Data!$1:$149,ROW(Bilanço!$A91),0),"")</f>
        <v>1722766000</v>
      </c>
      <c r="F91" s="2">
        <f>IFERROR(HLOOKUP(F$1,Data!$1:$149,ROW(Bilanço!$A91),0),"")</f>
        <v>493412000</v>
      </c>
      <c r="G91" s="2">
        <f>IFERROR(HLOOKUP(G$1,Data!$1:$149,ROW(Bilanço!$A91),0),"")</f>
        <v>883898000</v>
      </c>
      <c r="H91" s="2">
        <f>IFERROR(HLOOKUP(H$1,Data!$1:$149,ROW(Bilanço!$A91),0),"")</f>
        <v>1327262000</v>
      </c>
      <c r="I91" s="2">
        <f>IFERROR(HLOOKUP(I$1,Data!$1:$149,ROW(Bilanço!$A91),0),"")</f>
        <v>2098350000</v>
      </c>
      <c r="J91" s="3">
        <f>IFERROR(HLOOKUP(J$1,Data!$1:$149,ROW(Bilanço!$A91),0),"")</f>
        <v>1166560000</v>
      </c>
      <c r="K91" s="3">
        <f>IFERROR(HLOOKUP(K$1,Data!$1:$149,ROW(Bilanço!$A91),0),"")</f>
        <v>2217442000</v>
      </c>
      <c r="L91" s="3">
        <f>IFERROR(HLOOKUP(L$1,Data!$1:$149,ROW(Bilanço!$A91),0),"")</f>
        <v>3382337000</v>
      </c>
      <c r="M91" s="3">
        <f>IFERROR(HLOOKUP(M$1,Data!$1:$149,ROW(Bilanço!$A91),0),"")</f>
        <v>5535137000</v>
      </c>
      <c r="N91" s="3">
        <f>IFERROR(HLOOKUP(N$1,Data!$1:$149,ROW(Bilanço!$A91),0),"")</f>
        <v>3481161000</v>
      </c>
      <c r="O91" s="3">
        <f>IFERROR(HLOOKUP(O$1,Data!$1:$149,ROW(Bilanço!$A91),0),"")</f>
        <v>6488723000</v>
      </c>
      <c r="P91" s="3">
        <f>IFERROR(HLOOKUP(P$1,Data!$1:$149,ROW(Bilanço!$A91),0),"")</f>
        <v>9771819000</v>
      </c>
      <c r="Q91" s="3">
        <f>IFERROR(HLOOKUP(Q$1,Data!$1:$149,ROW(Bilanço!$A91),0),"")</f>
        <v>13595398000</v>
      </c>
      <c r="R91" s="3">
        <f>IFERROR(HLOOKUP(R$1,Data!$1:$149,ROW(Bilanço!$A91),0),"")</f>
        <v>5061872000</v>
      </c>
      <c r="S91" s="3">
        <f>IFERROR(HLOOKUP(S$1,Data!$1:$149,ROW(Bilanço!$A91),0),"")</f>
        <v>8834542000</v>
      </c>
      <c r="T91" s="3">
        <f>IFERROR(HLOOKUP(T$1,Data!$1:$149,ROW(Bilanço!$A91),0),"")</f>
        <v>12859513000</v>
      </c>
      <c r="U91" s="3">
        <f>IFERROR(HLOOKUP(U$1,Data!$1:$149,ROW(Bilanço!$A91),0),"")</f>
        <v>17278338386</v>
      </c>
      <c r="V91" s="3">
        <f>IFERROR(HLOOKUP(V$1,Data!$1:$149,ROW(Bilanço!$A91),0),"")</f>
        <v>4963471000</v>
      </c>
      <c r="W91" s="3">
        <f>IFERROR(HLOOKUP(W$1,Data!$1:$149,ROW(Bilanço!$A91),0),"")</f>
        <v>8119730000</v>
      </c>
      <c r="X91" s="3">
        <f>IFERROR(HLOOKUP(X$1,Data!$1:$149,ROW(Bilanço!$A91),0),"")</f>
        <v>12611523000</v>
      </c>
    </row>
    <row r="92" spans="1:24" x14ac:dyDescent="0.25">
      <c r="A92" t="str">
        <f>Data!A92</f>
        <v xml:space="preserve">  Yatırım Faaliyetlerinden Gelirler</v>
      </c>
      <c r="B92" s="2">
        <f>IFERROR(HLOOKUP(B$1,Data!$1:$149,ROW(Bilanço!$A92),0),"")</f>
        <v>725238000</v>
      </c>
      <c r="C92" s="2">
        <f>IFERROR(HLOOKUP(C$1,Data!$1:$149,ROW(Bilanço!$A92),0),"")</f>
        <v>1044715000</v>
      </c>
      <c r="D92" s="2">
        <f>IFERROR(HLOOKUP(D$1,Data!$1:$149,ROW(Bilanço!$A92),0),"")</f>
        <v>2306725000</v>
      </c>
      <c r="E92" s="2">
        <f>IFERROR(HLOOKUP(E$1,Data!$1:$149,ROW(Bilanço!$A92),0),"")</f>
        <v>2580794000</v>
      </c>
      <c r="F92" s="2">
        <f>IFERROR(HLOOKUP(F$1,Data!$1:$149,ROW(Bilanço!$A92),0),"")</f>
        <v>1480763000</v>
      </c>
      <c r="G92" s="2">
        <f>IFERROR(HLOOKUP(G$1,Data!$1:$149,ROW(Bilanço!$A92),0),"")</f>
        <v>2333409000</v>
      </c>
      <c r="H92" s="2">
        <f>IFERROR(HLOOKUP(H$1,Data!$1:$149,ROW(Bilanço!$A92),0),"")</f>
        <v>2227413000</v>
      </c>
      <c r="I92" s="2">
        <f>IFERROR(HLOOKUP(I$1,Data!$1:$149,ROW(Bilanço!$A92),0),"")</f>
        <v>6096145000</v>
      </c>
      <c r="J92" s="3">
        <f>IFERROR(HLOOKUP(J$1,Data!$1:$149,ROW(Bilanço!$A92),0),"")</f>
        <v>1082949000</v>
      </c>
      <c r="K92" s="3">
        <f>IFERROR(HLOOKUP(K$1,Data!$1:$149,ROW(Bilanço!$A92),0),"")</f>
        <v>2387324000</v>
      </c>
      <c r="L92" s="3">
        <f>IFERROR(HLOOKUP(L$1,Data!$1:$149,ROW(Bilanço!$A92),0),"")</f>
        <v>3694542000</v>
      </c>
      <c r="M92" s="3">
        <f>IFERROR(HLOOKUP(M$1,Data!$1:$149,ROW(Bilanço!$A92),0),"")</f>
        <v>7811620000</v>
      </c>
      <c r="N92" s="3">
        <f>IFERROR(HLOOKUP(N$1,Data!$1:$149,ROW(Bilanço!$A92),0),"")</f>
        <v>969515000</v>
      </c>
      <c r="O92" s="3">
        <f>IFERROR(HLOOKUP(O$1,Data!$1:$149,ROW(Bilanço!$A92),0),"")</f>
        <v>7134687000</v>
      </c>
      <c r="P92" s="3">
        <f>IFERROR(HLOOKUP(P$1,Data!$1:$149,ROW(Bilanço!$A92),0),"")</f>
        <v>8638023000</v>
      </c>
      <c r="Q92" s="3">
        <f>IFERROR(HLOOKUP(Q$1,Data!$1:$149,ROW(Bilanço!$A92),0),"")</f>
        <v>11006892000</v>
      </c>
      <c r="R92" s="3">
        <f>IFERROR(HLOOKUP(R$1,Data!$1:$149,ROW(Bilanço!$A92),0),"")</f>
        <v>1834284000</v>
      </c>
      <c r="S92" s="3">
        <f>IFERROR(HLOOKUP(S$1,Data!$1:$149,ROW(Bilanço!$A92),0),"")</f>
        <v>2792627000</v>
      </c>
      <c r="T92" s="3">
        <f>IFERROR(HLOOKUP(T$1,Data!$1:$149,ROW(Bilanço!$A92),0),"")</f>
        <v>5795548000</v>
      </c>
      <c r="U92" s="3">
        <f>IFERROR(HLOOKUP(U$1,Data!$1:$149,ROW(Bilanço!$A92),0),"")</f>
        <v>7661698297</v>
      </c>
      <c r="V92" s="3">
        <f>IFERROR(HLOOKUP(V$1,Data!$1:$149,ROW(Bilanço!$A92),0),"")</f>
        <v>3389556000</v>
      </c>
      <c r="W92" s="3">
        <f>IFERROR(HLOOKUP(W$1,Data!$1:$149,ROW(Bilanço!$A92),0),"")</f>
        <v>6692227000</v>
      </c>
      <c r="X92" s="3">
        <f>IFERROR(HLOOKUP(X$1,Data!$1:$149,ROW(Bilanço!$A92),0),"")</f>
        <v>9855269000</v>
      </c>
    </row>
    <row r="93" spans="1:24" x14ac:dyDescent="0.25">
      <c r="A93" t="str">
        <f>Data!A93</f>
        <v xml:space="preserve">  Yatırım Faaliyetlerinden Giderler (-)</v>
      </c>
      <c r="B93" s="2">
        <f>IFERROR(HLOOKUP(B$1,Data!$1:$149,ROW(Bilanço!$A93),0),"")</f>
        <v>-672328000</v>
      </c>
      <c r="C93" s="2">
        <f>IFERROR(HLOOKUP(C$1,Data!$1:$149,ROW(Bilanço!$A93),0),"")</f>
        <v>-243204000</v>
      </c>
      <c r="D93" s="2">
        <f>IFERROR(HLOOKUP(D$1,Data!$1:$149,ROW(Bilanço!$A93),0),"")</f>
        <v>-116556000</v>
      </c>
      <c r="E93" s="2">
        <f>IFERROR(HLOOKUP(E$1,Data!$1:$149,ROW(Bilanço!$A93),0),"")</f>
        <v>-685234000</v>
      </c>
      <c r="F93" s="2">
        <f>IFERROR(HLOOKUP(F$1,Data!$1:$149,ROW(Bilanço!$A93),0),"")</f>
        <v>-1360000</v>
      </c>
      <c r="G93" s="2">
        <f>IFERROR(HLOOKUP(G$1,Data!$1:$149,ROW(Bilanço!$A93),0),"")</f>
        <v>-1771000</v>
      </c>
      <c r="H93" s="2">
        <f>IFERROR(HLOOKUP(H$1,Data!$1:$149,ROW(Bilanço!$A93),0),"")</f>
        <v>-16775000</v>
      </c>
      <c r="I93" s="2">
        <f>IFERROR(HLOOKUP(I$1,Data!$1:$149,ROW(Bilanço!$A93),0),"")</f>
        <v>-130934000</v>
      </c>
      <c r="J93" s="3">
        <f>IFERROR(HLOOKUP(J$1,Data!$1:$149,ROW(Bilanço!$A93),0),"")</f>
        <v>-739621000</v>
      </c>
      <c r="K93" s="3">
        <f>IFERROR(HLOOKUP(K$1,Data!$1:$149,ROW(Bilanço!$A93),0),"")</f>
        <v>-1498442000</v>
      </c>
      <c r="L93" s="3">
        <f>IFERROR(HLOOKUP(L$1,Data!$1:$149,ROW(Bilanço!$A93),0),"")</f>
        <v>-1903434000</v>
      </c>
      <c r="M93" s="3">
        <f>IFERROR(HLOOKUP(M$1,Data!$1:$149,ROW(Bilanço!$A93),0),"")</f>
        <v>-3247512000</v>
      </c>
      <c r="N93" s="3">
        <f>IFERROR(HLOOKUP(N$1,Data!$1:$149,ROW(Bilanço!$A93),0),"")</f>
        <v>-66668000</v>
      </c>
      <c r="O93" s="3">
        <f>IFERROR(HLOOKUP(O$1,Data!$1:$149,ROW(Bilanço!$A93),0),"")</f>
        <v>-341761000</v>
      </c>
      <c r="P93" s="3">
        <f>IFERROR(HLOOKUP(P$1,Data!$1:$149,ROW(Bilanço!$A93),0),"")</f>
        <v>-577542000</v>
      </c>
      <c r="Q93" s="3">
        <f>IFERROR(HLOOKUP(Q$1,Data!$1:$149,ROW(Bilanço!$A93),0),"")</f>
        <v>-604641000</v>
      </c>
      <c r="R93" s="3">
        <f>IFERROR(HLOOKUP(R$1,Data!$1:$149,ROW(Bilanço!$A93),0),"")</f>
        <v>-5220000</v>
      </c>
      <c r="S93" s="3">
        <f>IFERROR(HLOOKUP(S$1,Data!$1:$149,ROW(Bilanço!$A93),0),"")</f>
        <v>-12881000</v>
      </c>
      <c r="T93" s="3">
        <f>IFERROR(HLOOKUP(T$1,Data!$1:$149,ROW(Bilanço!$A93),0),"")</f>
        <v>-161924000</v>
      </c>
      <c r="U93" s="3">
        <f>IFERROR(HLOOKUP(U$1,Data!$1:$149,ROW(Bilanço!$A93),0),"")</f>
        <v>-330067960</v>
      </c>
      <c r="V93" s="3">
        <f>IFERROR(HLOOKUP(V$1,Data!$1:$149,ROW(Bilanço!$A93),0),"")</f>
        <v>-575094000</v>
      </c>
      <c r="W93" s="3">
        <f>IFERROR(HLOOKUP(W$1,Data!$1:$149,ROW(Bilanço!$A93),0),"")</f>
        <v>-616948000</v>
      </c>
      <c r="X93" s="3">
        <f>IFERROR(HLOOKUP(X$1,Data!$1:$149,ROW(Bilanço!$A93),0),"")</f>
        <v>-739055000</v>
      </c>
    </row>
    <row r="94" spans="1:24" x14ac:dyDescent="0.25">
      <c r="A94" t="str">
        <f>Data!A94</f>
        <v xml:space="preserve">  Diğer Gelir ve Giderler</v>
      </c>
      <c r="B94" s="2">
        <f>IFERROR(HLOOKUP(B$1,Data!$1:$149,ROW(Bilanço!$A94),0),"")</f>
        <v>0</v>
      </c>
      <c r="C94" s="2">
        <f>IFERROR(HLOOKUP(C$1,Data!$1:$149,ROW(Bilanço!$A94),0),"")</f>
        <v>0</v>
      </c>
      <c r="D94" s="2">
        <f>IFERROR(HLOOKUP(D$1,Data!$1:$149,ROW(Bilanço!$A94),0),"")</f>
        <v>0</v>
      </c>
      <c r="E94" s="2">
        <f>IFERROR(HLOOKUP(E$1,Data!$1:$149,ROW(Bilanço!$A94),0),"")</f>
        <v>0</v>
      </c>
      <c r="F94" s="2">
        <f>IFERROR(HLOOKUP(F$1,Data!$1:$149,ROW(Bilanço!$A94),0),"")</f>
        <v>0</v>
      </c>
      <c r="G94" s="2">
        <f>IFERROR(HLOOKUP(G$1,Data!$1:$149,ROW(Bilanço!$A94),0),"")</f>
        <v>0</v>
      </c>
      <c r="H94" s="2">
        <f>IFERROR(HLOOKUP(H$1,Data!$1:$149,ROW(Bilanço!$A94),0),"")</f>
        <v>0</v>
      </c>
      <c r="I94" s="2">
        <f>IFERROR(HLOOKUP(I$1,Data!$1:$149,ROW(Bilanço!$A94),0),"")</f>
        <v>0</v>
      </c>
      <c r="J94" s="3">
        <f>IFERROR(HLOOKUP(J$1,Data!$1:$149,ROW(Bilanço!$A94),0),"")</f>
        <v>0</v>
      </c>
      <c r="K94" s="3">
        <f>IFERROR(HLOOKUP(K$1,Data!$1:$149,ROW(Bilanço!$A94),0),"")</f>
        <v>0</v>
      </c>
      <c r="L94" s="3">
        <f>IFERROR(HLOOKUP(L$1,Data!$1:$149,ROW(Bilanço!$A94),0),"")</f>
        <v>0</v>
      </c>
      <c r="M94" s="3">
        <f>IFERROR(HLOOKUP(M$1,Data!$1:$149,ROW(Bilanço!$A94),0),"")</f>
        <v>0</v>
      </c>
      <c r="N94" s="3">
        <f>IFERROR(HLOOKUP(N$1,Data!$1:$149,ROW(Bilanço!$A94),0),"")</f>
        <v>0</v>
      </c>
      <c r="O94" s="3">
        <f>IFERROR(HLOOKUP(O$1,Data!$1:$149,ROW(Bilanço!$A94),0),"")</f>
        <v>0</v>
      </c>
      <c r="P94" s="3">
        <f>IFERROR(HLOOKUP(P$1,Data!$1:$149,ROW(Bilanço!$A94),0),"")</f>
        <v>0</v>
      </c>
      <c r="Q94" s="3">
        <f>IFERROR(HLOOKUP(Q$1,Data!$1:$149,ROW(Bilanço!$A94),0),"")</f>
        <v>0</v>
      </c>
      <c r="R94" s="3">
        <f>IFERROR(HLOOKUP(R$1,Data!$1:$149,ROW(Bilanço!$A94),0),"")</f>
        <v>0</v>
      </c>
      <c r="S94" s="3">
        <f>IFERROR(HLOOKUP(S$1,Data!$1:$149,ROW(Bilanço!$A94),0),"")</f>
        <v>0</v>
      </c>
      <c r="T94" s="3">
        <f>IFERROR(HLOOKUP(T$1,Data!$1:$149,ROW(Bilanço!$A94),0),"")</f>
        <v>0</v>
      </c>
      <c r="U94" s="3">
        <f>IFERROR(HLOOKUP(U$1,Data!$1:$149,ROW(Bilanço!$A94),0),"")</f>
        <v>0</v>
      </c>
      <c r="V94" s="3">
        <f>IFERROR(HLOOKUP(V$1,Data!$1:$149,ROW(Bilanço!$A94),0),"")</f>
        <v>0</v>
      </c>
      <c r="W94" s="3">
        <f>IFERROR(HLOOKUP(W$1,Data!$1:$149,ROW(Bilanço!$A94),0),"")</f>
        <v>0</v>
      </c>
      <c r="X94" s="3">
        <f>IFERROR(HLOOKUP(X$1,Data!$1:$149,ROW(Bilanço!$A94),0),"")</f>
        <v>0</v>
      </c>
    </row>
    <row r="95" spans="1:24" x14ac:dyDescent="0.25">
      <c r="A95" t="str">
        <f>Data!A95</f>
        <v>Özkaynak Yöntemiyle Değerlenen Yatırımların Kar/Zararlarındaki Paylar</v>
      </c>
      <c r="B95" s="2">
        <f>IFERROR(HLOOKUP(B$1,Data!$1:$149,ROW(Bilanço!$A95),0),"")</f>
        <v>0</v>
      </c>
      <c r="C95" s="2">
        <f>IFERROR(HLOOKUP(C$1,Data!$1:$149,ROW(Bilanço!$A95),0),"")</f>
        <v>0</v>
      </c>
      <c r="D95" s="2">
        <f>IFERROR(HLOOKUP(D$1,Data!$1:$149,ROW(Bilanço!$A95),0),"")</f>
        <v>0</v>
      </c>
      <c r="E95" s="2">
        <f>IFERROR(HLOOKUP(E$1,Data!$1:$149,ROW(Bilanço!$A95),0),"")</f>
        <v>0</v>
      </c>
      <c r="F95" s="2">
        <f>IFERROR(HLOOKUP(F$1,Data!$1:$149,ROW(Bilanço!$A95),0),"")</f>
        <v>0</v>
      </c>
      <c r="G95" s="2">
        <f>IFERROR(HLOOKUP(G$1,Data!$1:$149,ROW(Bilanço!$A95),0),"")</f>
        <v>0</v>
      </c>
      <c r="H95" s="2">
        <f>IFERROR(HLOOKUP(H$1,Data!$1:$149,ROW(Bilanço!$A95),0),"")</f>
        <v>0</v>
      </c>
      <c r="I95" s="2">
        <f>IFERROR(HLOOKUP(I$1,Data!$1:$149,ROW(Bilanço!$A95),0),"")</f>
        <v>0</v>
      </c>
      <c r="J95" s="3">
        <f>IFERROR(HLOOKUP(J$1,Data!$1:$149,ROW(Bilanço!$A95),0),"")</f>
        <v>0</v>
      </c>
      <c r="K95" s="3">
        <f>IFERROR(HLOOKUP(K$1,Data!$1:$149,ROW(Bilanço!$A95),0),"")</f>
        <v>0</v>
      </c>
      <c r="L95" s="3">
        <f>IFERROR(HLOOKUP(L$1,Data!$1:$149,ROW(Bilanço!$A95),0),"")</f>
        <v>0</v>
      </c>
      <c r="M95" s="3">
        <f>IFERROR(HLOOKUP(M$1,Data!$1:$149,ROW(Bilanço!$A95),0),"")</f>
        <v>0</v>
      </c>
      <c r="N95" s="3">
        <f>IFERROR(HLOOKUP(N$1,Data!$1:$149,ROW(Bilanço!$A95),0),"")</f>
        <v>0</v>
      </c>
      <c r="O95" s="3">
        <f>IFERROR(HLOOKUP(O$1,Data!$1:$149,ROW(Bilanço!$A95),0),"")</f>
        <v>0</v>
      </c>
      <c r="P95" s="3">
        <f>IFERROR(HLOOKUP(P$1,Data!$1:$149,ROW(Bilanço!$A95),0),"")</f>
        <v>0</v>
      </c>
      <c r="Q95" s="3">
        <f>IFERROR(HLOOKUP(Q$1,Data!$1:$149,ROW(Bilanço!$A95),0),"")</f>
        <v>0</v>
      </c>
      <c r="R95" s="3">
        <f>IFERROR(HLOOKUP(R$1,Data!$1:$149,ROW(Bilanço!$A95),0),"")</f>
        <v>0</v>
      </c>
      <c r="S95" s="3">
        <f>IFERROR(HLOOKUP(S$1,Data!$1:$149,ROW(Bilanço!$A95),0),"")</f>
        <v>0</v>
      </c>
      <c r="T95" s="3">
        <f>IFERROR(HLOOKUP(T$1,Data!$1:$149,ROW(Bilanço!$A95),0),"")</f>
        <v>0</v>
      </c>
      <c r="U95" s="3">
        <f>IFERROR(HLOOKUP(U$1,Data!$1:$149,ROW(Bilanço!$A95),0),"")</f>
        <v>0</v>
      </c>
      <c r="V95" s="3">
        <f>IFERROR(HLOOKUP(V$1,Data!$1:$149,ROW(Bilanço!$A95),0),"")</f>
        <v>0</v>
      </c>
      <c r="W95" s="3">
        <f>IFERROR(HLOOKUP(W$1,Data!$1:$149,ROW(Bilanço!$A95),0),"")</f>
        <v>0</v>
      </c>
      <c r="X95" s="3">
        <f>IFERROR(HLOOKUP(X$1,Data!$1:$149,ROW(Bilanço!$A95),0),"")</f>
        <v>0</v>
      </c>
    </row>
    <row r="96" spans="1:24" x14ac:dyDescent="0.25">
      <c r="A96" t="str">
        <f>Data!A96</f>
        <v>Finansman Gideri Öncesi Faaliyet Karı/Zararı</v>
      </c>
      <c r="B96" s="2">
        <f>IFERROR(HLOOKUP(B$1,Data!$1:$149,ROW(Bilanço!$A96),0),"")</f>
        <v>450117000</v>
      </c>
      <c r="C96" s="2">
        <f>IFERROR(HLOOKUP(C$1,Data!$1:$149,ROW(Bilanço!$A96),0),"")</f>
        <v>1542109000</v>
      </c>
      <c r="D96" s="2">
        <f>IFERROR(HLOOKUP(D$1,Data!$1:$149,ROW(Bilanço!$A96),0),"")</f>
        <v>3502649000</v>
      </c>
      <c r="E96" s="2">
        <f>IFERROR(HLOOKUP(E$1,Data!$1:$149,ROW(Bilanço!$A96),0),"")</f>
        <v>3634076000</v>
      </c>
      <c r="F96" s="2">
        <f>IFERROR(HLOOKUP(F$1,Data!$1:$149,ROW(Bilanço!$A96),0),"")</f>
        <v>1976706000</v>
      </c>
      <c r="G96" s="2">
        <f>IFERROR(HLOOKUP(G$1,Data!$1:$149,ROW(Bilanço!$A96),0),"")</f>
        <v>3182212000</v>
      </c>
      <c r="H96" s="2">
        <f>IFERROR(HLOOKUP(H$1,Data!$1:$149,ROW(Bilanço!$A96),0),"")</f>
        <v>3510517000</v>
      </c>
      <c r="I96" s="2">
        <f>IFERROR(HLOOKUP(I$1,Data!$1:$149,ROW(Bilanço!$A96),0),"")</f>
        <v>8395201000</v>
      </c>
      <c r="J96" s="3">
        <f>IFERROR(HLOOKUP(J$1,Data!$1:$149,ROW(Bilanço!$A96),0),"")</f>
        <v>1677922000</v>
      </c>
      <c r="K96" s="3">
        <f>IFERROR(HLOOKUP(K$1,Data!$1:$149,ROW(Bilanço!$A96),0),"")</f>
        <v>3508595000</v>
      </c>
      <c r="L96" s="3">
        <f>IFERROR(HLOOKUP(L$1,Data!$1:$149,ROW(Bilanço!$A96),0),"")</f>
        <v>5956693000</v>
      </c>
      <c r="M96" s="3">
        <f>IFERROR(HLOOKUP(M$1,Data!$1:$149,ROW(Bilanço!$A96),0),"")</f>
        <v>11622115000</v>
      </c>
      <c r="N96" s="3">
        <f>IFERROR(HLOOKUP(N$1,Data!$1:$149,ROW(Bilanço!$A96),0),"")</f>
        <v>4430556000</v>
      </c>
      <c r="O96" s="3">
        <f>IFERROR(HLOOKUP(O$1,Data!$1:$149,ROW(Bilanço!$A96),0),"")</f>
        <v>15260527000</v>
      </c>
      <c r="P96" s="3">
        <f>IFERROR(HLOOKUP(P$1,Data!$1:$149,ROW(Bilanço!$A96),0),"")</f>
        <v>19706795000</v>
      </c>
      <c r="Q96" s="3">
        <f>IFERROR(HLOOKUP(Q$1,Data!$1:$149,ROW(Bilanço!$A96),0),"")</f>
        <v>26273687000</v>
      </c>
      <c r="R96" s="3">
        <f>IFERROR(HLOOKUP(R$1,Data!$1:$149,ROW(Bilanço!$A96),0),"")</f>
        <v>7614657000</v>
      </c>
      <c r="S96" s="3">
        <f>IFERROR(HLOOKUP(S$1,Data!$1:$149,ROW(Bilanço!$A96),0),"")</f>
        <v>12383191000</v>
      </c>
      <c r="T96" s="3">
        <f>IFERROR(HLOOKUP(T$1,Data!$1:$149,ROW(Bilanço!$A96),0),"")</f>
        <v>19211951000</v>
      </c>
      <c r="U96" s="3">
        <f>IFERROR(HLOOKUP(U$1,Data!$1:$149,ROW(Bilanço!$A96),0),"")</f>
        <v>25240726526</v>
      </c>
      <c r="V96" s="3">
        <f>IFERROR(HLOOKUP(V$1,Data!$1:$149,ROW(Bilanço!$A96),0),"")</f>
        <v>8189067000</v>
      </c>
      <c r="W96" s="3">
        <f>IFERROR(HLOOKUP(W$1,Data!$1:$149,ROW(Bilanço!$A96),0),"")</f>
        <v>14693063000</v>
      </c>
      <c r="X96" s="3">
        <f>IFERROR(HLOOKUP(X$1,Data!$1:$149,ROW(Bilanço!$A96),0),"")</f>
        <v>22468392000</v>
      </c>
    </row>
    <row r="97" spans="1:24" x14ac:dyDescent="0.25">
      <c r="A97" t="str">
        <f>Data!A97</f>
        <v>(Esas Faaliyet Dışı) Finansal Gelirler</v>
      </c>
      <c r="B97" s="2">
        <f>IFERROR(HLOOKUP(B$1,Data!$1:$149,ROW(Bilanço!$A97),0),"")</f>
        <v>7697000</v>
      </c>
      <c r="C97" s="2">
        <f>IFERROR(HLOOKUP(C$1,Data!$1:$149,ROW(Bilanço!$A97),0),"")</f>
        <v>189838000</v>
      </c>
      <c r="D97" s="2">
        <f>IFERROR(HLOOKUP(D$1,Data!$1:$149,ROW(Bilanço!$A97),0),"")</f>
        <v>250892000</v>
      </c>
      <c r="E97" s="2">
        <f>IFERROR(HLOOKUP(E$1,Data!$1:$149,ROW(Bilanço!$A97),0),"")</f>
        <v>613053000</v>
      </c>
      <c r="F97" s="2">
        <f>IFERROR(HLOOKUP(F$1,Data!$1:$149,ROW(Bilanço!$A97),0),"")</f>
        <v>18892000</v>
      </c>
      <c r="G97" s="2">
        <f>IFERROR(HLOOKUP(G$1,Data!$1:$149,ROW(Bilanço!$A97),0),"")</f>
        <v>5282000</v>
      </c>
      <c r="H97" s="2">
        <f>IFERROR(HLOOKUP(H$1,Data!$1:$149,ROW(Bilanço!$A97),0),"")</f>
        <v>453477000</v>
      </c>
      <c r="I97" s="2">
        <f>IFERROR(HLOOKUP(I$1,Data!$1:$149,ROW(Bilanço!$A97),0),"")</f>
        <v>444638000</v>
      </c>
      <c r="J97" s="3">
        <f>IFERROR(HLOOKUP(J$1,Data!$1:$149,ROW(Bilanço!$A97),0),"")</f>
        <v>28219000</v>
      </c>
      <c r="K97" s="3">
        <f>IFERROR(HLOOKUP(K$1,Data!$1:$149,ROW(Bilanço!$A97),0),"")</f>
        <v>6556000</v>
      </c>
      <c r="L97" s="3">
        <f>IFERROR(HLOOKUP(L$1,Data!$1:$149,ROW(Bilanço!$A97),0),"")</f>
        <v>108781000</v>
      </c>
      <c r="M97" s="3">
        <f>IFERROR(HLOOKUP(M$1,Data!$1:$149,ROW(Bilanço!$A97),0),"")</f>
        <v>339665000</v>
      </c>
      <c r="N97" s="3">
        <f>IFERROR(HLOOKUP(N$1,Data!$1:$149,ROW(Bilanço!$A97),0),"")</f>
        <v>245146000</v>
      </c>
      <c r="O97" s="3">
        <f>IFERROR(HLOOKUP(O$1,Data!$1:$149,ROW(Bilanço!$A97),0),"")</f>
        <v>280919000</v>
      </c>
      <c r="P97" s="3">
        <f>IFERROR(HLOOKUP(P$1,Data!$1:$149,ROW(Bilanço!$A97),0),"")</f>
        <v>220943000</v>
      </c>
      <c r="Q97" s="3">
        <f>IFERROR(HLOOKUP(Q$1,Data!$1:$149,ROW(Bilanço!$A97),0),"")</f>
        <v>459638000</v>
      </c>
      <c r="R97" s="3">
        <f>IFERROR(HLOOKUP(R$1,Data!$1:$149,ROW(Bilanço!$A97),0),"")</f>
        <v>19260000</v>
      </c>
      <c r="S97" s="3">
        <f>IFERROR(HLOOKUP(S$1,Data!$1:$149,ROW(Bilanço!$A97),0),"")</f>
        <v>68544000</v>
      </c>
      <c r="T97" s="3">
        <f>IFERROR(HLOOKUP(T$1,Data!$1:$149,ROW(Bilanço!$A97),0),"")</f>
        <v>99543000</v>
      </c>
      <c r="U97" s="3">
        <f>IFERROR(HLOOKUP(U$1,Data!$1:$149,ROW(Bilanço!$A97),0),"")</f>
        <v>326489454</v>
      </c>
      <c r="V97" s="3">
        <f>IFERROR(HLOOKUP(V$1,Data!$1:$149,ROW(Bilanço!$A97),0),"")</f>
        <v>1204000</v>
      </c>
      <c r="W97" s="3">
        <f>IFERROR(HLOOKUP(W$1,Data!$1:$149,ROW(Bilanço!$A97),0),"")</f>
        <v>2531000</v>
      </c>
      <c r="X97" s="3">
        <f>IFERROR(HLOOKUP(X$1,Data!$1:$149,ROW(Bilanço!$A97),0),"")</f>
        <v>4056000</v>
      </c>
    </row>
    <row r="98" spans="1:24" x14ac:dyDescent="0.25">
      <c r="A98" t="str">
        <f>Data!A98</f>
        <v>(Esas Faaliyet Dışı) Finansal Giderler (-)</v>
      </c>
      <c r="B98" s="2">
        <f>IFERROR(HLOOKUP(B$1,Data!$1:$149,ROW(Bilanço!$A98),0),"")</f>
        <v>-528393000</v>
      </c>
      <c r="C98" s="2">
        <f>IFERROR(HLOOKUP(C$1,Data!$1:$149,ROW(Bilanço!$A98),0),"")</f>
        <v>-1120446000</v>
      </c>
      <c r="D98" s="2">
        <f>IFERROR(HLOOKUP(D$1,Data!$1:$149,ROW(Bilanço!$A98),0),"")</f>
        <v>-2738080000</v>
      </c>
      <c r="E98" s="2">
        <f>IFERROR(HLOOKUP(E$1,Data!$1:$149,ROW(Bilanço!$A98),0),"")</f>
        <v>-2670960000</v>
      </c>
      <c r="F98" s="2">
        <f>IFERROR(HLOOKUP(F$1,Data!$1:$149,ROW(Bilanço!$A98),0),"")</f>
        <v>-1387968000</v>
      </c>
      <c r="G98" s="2">
        <f>IFERROR(HLOOKUP(G$1,Data!$1:$149,ROW(Bilanço!$A98),0),"")</f>
        <v>-2183458000</v>
      </c>
      <c r="H98" s="2">
        <f>IFERROR(HLOOKUP(H$1,Data!$1:$149,ROW(Bilanço!$A98),0),"")</f>
        <v>-2920628000</v>
      </c>
      <c r="I98" s="2">
        <f>IFERROR(HLOOKUP(I$1,Data!$1:$149,ROW(Bilanço!$A98),0),"")</f>
        <v>-8910373000</v>
      </c>
      <c r="J98" s="3">
        <f>IFERROR(HLOOKUP(J$1,Data!$1:$149,ROW(Bilanço!$A98),0),"")</f>
        <v>-2025085000</v>
      </c>
      <c r="K98" s="3">
        <f>IFERROR(HLOOKUP(K$1,Data!$1:$149,ROW(Bilanço!$A98),0),"")</f>
        <v>-4438036000</v>
      </c>
      <c r="L98" s="3">
        <f>IFERROR(HLOOKUP(L$1,Data!$1:$149,ROW(Bilanço!$A98),0),"")</f>
        <v>-7019178000</v>
      </c>
      <c r="M98" s="3">
        <f>IFERROR(HLOOKUP(M$1,Data!$1:$149,ROW(Bilanço!$A98),0),"")</f>
        <v>-10588785000</v>
      </c>
      <c r="N98" s="3">
        <f>IFERROR(HLOOKUP(N$1,Data!$1:$149,ROW(Bilanço!$A98),0),"")</f>
        <v>-1180678000</v>
      </c>
      <c r="O98" s="3">
        <f>IFERROR(HLOOKUP(O$1,Data!$1:$149,ROW(Bilanço!$A98),0),"")</f>
        <v>-14611614000</v>
      </c>
      <c r="P98" s="3">
        <f>IFERROR(HLOOKUP(P$1,Data!$1:$149,ROW(Bilanço!$A98),0),"")</f>
        <v>-14260483000</v>
      </c>
      <c r="Q98" s="3">
        <f>IFERROR(HLOOKUP(Q$1,Data!$1:$149,ROW(Bilanço!$A98),0),"")</f>
        <v>-19836152000</v>
      </c>
      <c r="R98" s="3">
        <f>IFERROR(HLOOKUP(R$1,Data!$1:$149,ROW(Bilanço!$A98),0),"")</f>
        <v>-2622827000</v>
      </c>
      <c r="S98" s="3">
        <f>IFERROR(HLOOKUP(S$1,Data!$1:$149,ROW(Bilanço!$A98),0),"")</f>
        <v>-4801197000</v>
      </c>
      <c r="T98" s="3">
        <f>IFERROR(HLOOKUP(T$1,Data!$1:$149,ROW(Bilanço!$A98),0),"")</f>
        <v>-9416829000</v>
      </c>
      <c r="U98" s="3">
        <f>IFERROR(HLOOKUP(U$1,Data!$1:$149,ROW(Bilanço!$A98),0),"")</f>
        <v>-11813639664</v>
      </c>
      <c r="V98" s="3">
        <f>IFERROR(HLOOKUP(V$1,Data!$1:$149,ROW(Bilanço!$A98),0),"")</f>
        <v>-4732062000</v>
      </c>
      <c r="W98" s="3">
        <f>IFERROR(HLOOKUP(W$1,Data!$1:$149,ROW(Bilanço!$A98),0),"")</f>
        <v>-10071194000</v>
      </c>
      <c r="X98" s="3">
        <f>IFERROR(HLOOKUP(X$1,Data!$1:$149,ROW(Bilanço!$A98),0),"")</f>
        <v>-15602089000</v>
      </c>
    </row>
    <row r="99" spans="1:24" x14ac:dyDescent="0.25">
      <c r="A99" t="str">
        <f>Data!A99</f>
        <v>Vergi Öncesi Diğer Gelir ve Giderler</v>
      </c>
      <c r="B99" s="2">
        <f>IFERROR(HLOOKUP(B$1,Data!$1:$149,ROW(Bilanço!$A99),0),"")</f>
        <v>52910000</v>
      </c>
      <c r="C99" s="2">
        <f>IFERROR(HLOOKUP(C$1,Data!$1:$149,ROW(Bilanço!$A99),0),"")</f>
        <v>801511000</v>
      </c>
      <c r="D99" s="2">
        <f>IFERROR(HLOOKUP(D$1,Data!$1:$149,ROW(Bilanço!$A99),0),"")</f>
        <v>2190169000</v>
      </c>
      <c r="E99" s="2">
        <f>IFERROR(HLOOKUP(E$1,Data!$1:$149,ROW(Bilanço!$A99),0),"")</f>
        <v>1895560000</v>
      </c>
      <c r="F99" s="2">
        <f>IFERROR(HLOOKUP(F$1,Data!$1:$149,ROW(Bilanço!$A99),0),"")</f>
        <v>1479403000</v>
      </c>
      <c r="G99" s="2">
        <f>IFERROR(HLOOKUP(G$1,Data!$1:$149,ROW(Bilanço!$A99),0),"")</f>
        <v>2331638000</v>
      </c>
      <c r="H99" s="2">
        <f>IFERROR(HLOOKUP(H$1,Data!$1:$149,ROW(Bilanço!$A99),0),"")</f>
        <v>2210638000</v>
      </c>
      <c r="I99" s="2">
        <f>IFERROR(HLOOKUP(I$1,Data!$1:$149,ROW(Bilanço!$A99),0),"")</f>
        <v>5965211000</v>
      </c>
      <c r="J99" s="3">
        <f>IFERROR(HLOOKUP(J$1,Data!$1:$149,ROW(Bilanço!$A99),0),"")</f>
        <v>343328000</v>
      </c>
      <c r="K99" s="3">
        <f>IFERROR(HLOOKUP(K$1,Data!$1:$149,ROW(Bilanço!$A99),0),"")</f>
        <v>888882000</v>
      </c>
      <c r="L99" s="3">
        <f>IFERROR(HLOOKUP(L$1,Data!$1:$149,ROW(Bilanço!$A99),0),"")</f>
        <v>1791108000</v>
      </c>
      <c r="M99" s="3">
        <f>IFERROR(HLOOKUP(M$1,Data!$1:$149,ROW(Bilanço!$A99),0),"")</f>
        <v>4564108000</v>
      </c>
      <c r="N99" s="3">
        <f>IFERROR(HLOOKUP(N$1,Data!$1:$149,ROW(Bilanço!$A99),0),"")</f>
        <v>902847000</v>
      </c>
      <c r="O99" s="3">
        <f>IFERROR(HLOOKUP(O$1,Data!$1:$149,ROW(Bilanço!$A99),0),"")</f>
        <v>6792926000</v>
      </c>
      <c r="P99" s="3">
        <f>IFERROR(HLOOKUP(P$1,Data!$1:$149,ROW(Bilanço!$A99),0),"")</f>
        <v>8060481000</v>
      </c>
      <c r="Q99" s="3">
        <f>IFERROR(HLOOKUP(Q$1,Data!$1:$149,ROW(Bilanço!$A99),0),"")</f>
        <v>10402251000</v>
      </c>
      <c r="R99" s="3">
        <f>IFERROR(HLOOKUP(R$1,Data!$1:$149,ROW(Bilanço!$A99),0),"")</f>
        <v>1829064000</v>
      </c>
      <c r="S99" s="3">
        <f>IFERROR(HLOOKUP(S$1,Data!$1:$149,ROW(Bilanço!$A99),0),"")</f>
        <v>2779746000</v>
      </c>
      <c r="T99" s="3">
        <f>IFERROR(HLOOKUP(T$1,Data!$1:$149,ROW(Bilanço!$A99),0),"")</f>
        <v>5633624000</v>
      </c>
      <c r="U99" s="3">
        <f>IFERROR(HLOOKUP(U$1,Data!$1:$149,ROW(Bilanço!$A99),0),"")</f>
        <v>7331630336</v>
      </c>
      <c r="V99" s="3">
        <f>IFERROR(HLOOKUP(V$1,Data!$1:$149,ROW(Bilanço!$A99),0),"")</f>
        <v>2814462000</v>
      </c>
      <c r="W99" s="3">
        <f>IFERROR(HLOOKUP(W$1,Data!$1:$149,ROW(Bilanço!$A99),0),"")</f>
        <v>6075279000</v>
      </c>
      <c r="X99" s="3">
        <f>IFERROR(HLOOKUP(X$1,Data!$1:$149,ROW(Bilanço!$A99),0),"")</f>
        <v>9116214000</v>
      </c>
    </row>
    <row r="100" spans="1:24" x14ac:dyDescent="0.25">
      <c r="A100" t="str">
        <f>Data!A100</f>
        <v>SÜRDÜRÜLEN FAALİYETLER VERGİ ÖNCESİ KARI (ZARARI)</v>
      </c>
      <c r="B100" s="2">
        <f>IFERROR(HLOOKUP(B$1,Data!$1:$149,ROW(Bilanço!$A100),0),"")</f>
        <v>-70579000</v>
      </c>
      <c r="C100" s="2">
        <f>IFERROR(HLOOKUP(C$1,Data!$1:$149,ROW(Bilanço!$A100),0),"")</f>
        <v>611501000</v>
      </c>
      <c r="D100" s="2">
        <f>IFERROR(HLOOKUP(D$1,Data!$1:$149,ROW(Bilanço!$A100),0),"")</f>
        <v>1015461000</v>
      </c>
      <c r="E100" s="2">
        <f>IFERROR(HLOOKUP(E$1,Data!$1:$149,ROW(Bilanço!$A100),0),"")</f>
        <v>1576169000</v>
      </c>
      <c r="F100" s="2">
        <f>IFERROR(HLOOKUP(F$1,Data!$1:$149,ROW(Bilanço!$A100),0),"")</f>
        <v>607630000</v>
      </c>
      <c r="G100" s="2">
        <f>IFERROR(HLOOKUP(G$1,Data!$1:$149,ROW(Bilanço!$A100),0),"")</f>
        <v>1004036000</v>
      </c>
      <c r="H100" s="2">
        <f>IFERROR(HLOOKUP(H$1,Data!$1:$149,ROW(Bilanço!$A100),0),"")</f>
        <v>1043366000</v>
      </c>
      <c r="I100" s="2">
        <f>IFERROR(HLOOKUP(I$1,Data!$1:$149,ROW(Bilanço!$A100),0),"")</f>
        <v>-70534000</v>
      </c>
      <c r="J100" s="3">
        <f>IFERROR(HLOOKUP(J$1,Data!$1:$149,ROW(Bilanço!$A100),0),"")</f>
        <v>-318944000</v>
      </c>
      <c r="K100" s="3">
        <f>IFERROR(HLOOKUP(K$1,Data!$1:$149,ROW(Bilanço!$A100),0),"")</f>
        <v>-922885000</v>
      </c>
      <c r="L100" s="3">
        <f>IFERROR(HLOOKUP(L$1,Data!$1:$149,ROW(Bilanço!$A100),0),"")</f>
        <v>-953704000</v>
      </c>
      <c r="M100" s="3">
        <f>IFERROR(HLOOKUP(M$1,Data!$1:$149,ROW(Bilanço!$A100),0),"")</f>
        <v>1372995000</v>
      </c>
      <c r="N100" s="3">
        <f>IFERROR(HLOOKUP(N$1,Data!$1:$149,ROW(Bilanço!$A100),0),"")</f>
        <v>3495024000</v>
      </c>
      <c r="O100" s="3">
        <f>IFERROR(HLOOKUP(O$1,Data!$1:$149,ROW(Bilanço!$A100),0),"")</f>
        <v>929832000</v>
      </c>
      <c r="P100" s="3">
        <f>IFERROR(HLOOKUP(P$1,Data!$1:$149,ROW(Bilanço!$A100),0),"")</f>
        <v>5667255000</v>
      </c>
      <c r="Q100" s="3">
        <f>IFERROR(HLOOKUP(Q$1,Data!$1:$149,ROW(Bilanço!$A100),0),"")</f>
        <v>6897173000</v>
      </c>
      <c r="R100" s="3">
        <f>IFERROR(HLOOKUP(R$1,Data!$1:$149,ROW(Bilanço!$A100),0),"")</f>
        <v>5011090000</v>
      </c>
      <c r="S100" s="3">
        <f>IFERROR(HLOOKUP(S$1,Data!$1:$149,ROW(Bilanço!$A100),0),"")</f>
        <v>7650538000</v>
      </c>
      <c r="T100" s="3">
        <f>IFERROR(HLOOKUP(T$1,Data!$1:$149,ROW(Bilanço!$A100),0),"")</f>
        <v>9894665000</v>
      </c>
      <c r="U100" s="3">
        <f>IFERROR(HLOOKUP(U$1,Data!$1:$149,ROW(Bilanço!$A100),0),"")</f>
        <v>13753576316</v>
      </c>
      <c r="V100" s="3">
        <f>IFERROR(HLOOKUP(V$1,Data!$1:$149,ROW(Bilanço!$A100),0),"")</f>
        <v>3458209000</v>
      </c>
      <c r="W100" s="3">
        <f>IFERROR(HLOOKUP(W$1,Data!$1:$149,ROW(Bilanço!$A100),0),"")</f>
        <v>4624400000</v>
      </c>
      <c r="X100" s="3">
        <f>IFERROR(HLOOKUP(X$1,Data!$1:$149,ROW(Bilanço!$A100),0),"")</f>
        <v>6870359000</v>
      </c>
    </row>
    <row r="101" spans="1:24" x14ac:dyDescent="0.25">
      <c r="A101" t="str">
        <f>Data!A101</f>
        <v>Sürdürülen Faaliyetler Vergi Geliri (Gideri)</v>
      </c>
      <c r="B101" s="2">
        <f>IFERROR(HLOOKUP(B$1,Data!$1:$149,ROW(Bilanço!$A101),0),"")</f>
        <v>26436000</v>
      </c>
      <c r="C101" s="2">
        <f>IFERROR(HLOOKUP(C$1,Data!$1:$149,ROW(Bilanço!$A101),0),"")</f>
        <v>-116170000</v>
      </c>
      <c r="D101" s="2">
        <f>IFERROR(HLOOKUP(D$1,Data!$1:$149,ROW(Bilanço!$A101),0),"")</f>
        <v>-194490000</v>
      </c>
      <c r="E101" s="2">
        <f>IFERROR(HLOOKUP(E$1,Data!$1:$149,ROW(Bilanço!$A101),0),"")</f>
        <v>-307604000</v>
      </c>
      <c r="F101" s="2">
        <f>IFERROR(HLOOKUP(F$1,Data!$1:$149,ROW(Bilanço!$A101),0),"")</f>
        <v>-114654000</v>
      </c>
      <c r="G101" s="2">
        <f>IFERROR(HLOOKUP(G$1,Data!$1:$149,ROW(Bilanço!$A101),0),"")</f>
        <v>-263997000</v>
      </c>
      <c r="H101" s="2">
        <f>IFERROR(HLOOKUP(H$1,Data!$1:$149,ROW(Bilanço!$A101),0),"")</f>
        <v>-270123000</v>
      </c>
      <c r="I101" s="2">
        <f>IFERROR(HLOOKUP(I$1,Data!$1:$149,ROW(Bilanço!$A101),0),"")</f>
        <v>-91885000</v>
      </c>
      <c r="J101" s="3">
        <f>IFERROR(HLOOKUP(J$1,Data!$1:$149,ROW(Bilanço!$A101),0),"")</f>
        <v>-12112000</v>
      </c>
      <c r="K101" s="3">
        <f>IFERROR(HLOOKUP(K$1,Data!$1:$149,ROW(Bilanço!$A101),0),"")</f>
        <v>37194000</v>
      </c>
      <c r="L101" s="3">
        <f>IFERROR(HLOOKUP(L$1,Data!$1:$149,ROW(Bilanço!$A101),0),"")</f>
        <v>-32089000</v>
      </c>
      <c r="M101" s="3">
        <f>IFERROR(HLOOKUP(M$1,Data!$1:$149,ROW(Bilanço!$A101),0),"")</f>
        <v>56511000</v>
      </c>
      <c r="N101" s="3">
        <f>IFERROR(HLOOKUP(N$1,Data!$1:$149,ROW(Bilanço!$A101),0),"")</f>
        <v>-795511000</v>
      </c>
      <c r="O101" s="3">
        <f>IFERROR(HLOOKUP(O$1,Data!$1:$149,ROW(Bilanço!$A101),0),"")</f>
        <v>-249835000</v>
      </c>
      <c r="P101" s="3">
        <f>IFERROR(HLOOKUP(P$1,Data!$1:$149,ROW(Bilanço!$A101),0),"")</f>
        <v>-1597854000</v>
      </c>
      <c r="Q101" s="3">
        <f>IFERROR(HLOOKUP(Q$1,Data!$1:$149,ROW(Bilanço!$A101),0),"")</f>
        <v>-800398000</v>
      </c>
      <c r="R101" s="3">
        <f>IFERROR(HLOOKUP(R$1,Data!$1:$149,ROW(Bilanço!$A101),0),"")</f>
        <v>-1584619000</v>
      </c>
      <c r="S101" s="3">
        <f>IFERROR(HLOOKUP(S$1,Data!$1:$149,ROW(Bilanço!$A101),0),"")</f>
        <v>-2216058000</v>
      </c>
      <c r="T101" s="3">
        <f>IFERROR(HLOOKUP(T$1,Data!$1:$149,ROW(Bilanço!$A101),0),"")</f>
        <v>-3373930000</v>
      </c>
      <c r="U101" s="3">
        <f>IFERROR(HLOOKUP(U$1,Data!$1:$149,ROW(Bilanço!$A101),0),"")</f>
        <v>-3699007600</v>
      </c>
      <c r="V101" s="3">
        <f>IFERROR(HLOOKUP(V$1,Data!$1:$149,ROW(Bilanço!$A101),0),"")</f>
        <v>-879164000</v>
      </c>
      <c r="W101" s="3">
        <f>IFERROR(HLOOKUP(W$1,Data!$1:$149,ROW(Bilanço!$A101),0),"")</f>
        <v>-1134262000</v>
      </c>
      <c r="X101" s="3">
        <f>IFERROR(HLOOKUP(X$1,Data!$1:$149,ROW(Bilanço!$A101),0),"")</f>
        <v>-2015327000</v>
      </c>
    </row>
    <row r="102" spans="1:24" x14ac:dyDescent="0.25">
      <c r="A102" t="str">
        <f>Data!A102</f>
        <v xml:space="preserve">  Dönem Vergi Geliri (Gideri)</v>
      </c>
      <c r="B102" s="2">
        <f>IFERROR(HLOOKUP(B$1,Data!$1:$149,ROW(Bilanço!$A102),0),"")</f>
        <v>-67338000</v>
      </c>
      <c r="C102" s="2">
        <f>IFERROR(HLOOKUP(C$1,Data!$1:$149,ROW(Bilanço!$A102),0),"")</f>
        <v>-201400000</v>
      </c>
      <c r="D102" s="2">
        <f>IFERROR(HLOOKUP(D$1,Data!$1:$149,ROW(Bilanço!$A102),0),"")</f>
        <v>-299353000</v>
      </c>
      <c r="E102" s="2">
        <f>IFERROR(HLOOKUP(E$1,Data!$1:$149,ROW(Bilanço!$A102),0),"")</f>
        <v>-354315000</v>
      </c>
      <c r="F102" s="2">
        <f>IFERROR(HLOOKUP(F$1,Data!$1:$149,ROW(Bilanço!$A102),0),"")</f>
        <v>-133122000</v>
      </c>
      <c r="G102" s="2">
        <f>IFERROR(HLOOKUP(G$1,Data!$1:$149,ROW(Bilanço!$A102),0),"")</f>
        <v>-292588000</v>
      </c>
      <c r="H102" s="2">
        <f>IFERROR(HLOOKUP(H$1,Data!$1:$149,ROW(Bilanço!$A102),0),"")</f>
        <v>-309068000</v>
      </c>
      <c r="I102" s="2">
        <f>IFERROR(HLOOKUP(I$1,Data!$1:$149,ROW(Bilanço!$A102),0),"")</f>
        <v>-450711000</v>
      </c>
      <c r="J102" s="3">
        <f>IFERROR(HLOOKUP(J$1,Data!$1:$149,ROW(Bilanço!$A102),0),"")</f>
        <v>-190297000</v>
      </c>
      <c r="K102" s="3">
        <f>IFERROR(HLOOKUP(K$1,Data!$1:$149,ROW(Bilanço!$A102),0),"")</f>
        <v>-364274000</v>
      </c>
      <c r="L102" s="3">
        <f>IFERROR(HLOOKUP(L$1,Data!$1:$149,ROW(Bilanço!$A102),0),"")</f>
        <v>-568168000</v>
      </c>
      <c r="M102" s="3">
        <f>IFERROR(HLOOKUP(M$1,Data!$1:$149,ROW(Bilanço!$A102),0),"")</f>
        <v>-1300719000</v>
      </c>
      <c r="N102" s="3">
        <f>IFERROR(HLOOKUP(N$1,Data!$1:$149,ROW(Bilanço!$A102),0),"")</f>
        <v>-530223000</v>
      </c>
      <c r="O102" s="3">
        <f>IFERROR(HLOOKUP(O$1,Data!$1:$149,ROW(Bilanço!$A102),0),"")</f>
        <v>-1032612000</v>
      </c>
      <c r="P102" s="3">
        <f>IFERROR(HLOOKUP(P$1,Data!$1:$149,ROW(Bilanço!$A102),0),"")</f>
        <v>-1516642000</v>
      </c>
      <c r="Q102" s="3">
        <f>IFERROR(HLOOKUP(Q$1,Data!$1:$149,ROW(Bilanço!$A102),0),"")</f>
        <v>-1872594000</v>
      </c>
      <c r="R102" s="3">
        <f>IFERROR(HLOOKUP(R$1,Data!$1:$149,ROW(Bilanço!$A102),0),"")</f>
        <v>-281770000</v>
      </c>
      <c r="S102" s="3">
        <f>IFERROR(HLOOKUP(S$1,Data!$1:$149,ROW(Bilanço!$A102),0),"")</f>
        <v>-617611000</v>
      </c>
      <c r="T102" s="3">
        <f>IFERROR(HLOOKUP(T$1,Data!$1:$149,ROW(Bilanço!$A102),0),"")</f>
        <v>-630138000</v>
      </c>
      <c r="U102" s="3">
        <f>IFERROR(HLOOKUP(U$1,Data!$1:$149,ROW(Bilanço!$A102),0),"")</f>
        <v>-787983791</v>
      </c>
      <c r="V102" s="3">
        <f>IFERROR(HLOOKUP(V$1,Data!$1:$149,ROW(Bilanço!$A102),0),"")</f>
        <v>-287036000</v>
      </c>
      <c r="W102" s="3">
        <f>IFERROR(HLOOKUP(W$1,Data!$1:$149,ROW(Bilanço!$A102),0),"")</f>
        <v>-327470000</v>
      </c>
      <c r="X102" s="3">
        <f>IFERROR(HLOOKUP(X$1,Data!$1:$149,ROW(Bilanço!$A102),0),"")</f>
        <v>-1016953000</v>
      </c>
    </row>
    <row r="103" spans="1:24" x14ac:dyDescent="0.25">
      <c r="A103" t="str">
        <f>Data!A103</f>
        <v xml:space="preserve">  Ertelenmiş Vergi Geliri (Gideri)</v>
      </c>
      <c r="B103" s="2">
        <f>IFERROR(HLOOKUP(B$1,Data!$1:$149,ROW(Bilanço!$A103),0),"")</f>
        <v>93774000</v>
      </c>
      <c r="C103" s="2">
        <f>IFERROR(HLOOKUP(C$1,Data!$1:$149,ROW(Bilanço!$A103),0),"")</f>
        <v>85230000</v>
      </c>
      <c r="D103" s="2">
        <f>IFERROR(HLOOKUP(D$1,Data!$1:$149,ROW(Bilanço!$A103),0),"")</f>
        <v>104863000</v>
      </c>
      <c r="E103" s="2">
        <f>IFERROR(HLOOKUP(E$1,Data!$1:$149,ROW(Bilanço!$A103),0),"")</f>
        <v>46711000</v>
      </c>
      <c r="F103" s="2">
        <f>IFERROR(HLOOKUP(F$1,Data!$1:$149,ROW(Bilanço!$A103),0),"")</f>
        <v>18468000</v>
      </c>
      <c r="G103" s="2">
        <f>IFERROR(HLOOKUP(G$1,Data!$1:$149,ROW(Bilanço!$A103),0),"")</f>
        <v>28591000</v>
      </c>
      <c r="H103" s="2">
        <f>IFERROR(HLOOKUP(H$1,Data!$1:$149,ROW(Bilanço!$A103),0),"")</f>
        <v>38945000</v>
      </c>
      <c r="I103" s="2">
        <f>IFERROR(HLOOKUP(I$1,Data!$1:$149,ROW(Bilanço!$A103),0),"")</f>
        <v>358826000</v>
      </c>
      <c r="J103" s="3">
        <f>IFERROR(HLOOKUP(J$1,Data!$1:$149,ROW(Bilanço!$A103),0),"")</f>
        <v>178185000</v>
      </c>
      <c r="K103" s="3">
        <f>IFERROR(HLOOKUP(K$1,Data!$1:$149,ROW(Bilanço!$A103),0),"")</f>
        <v>401468000</v>
      </c>
      <c r="L103" s="3">
        <f>IFERROR(HLOOKUP(L$1,Data!$1:$149,ROW(Bilanço!$A103),0),"")</f>
        <v>536079000</v>
      </c>
      <c r="M103" s="3">
        <f>IFERROR(HLOOKUP(M$1,Data!$1:$149,ROW(Bilanço!$A103),0),"")</f>
        <v>1357230000</v>
      </c>
      <c r="N103" s="3">
        <f>IFERROR(HLOOKUP(N$1,Data!$1:$149,ROW(Bilanço!$A103),0),"")</f>
        <v>-265288000</v>
      </c>
      <c r="O103" s="3">
        <f>IFERROR(HLOOKUP(O$1,Data!$1:$149,ROW(Bilanço!$A103),0),"")</f>
        <v>782777000</v>
      </c>
      <c r="P103" s="3">
        <f>IFERROR(HLOOKUP(P$1,Data!$1:$149,ROW(Bilanço!$A103),0),"")</f>
        <v>-81212000</v>
      </c>
      <c r="Q103" s="3">
        <f>IFERROR(HLOOKUP(Q$1,Data!$1:$149,ROW(Bilanço!$A103),0),"")</f>
        <v>1072196000</v>
      </c>
      <c r="R103" s="3">
        <f>IFERROR(HLOOKUP(R$1,Data!$1:$149,ROW(Bilanço!$A103),0),"")</f>
        <v>-1302849000</v>
      </c>
      <c r="S103" s="3">
        <f>IFERROR(HLOOKUP(S$1,Data!$1:$149,ROW(Bilanço!$A103),0),"")</f>
        <v>-1598447000</v>
      </c>
      <c r="T103" s="3">
        <f>IFERROR(HLOOKUP(T$1,Data!$1:$149,ROW(Bilanço!$A103),0),"")</f>
        <v>-2743792000</v>
      </c>
      <c r="U103" s="3">
        <f>IFERROR(HLOOKUP(U$1,Data!$1:$149,ROW(Bilanço!$A103),0),"")</f>
        <v>-2911023809</v>
      </c>
      <c r="V103" s="3">
        <f>IFERROR(HLOOKUP(V$1,Data!$1:$149,ROW(Bilanço!$A103),0),"")</f>
        <v>-592128000</v>
      </c>
      <c r="W103" s="3">
        <f>IFERROR(HLOOKUP(W$1,Data!$1:$149,ROW(Bilanço!$A103),0),"")</f>
        <v>-806792000</v>
      </c>
      <c r="X103" s="3">
        <f>IFERROR(HLOOKUP(X$1,Data!$1:$149,ROW(Bilanço!$A103),0),"")</f>
        <v>-998374000</v>
      </c>
    </row>
    <row r="104" spans="1:24" x14ac:dyDescent="0.25">
      <c r="A104" t="str">
        <f>Data!A104</f>
        <v xml:space="preserve">  Diğer Vergi Geliri (Gideri)</v>
      </c>
      <c r="B104" s="2">
        <f>IFERROR(HLOOKUP(B$1,Data!$1:$149,ROW(Bilanço!$A104),0),"")</f>
        <v>0</v>
      </c>
      <c r="C104" s="2">
        <f>IFERROR(HLOOKUP(C$1,Data!$1:$149,ROW(Bilanço!$A104),0),"")</f>
        <v>0</v>
      </c>
      <c r="D104" s="2">
        <f>IFERROR(HLOOKUP(D$1,Data!$1:$149,ROW(Bilanço!$A104),0),"")</f>
        <v>0</v>
      </c>
      <c r="E104" s="2">
        <f>IFERROR(HLOOKUP(E$1,Data!$1:$149,ROW(Bilanço!$A104),0),"")</f>
        <v>0</v>
      </c>
      <c r="F104" s="2">
        <f>IFERROR(HLOOKUP(F$1,Data!$1:$149,ROW(Bilanço!$A104),0),"")</f>
        <v>0</v>
      </c>
      <c r="G104" s="2">
        <f>IFERROR(HLOOKUP(G$1,Data!$1:$149,ROW(Bilanço!$A104),0),"")</f>
        <v>0</v>
      </c>
      <c r="H104" s="2">
        <f>IFERROR(HLOOKUP(H$1,Data!$1:$149,ROW(Bilanço!$A104),0),"")</f>
        <v>0</v>
      </c>
      <c r="I104" s="2">
        <f>IFERROR(HLOOKUP(I$1,Data!$1:$149,ROW(Bilanço!$A104),0),"")</f>
        <v>0</v>
      </c>
      <c r="J104" s="3">
        <f>IFERROR(HLOOKUP(J$1,Data!$1:$149,ROW(Bilanço!$A104),0),"")</f>
        <v>0</v>
      </c>
      <c r="K104" s="3">
        <f>IFERROR(HLOOKUP(K$1,Data!$1:$149,ROW(Bilanço!$A104),0),"")</f>
        <v>0</v>
      </c>
      <c r="L104" s="3">
        <f>IFERROR(HLOOKUP(L$1,Data!$1:$149,ROW(Bilanço!$A104),0),"")</f>
        <v>0</v>
      </c>
      <c r="M104" s="3">
        <f>IFERROR(HLOOKUP(M$1,Data!$1:$149,ROW(Bilanço!$A104),0),"")</f>
        <v>0</v>
      </c>
      <c r="N104" s="3">
        <f>IFERROR(HLOOKUP(N$1,Data!$1:$149,ROW(Bilanço!$A104),0),"")</f>
        <v>0</v>
      </c>
      <c r="O104" s="3">
        <f>IFERROR(HLOOKUP(O$1,Data!$1:$149,ROW(Bilanço!$A104),0),"")</f>
        <v>0</v>
      </c>
      <c r="P104" s="3">
        <f>IFERROR(HLOOKUP(P$1,Data!$1:$149,ROW(Bilanço!$A104),0),"")</f>
        <v>0</v>
      </c>
      <c r="Q104" s="3">
        <f>IFERROR(HLOOKUP(Q$1,Data!$1:$149,ROW(Bilanço!$A104),0),"")</f>
        <v>0</v>
      </c>
      <c r="R104" s="3">
        <f>IFERROR(HLOOKUP(R$1,Data!$1:$149,ROW(Bilanço!$A104),0),"")</f>
        <v>0</v>
      </c>
      <c r="S104" s="3">
        <f>IFERROR(HLOOKUP(S$1,Data!$1:$149,ROW(Bilanço!$A104),0),"")</f>
        <v>0</v>
      </c>
      <c r="T104" s="3">
        <f>IFERROR(HLOOKUP(T$1,Data!$1:$149,ROW(Bilanço!$A104),0),"")</f>
        <v>0</v>
      </c>
      <c r="U104" s="3">
        <f>IFERROR(HLOOKUP(U$1,Data!$1:$149,ROW(Bilanço!$A104),0),"")</f>
        <v>0</v>
      </c>
      <c r="V104" s="3">
        <f>IFERROR(HLOOKUP(V$1,Data!$1:$149,ROW(Bilanço!$A104),0),"")</f>
        <v>0</v>
      </c>
      <c r="W104" s="3">
        <f>IFERROR(HLOOKUP(W$1,Data!$1:$149,ROW(Bilanço!$A104),0),"")</f>
        <v>0</v>
      </c>
      <c r="X104" s="3">
        <f>IFERROR(HLOOKUP(X$1,Data!$1:$149,ROW(Bilanço!$A104),0),"")</f>
        <v>0</v>
      </c>
    </row>
    <row r="105" spans="1:24" x14ac:dyDescent="0.25">
      <c r="A105" t="str">
        <f>Data!A105</f>
        <v>SÜRDÜRÜLEN FAALİYETLER DÖNEM KARI/ZARARI</v>
      </c>
      <c r="B105" s="2">
        <f>IFERROR(HLOOKUP(B$1,Data!$1:$149,ROW(Bilanço!$A105),0),"")</f>
        <v>-44143000</v>
      </c>
      <c r="C105" s="2">
        <f>IFERROR(HLOOKUP(C$1,Data!$1:$149,ROW(Bilanço!$A105),0),"")</f>
        <v>495331000</v>
      </c>
      <c r="D105" s="2">
        <f>IFERROR(HLOOKUP(D$1,Data!$1:$149,ROW(Bilanço!$A105),0),"")</f>
        <v>820971000</v>
      </c>
      <c r="E105" s="2">
        <f>IFERROR(HLOOKUP(E$1,Data!$1:$149,ROW(Bilanço!$A105),0),"")</f>
        <v>1268565000</v>
      </c>
      <c r="F105" s="2">
        <f>IFERROR(HLOOKUP(F$1,Data!$1:$149,ROW(Bilanço!$A105),0),"")</f>
        <v>492976000</v>
      </c>
      <c r="G105" s="2">
        <f>IFERROR(HLOOKUP(G$1,Data!$1:$149,ROW(Bilanço!$A105),0),"")</f>
        <v>740039000</v>
      </c>
      <c r="H105" s="2">
        <f>IFERROR(HLOOKUP(H$1,Data!$1:$149,ROW(Bilanço!$A105),0),"")</f>
        <v>773243000</v>
      </c>
      <c r="I105" s="2">
        <f>IFERROR(HLOOKUP(I$1,Data!$1:$149,ROW(Bilanço!$A105),0),"")</f>
        <v>-162419000</v>
      </c>
      <c r="J105" s="3">
        <f>IFERROR(HLOOKUP(J$1,Data!$1:$149,ROW(Bilanço!$A105),0),"")</f>
        <v>-331056000</v>
      </c>
      <c r="K105" s="3">
        <f>IFERROR(HLOOKUP(K$1,Data!$1:$149,ROW(Bilanço!$A105),0),"")</f>
        <v>-885691000</v>
      </c>
      <c r="L105" s="3">
        <f>IFERROR(HLOOKUP(L$1,Data!$1:$149,ROW(Bilanço!$A105),0),"")</f>
        <v>-985793000</v>
      </c>
      <c r="M105" s="3">
        <f>IFERROR(HLOOKUP(M$1,Data!$1:$149,ROW(Bilanço!$A105),0),"")</f>
        <v>1429506000</v>
      </c>
      <c r="N105" s="3">
        <f>IFERROR(HLOOKUP(N$1,Data!$1:$149,ROW(Bilanço!$A105),0),"")</f>
        <v>2699513000</v>
      </c>
      <c r="O105" s="3">
        <f>IFERROR(HLOOKUP(O$1,Data!$1:$149,ROW(Bilanço!$A105),0),"")</f>
        <v>679997000</v>
      </c>
      <c r="P105" s="3">
        <f>IFERROR(HLOOKUP(P$1,Data!$1:$149,ROW(Bilanço!$A105),0),"")</f>
        <v>4069401000</v>
      </c>
      <c r="Q105" s="3">
        <f>IFERROR(HLOOKUP(Q$1,Data!$1:$149,ROW(Bilanço!$A105),0),"")</f>
        <v>6096775000</v>
      </c>
      <c r="R105" s="3">
        <f>IFERROR(HLOOKUP(R$1,Data!$1:$149,ROW(Bilanço!$A105),0),"")</f>
        <v>3426471000</v>
      </c>
      <c r="S105" s="3">
        <f>IFERROR(HLOOKUP(S$1,Data!$1:$149,ROW(Bilanço!$A105),0),"")</f>
        <v>5434480000</v>
      </c>
      <c r="T105" s="3">
        <f>IFERROR(HLOOKUP(T$1,Data!$1:$149,ROW(Bilanço!$A105),0),"")</f>
        <v>6520735000</v>
      </c>
      <c r="U105" s="3">
        <f>IFERROR(HLOOKUP(U$1,Data!$1:$149,ROW(Bilanço!$A105),0),"")</f>
        <v>10054568716</v>
      </c>
      <c r="V105" s="3">
        <f>IFERROR(HLOOKUP(V$1,Data!$1:$149,ROW(Bilanço!$A105),0),"")</f>
        <v>2579045000</v>
      </c>
      <c r="W105" s="3">
        <f>IFERROR(HLOOKUP(W$1,Data!$1:$149,ROW(Bilanço!$A105),0),"")</f>
        <v>3490138000</v>
      </c>
      <c r="X105" s="3">
        <f>IFERROR(HLOOKUP(X$1,Data!$1:$149,ROW(Bilanço!$A105),0),"")</f>
        <v>4855032000</v>
      </c>
    </row>
    <row r="106" spans="1:24" x14ac:dyDescent="0.25">
      <c r="A106" t="str">
        <f>Data!A106</f>
        <v>DURDURULAN FAALİYETLER</v>
      </c>
      <c r="B106" s="2">
        <f>IFERROR(HLOOKUP(B$1,Data!$1:$149,ROW(Bilanço!$A106),0),"")</f>
        <v>0</v>
      </c>
      <c r="C106" s="2">
        <f>IFERROR(HLOOKUP(C$1,Data!$1:$149,ROW(Bilanço!$A106),0),"")</f>
        <v>0</v>
      </c>
      <c r="D106" s="2">
        <f>IFERROR(HLOOKUP(D$1,Data!$1:$149,ROW(Bilanço!$A106),0),"")</f>
        <v>0</v>
      </c>
      <c r="E106" s="2">
        <f>IFERROR(HLOOKUP(E$1,Data!$1:$149,ROW(Bilanço!$A106),0),"")</f>
        <v>0</v>
      </c>
      <c r="F106" s="2">
        <f>IFERROR(HLOOKUP(F$1,Data!$1:$149,ROW(Bilanço!$A106),0),"")</f>
        <v>0</v>
      </c>
      <c r="G106" s="2">
        <f>IFERROR(HLOOKUP(G$1,Data!$1:$149,ROW(Bilanço!$A106),0),"")</f>
        <v>0</v>
      </c>
      <c r="H106" s="2">
        <f>IFERROR(HLOOKUP(H$1,Data!$1:$149,ROW(Bilanço!$A106),0),"")</f>
        <v>0</v>
      </c>
      <c r="I106" s="2">
        <f>IFERROR(HLOOKUP(I$1,Data!$1:$149,ROW(Bilanço!$A106),0),"")</f>
        <v>0</v>
      </c>
      <c r="J106" s="3">
        <f>IFERROR(HLOOKUP(J$1,Data!$1:$149,ROW(Bilanço!$A106),0),"")</f>
        <v>0</v>
      </c>
      <c r="K106" s="3">
        <f>IFERROR(HLOOKUP(K$1,Data!$1:$149,ROW(Bilanço!$A106),0),"")</f>
        <v>0</v>
      </c>
      <c r="L106" s="3">
        <f>IFERROR(HLOOKUP(L$1,Data!$1:$149,ROW(Bilanço!$A106),0),"")</f>
        <v>0</v>
      </c>
      <c r="M106" s="3">
        <f>IFERROR(HLOOKUP(M$1,Data!$1:$149,ROW(Bilanço!$A106),0),"")</f>
        <v>0</v>
      </c>
      <c r="N106" s="3">
        <f>IFERROR(HLOOKUP(N$1,Data!$1:$149,ROW(Bilanço!$A106),0),"")</f>
        <v>0</v>
      </c>
      <c r="O106" s="3">
        <f>IFERROR(HLOOKUP(O$1,Data!$1:$149,ROW(Bilanço!$A106),0),"")</f>
        <v>0</v>
      </c>
      <c r="P106" s="3">
        <f>IFERROR(HLOOKUP(P$1,Data!$1:$149,ROW(Bilanço!$A106),0),"")</f>
        <v>0</v>
      </c>
      <c r="Q106" s="3">
        <f>IFERROR(HLOOKUP(Q$1,Data!$1:$149,ROW(Bilanço!$A106),0),"")</f>
        <v>0</v>
      </c>
      <c r="R106" s="3">
        <f>IFERROR(HLOOKUP(R$1,Data!$1:$149,ROW(Bilanço!$A106),0),"")</f>
        <v>0</v>
      </c>
      <c r="S106" s="3">
        <f>IFERROR(HLOOKUP(S$1,Data!$1:$149,ROW(Bilanço!$A106),0),"")</f>
        <v>0</v>
      </c>
      <c r="T106" s="3">
        <f>IFERROR(HLOOKUP(T$1,Data!$1:$149,ROW(Bilanço!$A106),0),"")</f>
        <v>0</v>
      </c>
      <c r="U106" s="3">
        <f>IFERROR(HLOOKUP(U$1,Data!$1:$149,ROW(Bilanço!$A106),0),"")</f>
        <v>0</v>
      </c>
      <c r="V106" s="3">
        <f>IFERROR(HLOOKUP(V$1,Data!$1:$149,ROW(Bilanço!$A106),0),"")</f>
        <v>0</v>
      </c>
      <c r="W106" s="3">
        <f>IFERROR(HLOOKUP(W$1,Data!$1:$149,ROW(Bilanço!$A106),0),"")</f>
        <v>0</v>
      </c>
      <c r="X106" s="3">
        <f>IFERROR(HLOOKUP(X$1,Data!$1:$149,ROW(Bilanço!$A106),0),"")</f>
        <v>0</v>
      </c>
    </row>
    <row r="107" spans="1:24" x14ac:dyDescent="0.25">
      <c r="A107" t="str">
        <f>Data!A107</f>
        <v>Durdurulan Faaliyetler Vergi Sonrası Dönem Karı (Zararı)</v>
      </c>
      <c r="B107" s="2">
        <f>IFERROR(HLOOKUP(B$1,Data!$1:$149,ROW(Bilanço!$A107),0),"")</f>
        <v>0</v>
      </c>
      <c r="C107" s="2">
        <f>IFERROR(HLOOKUP(C$1,Data!$1:$149,ROW(Bilanço!$A107),0),"")</f>
        <v>0</v>
      </c>
      <c r="D107" s="2">
        <f>IFERROR(HLOOKUP(D$1,Data!$1:$149,ROW(Bilanço!$A107),0),"")</f>
        <v>0</v>
      </c>
      <c r="E107" s="2">
        <f>IFERROR(HLOOKUP(E$1,Data!$1:$149,ROW(Bilanço!$A107),0),"")</f>
        <v>0</v>
      </c>
      <c r="F107" s="2">
        <f>IFERROR(HLOOKUP(F$1,Data!$1:$149,ROW(Bilanço!$A107),0),"")</f>
        <v>0</v>
      </c>
      <c r="G107" s="2">
        <f>IFERROR(HLOOKUP(G$1,Data!$1:$149,ROW(Bilanço!$A107),0),"")</f>
        <v>0</v>
      </c>
      <c r="H107" s="2">
        <f>IFERROR(HLOOKUP(H$1,Data!$1:$149,ROW(Bilanço!$A107),0),"")</f>
        <v>0</v>
      </c>
      <c r="I107" s="2">
        <f>IFERROR(HLOOKUP(I$1,Data!$1:$149,ROW(Bilanço!$A107),0),"")</f>
        <v>0</v>
      </c>
      <c r="J107" s="3">
        <f>IFERROR(HLOOKUP(J$1,Data!$1:$149,ROW(Bilanço!$A107),0),"")</f>
        <v>0</v>
      </c>
      <c r="K107" s="3">
        <f>IFERROR(HLOOKUP(K$1,Data!$1:$149,ROW(Bilanço!$A107),0),"")</f>
        <v>0</v>
      </c>
      <c r="L107" s="3">
        <f>IFERROR(HLOOKUP(L$1,Data!$1:$149,ROW(Bilanço!$A107),0),"")</f>
        <v>0</v>
      </c>
      <c r="M107" s="3">
        <f>IFERROR(HLOOKUP(M$1,Data!$1:$149,ROW(Bilanço!$A107),0),"")</f>
        <v>0</v>
      </c>
      <c r="N107" s="3">
        <f>IFERROR(HLOOKUP(N$1,Data!$1:$149,ROW(Bilanço!$A107),0),"")</f>
        <v>0</v>
      </c>
      <c r="O107" s="3">
        <f>IFERROR(HLOOKUP(O$1,Data!$1:$149,ROW(Bilanço!$A107),0),"")</f>
        <v>0</v>
      </c>
      <c r="P107" s="3">
        <f>IFERROR(HLOOKUP(P$1,Data!$1:$149,ROW(Bilanço!$A107),0),"")</f>
        <v>0</v>
      </c>
      <c r="Q107" s="3">
        <f>IFERROR(HLOOKUP(Q$1,Data!$1:$149,ROW(Bilanço!$A107),0),"")</f>
        <v>0</v>
      </c>
      <c r="R107" s="3">
        <f>IFERROR(HLOOKUP(R$1,Data!$1:$149,ROW(Bilanço!$A107),0),"")</f>
        <v>0</v>
      </c>
      <c r="S107" s="3">
        <f>IFERROR(HLOOKUP(S$1,Data!$1:$149,ROW(Bilanço!$A107),0),"")</f>
        <v>0</v>
      </c>
      <c r="T107" s="3">
        <f>IFERROR(HLOOKUP(T$1,Data!$1:$149,ROW(Bilanço!$A107),0),"")</f>
        <v>0</v>
      </c>
      <c r="U107" s="3">
        <f>IFERROR(HLOOKUP(U$1,Data!$1:$149,ROW(Bilanço!$A107),0),"")</f>
        <v>0</v>
      </c>
      <c r="V107" s="3">
        <f>IFERROR(HLOOKUP(V$1,Data!$1:$149,ROW(Bilanço!$A107),0),"")</f>
        <v>0</v>
      </c>
      <c r="W107" s="3">
        <f>IFERROR(HLOOKUP(W$1,Data!$1:$149,ROW(Bilanço!$A107),0),"")</f>
        <v>0</v>
      </c>
      <c r="X107" s="3">
        <f>IFERROR(HLOOKUP(X$1,Data!$1:$149,ROW(Bilanço!$A107),0),"")</f>
        <v>0</v>
      </c>
    </row>
    <row r="108" spans="1:24" x14ac:dyDescent="0.25">
      <c r="A108" t="str">
        <f>Data!A108</f>
        <v>DÖNEM KARI (ZARARI)</v>
      </c>
      <c r="B108" s="2">
        <f>IFERROR(HLOOKUP(B$1,Data!$1:$149,ROW(Bilanço!$A108),0),"")</f>
        <v>-44143000</v>
      </c>
      <c r="C108" s="2">
        <f>IFERROR(HLOOKUP(C$1,Data!$1:$149,ROW(Bilanço!$A108),0),"")</f>
        <v>495331000</v>
      </c>
      <c r="D108" s="2">
        <f>IFERROR(HLOOKUP(D$1,Data!$1:$149,ROW(Bilanço!$A108),0),"")</f>
        <v>820971000</v>
      </c>
      <c r="E108" s="2">
        <f>IFERROR(HLOOKUP(E$1,Data!$1:$149,ROW(Bilanço!$A108),0),"")</f>
        <v>1268565000</v>
      </c>
      <c r="F108" s="2">
        <f>IFERROR(HLOOKUP(F$1,Data!$1:$149,ROW(Bilanço!$A108),0),"")</f>
        <v>492976000</v>
      </c>
      <c r="G108" s="2">
        <f>IFERROR(HLOOKUP(G$1,Data!$1:$149,ROW(Bilanço!$A108),0),"")</f>
        <v>740039000</v>
      </c>
      <c r="H108" s="2">
        <f>IFERROR(HLOOKUP(H$1,Data!$1:$149,ROW(Bilanço!$A108),0),"")</f>
        <v>773243000</v>
      </c>
      <c r="I108" s="2">
        <f>IFERROR(HLOOKUP(I$1,Data!$1:$149,ROW(Bilanço!$A108),0),"")</f>
        <v>-162419000</v>
      </c>
      <c r="J108" s="3">
        <f>IFERROR(HLOOKUP(J$1,Data!$1:$149,ROW(Bilanço!$A108),0),"")</f>
        <v>-331056000</v>
      </c>
      <c r="K108" s="3">
        <f>IFERROR(HLOOKUP(K$1,Data!$1:$149,ROW(Bilanço!$A108),0),"")</f>
        <v>-885691000</v>
      </c>
      <c r="L108" s="3">
        <f>IFERROR(HLOOKUP(L$1,Data!$1:$149,ROW(Bilanço!$A108),0),"")</f>
        <v>-985793000</v>
      </c>
      <c r="M108" s="3">
        <f>IFERROR(HLOOKUP(M$1,Data!$1:$149,ROW(Bilanço!$A108),0),"")</f>
        <v>1429506000</v>
      </c>
      <c r="N108" s="3">
        <f>IFERROR(HLOOKUP(N$1,Data!$1:$149,ROW(Bilanço!$A108),0),"")</f>
        <v>2699513000</v>
      </c>
      <c r="O108" s="3">
        <f>IFERROR(HLOOKUP(O$1,Data!$1:$149,ROW(Bilanço!$A108),0),"")</f>
        <v>679997000</v>
      </c>
      <c r="P108" s="3">
        <f>IFERROR(HLOOKUP(P$1,Data!$1:$149,ROW(Bilanço!$A108),0),"")</f>
        <v>4069401000</v>
      </c>
      <c r="Q108" s="3">
        <f>IFERROR(HLOOKUP(Q$1,Data!$1:$149,ROW(Bilanço!$A108),0),"")</f>
        <v>6096775000</v>
      </c>
      <c r="R108" s="3">
        <f>IFERROR(HLOOKUP(R$1,Data!$1:$149,ROW(Bilanço!$A108),0),"")</f>
        <v>3426471000</v>
      </c>
      <c r="S108" s="3">
        <f>IFERROR(HLOOKUP(S$1,Data!$1:$149,ROW(Bilanço!$A108),0),"")</f>
        <v>5434480000</v>
      </c>
      <c r="T108" s="3">
        <f>IFERROR(HLOOKUP(T$1,Data!$1:$149,ROW(Bilanço!$A108),0),"")</f>
        <v>6520735000</v>
      </c>
      <c r="U108" s="3">
        <f>IFERROR(HLOOKUP(U$1,Data!$1:$149,ROW(Bilanço!$A108),0),"")</f>
        <v>10054568716</v>
      </c>
      <c r="V108" s="3">
        <f>IFERROR(HLOOKUP(V$1,Data!$1:$149,ROW(Bilanço!$A108),0),"")</f>
        <v>2579045000</v>
      </c>
      <c r="W108" s="3">
        <f>IFERROR(HLOOKUP(W$1,Data!$1:$149,ROW(Bilanço!$A108),0),"")</f>
        <v>3490138000</v>
      </c>
      <c r="X108" s="3">
        <f>IFERROR(HLOOKUP(X$1,Data!$1:$149,ROW(Bilanço!$A108),0),"")</f>
        <v>4855032000</v>
      </c>
    </row>
    <row r="109" spans="1:24" x14ac:dyDescent="0.25">
      <c r="A109" t="str">
        <f>Data!A109</f>
        <v>Dönem Kar/Zararının Dağılımı</v>
      </c>
      <c r="B109" s="2">
        <f>IFERROR(HLOOKUP(B$1,Data!$1:$149,ROW(Bilanço!$A109),0),"")</f>
        <v>0</v>
      </c>
      <c r="C109" s="2">
        <f>IFERROR(HLOOKUP(C$1,Data!$1:$149,ROW(Bilanço!$A109),0),"")</f>
        <v>0</v>
      </c>
      <c r="D109" s="2">
        <f>IFERROR(HLOOKUP(D$1,Data!$1:$149,ROW(Bilanço!$A109),0),"")</f>
        <v>0</v>
      </c>
      <c r="E109" s="2">
        <f>IFERROR(HLOOKUP(E$1,Data!$1:$149,ROW(Bilanço!$A109),0),"")</f>
        <v>0</v>
      </c>
      <c r="F109" s="2">
        <f>IFERROR(HLOOKUP(F$1,Data!$1:$149,ROW(Bilanço!$A109),0),"")</f>
        <v>0</v>
      </c>
      <c r="G109" s="2">
        <f>IFERROR(HLOOKUP(G$1,Data!$1:$149,ROW(Bilanço!$A109),0),"")</f>
        <v>0</v>
      </c>
      <c r="H109" s="2">
        <f>IFERROR(HLOOKUP(H$1,Data!$1:$149,ROW(Bilanço!$A109),0),"")</f>
        <v>0</v>
      </c>
      <c r="I109" s="2">
        <f>IFERROR(HLOOKUP(I$1,Data!$1:$149,ROW(Bilanço!$A109),0),"")</f>
        <v>0</v>
      </c>
      <c r="J109" s="3">
        <f>IFERROR(HLOOKUP(J$1,Data!$1:$149,ROW(Bilanço!$A109),0),"")</f>
        <v>0</v>
      </c>
      <c r="K109" s="3">
        <f>IFERROR(HLOOKUP(K$1,Data!$1:$149,ROW(Bilanço!$A109),0),"")</f>
        <v>0</v>
      </c>
      <c r="L109" s="3">
        <f>IFERROR(HLOOKUP(L$1,Data!$1:$149,ROW(Bilanço!$A109),0),"")</f>
        <v>0</v>
      </c>
      <c r="M109" s="3">
        <f>IFERROR(HLOOKUP(M$1,Data!$1:$149,ROW(Bilanço!$A109),0),"")</f>
        <v>0</v>
      </c>
      <c r="N109" s="3">
        <f>IFERROR(HLOOKUP(N$1,Data!$1:$149,ROW(Bilanço!$A109),0),"")</f>
        <v>0</v>
      </c>
      <c r="O109" s="3">
        <f>IFERROR(HLOOKUP(O$1,Data!$1:$149,ROW(Bilanço!$A109),0),"")</f>
        <v>0</v>
      </c>
      <c r="P109" s="3">
        <f>IFERROR(HLOOKUP(P$1,Data!$1:$149,ROW(Bilanço!$A109),0),"")</f>
        <v>0</v>
      </c>
      <c r="Q109" s="3">
        <f>IFERROR(HLOOKUP(Q$1,Data!$1:$149,ROW(Bilanço!$A109),0),"")</f>
        <v>0</v>
      </c>
      <c r="R109" s="3">
        <f>IFERROR(HLOOKUP(R$1,Data!$1:$149,ROW(Bilanço!$A109),0),"")</f>
        <v>0</v>
      </c>
      <c r="S109" s="3">
        <f>IFERROR(HLOOKUP(S$1,Data!$1:$149,ROW(Bilanço!$A109),0),"")</f>
        <v>0</v>
      </c>
      <c r="T109" s="3">
        <f>IFERROR(HLOOKUP(T$1,Data!$1:$149,ROW(Bilanço!$A109),0),"")</f>
        <v>0</v>
      </c>
      <c r="U109" s="3">
        <f>IFERROR(HLOOKUP(U$1,Data!$1:$149,ROW(Bilanço!$A109),0),"")</f>
        <v>0</v>
      </c>
      <c r="V109" s="3">
        <f>IFERROR(HLOOKUP(V$1,Data!$1:$149,ROW(Bilanço!$A109),0),"")</f>
        <v>0</v>
      </c>
      <c r="W109" s="3">
        <f>IFERROR(HLOOKUP(W$1,Data!$1:$149,ROW(Bilanço!$A109),0),"")</f>
        <v>0</v>
      </c>
      <c r="X109" s="3">
        <f>IFERROR(HLOOKUP(X$1,Data!$1:$149,ROW(Bilanço!$A109),0),"")</f>
        <v>0</v>
      </c>
    </row>
    <row r="110" spans="1:24" x14ac:dyDescent="0.25">
      <c r="A110" t="str">
        <f>Data!A110</f>
        <v>Azınlık Payları</v>
      </c>
      <c r="B110" s="2">
        <f>IFERROR(HLOOKUP(B$1,Data!$1:$149,ROW(Bilanço!$A110),0),"")</f>
        <v>54149000</v>
      </c>
      <c r="C110" s="2">
        <f>IFERROR(HLOOKUP(C$1,Data!$1:$149,ROW(Bilanço!$A110),0),"")</f>
        <v>89180000</v>
      </c>
      <c r="D110" s="2">
        <f>IFERROR(HLOOKUP(D$1,Data!$1:$149,ROW(Bilanço!$A110),0),"")</f>
        <v>139438000</v>
      </c>
      <c r="E110" s="2">
        <f>IFERROR(HLOOKUP(E$1,Data!$1:$149,ROW(Bilanço!$A110),0),"")</f>
        <v>187171000</v>
      </c>
      <c r="F110" s="2">
        <f>IFERROR(HLOOKUP(F$1,Data!$1:$149,ROW(Bilanço!$A110),0),"")</f>
        <v>61829000</v>
      </c>
      <c r="G110" s="2">
        <f>IFERROR(HLOOKUP(G$1,Data!$1:$149,ROW(Bilanço!$A110),0),"")</f>
        <v>87842000</v>
      </c>
      <c r="H110" s="2">
        <f>IFERROR(HLOOKUP(H$1,Data!$1:$149,ROW(Bilanço!$A110),0),"")</f>
        <v>118589000</v>
      </c>
      <c r="I110" s="2">
        <f>IFERROR(HLOOKUP(I$1,Data!$1:$149,ROW(Bilanço!$A110),0),"")</f>
        <v>301913000</v>
      </c>
      <c r="J110" s="3">
        <f>IFERROR(HLOOKUP(J$1,Data!$1:$149,ROW(Bilanço!$A110),0),"")</f>
        <v>139649000</v>
      </c>
      <c r="K110" s="3">
        <f>IFERROR(HLOOKUP(K$1,Data!$1:$149,ROW(Bilanço!$A110),0),"")</f>
        <v>233649000</v>
      </c>
      <c r="L110" s="3">
        <f>IFERROR(HLOOKUP(L$1,Data!$1:$149,ROW(Bilanço!$A110),0),"")</f>
        <v>350625000</v>
      </c>
      <c r="M110" s="3">
        <f>IFERROR(HLOOKUP(M$1,Data!$1:$149,ROW(Bilanço!$A110),0),"")</f>
        <v>444713000</v>
      </c>
      <c r="N110" s="3">
        <f>IFERROR(HLOOKUP(N$1,Data!$1:$149,ROW(Bilanço!$A110),0),"")</f>
        <v>286580000</v>
      </c>
      <c r="O110" s="3">
        <f>IFERROR(HLOOKUP(O$1,Data!$1:$149,ROW(Bilanço!$A110),0),"")</f>
        <v>743657000</v>
      </c>
      <c r="P110" s="3">
        <f>IFERROR(HLOOKUP(P$1,Data!$1:$149,ROW(Bilanço!$A110),0),"")</f>
        <v>1080658000</v>
      </c>
      <c r="Q110" s="3">
        <f>IFERROR(HLOOKUP(Q$1,Data!$1:$149,ROW(Bilanço!$A110),0),"")</f>
        <v>1218392000</v>
      </c>
      <c r="R110" s="3">
        <f>IFERROR(HLOOKUP(R$1,Data!$1:$149,ROW(Bilanço!$A110),0),"")</f>
        <v>433337000</v>
      </c>
      <c r="S110" s="3">
        <f>IFERROR(HLOOKUP(S$1,Data!$1:$149,ROW(Bilanço!$A110),0),"")</f>
        <v>559472000</v>
      </c>
      <c r="T110" s="3">
        <f>IFERROR(HLOOKUP(T$1,Data!$1:$149,ROW(Bilanço!$A110),0),"")</f>
        <v>652765000</v>
      </c>
      <c r="U110" s="3">
        <f>IFERROR(HLOOKUP(U$1,Data!$1:$149,ROW(Bilanço!$A110),0),"")</f>
        <v>772129491</v>
      </c>
      <c r="V110" s="3">
        <f>IFERROR(HLOOKUP(V$1,Data!$1:$149,ROW(Bilanço!$A110),0),"")</f>
        <v>165677000</v>
      </c>
      <c r="W110" s="3">
        <f>IFERROR(HLOOKUP(W$1,Data!$1:$149,ROW(Bilanço!$A110),0),"")</f>
        <v>210225000</v>
      </c>
      <c r="X110" s="3">
        <f>IFERROR(HLOOKUP(X$1,Data!$1:$149,ROW(Bilanço!$A110),0),"")</f>
        <v>261516000</v>
      </c>
    </row>
    <row r="111" spans="1:24" x14ac:dyDescent="0.25">
      <c r="A111" t="str">
        <f>Data!A111</f>
        <v>Ana Ortaklık Payları</v>
      </c>
      <c r="B111" s="2">
        <f>IFERROR(HLOOKUP(B$1,Data!$1:$149,ROW(Bilanço!$A111),0),"")</f>
        <v>-98292000</v>
      </c>
      <c r="C111" s="2">
        <f>IFERROR(HLOOKUP(C$1,Data!$1:$149,ROW(Bilanço!$A111),0),"")</f>
        <v>406151000</v>
      </c>
      <c r="D111" s="2">
        <f>IFERROR(HLOOKUP(D$1,Data!$1:$149,ROW(Bilanço!$A111),0),"")</f>
        <v>681533000</v>
      </c>
      <c r="E111" s="2">
        <f>IFERROR(HLOOKUP(E$1,Data!$1:$149,ROW(Bilanço!$A111),0),"")</f>
        <v>1081394000</v>
      </c>
      <c r="F111" s="2">
        <f>IFERROR(HLOOKUP(F$1,Data!$1:$149,ROW(Bilanço!$A111),0),"")</f>
        <v>431147000</v>
      </c>
      <c r="G111" s="2">
        <f>IFERROR(HLOOKUP(G$1,Data!$1:$149,ROW(Bilanço!$A111),0),"")</f>
        <v>652197000</v>
      </c>
      <c r="H111" s="2">
        <f>IFERROR(HLOOKUP(H$1,Data!$1:$149,ROW(Bilanço!$A111),0),"")</f>
        <v>654654000</v>
      </c>
      <c r="I111" s="2">
        <f>IFERROR(HLOOKUP(I$1,Data!$1:$149,ROW(Bilanço!$A111),0),"")</f>
        <v>-464332000</v>
      </c>
      <c r="J111" s="3">
        <f>IFERROR(HLOOKUP(J$1,Data!$1:$149,ROW(Bilanço!$A111),0),"")</f>
        <v>-470705000</v>
      </c>
      <c r="K111" s="3">
        <f>IFERROR(HLOOKUP(K$1,Data!$1:$149,ROW(Bilanço!$A111),0),"")</f>
        <v>-1119340000</v>
      </c>
      <c r="L111" s="3">
        <f>IFERROR(HLOOKUP(L$1,Data!$1:$149,ROW(Bilanço!$A111),0),"")</f>
        <v>-1336418000</v>
      </c>
      <c r="M111" s="3">
        <f>IFERROR(HLOOKUP(M$1,Data!$1:$149,ROW(Bilanço!$A111),0),"")</f>
        <v>984793000</v>
      </c>
      <c r="N111" s="3">
        <f>IFERROR(HLOOKUP(N$1,Data!$1:$149,ROW(Bilanço!$A111),0),"")</f>
        <v>2412933000</v>
      </c>
      <c r="O111" s="3">
        <f>IFERROR(HLOOKUP(O$1,Data!$1:$149,ROW(Bilanço!$A111),0),"")</f>
        <v>-63660000</v>
      </c>
      <c r="P111" s="3">
        <f>IFERROR(HLOOKUP(P$1,Data!$1:$149,ROW(Bilanço!$A111),0),"")</f>
        <v>2988743000</v>
      </c>
      <c r="Q111" s="3">
        <f>IFERROR(HLOOKUP(Q$1,Data!$1:$149,ROW(Bilanço!$A111),0),"")</f>
        <v>4878383000</v>
      </c>
      <c r="R111" s="3">
        <f>IFERROR(HLOOKUP(R$1,Data!$1:$149,ROW(Bilanço!$A111),0),"")</f>
        <v>2993134000</v>
      </c>
      <c r="S111" s="3">
        <f>IFERROR(HLOOKUP(S$1,Data!$1:$149,ROW(Bilanço!$A111),0),"")</f>
        <v>4875008000</v>
      </c>
      <c r="T111" s="3">
        <f>IFERROR(HLOOKUP(T$1,Data!$1:$149,ROW(Bilanço!$A111),0),"")</f>
        <v>5867970000</v>
      </c>
      <c r="U111" s="3">
        <f>IFERROR(HLOOKUP(U$1,Data!$1:$149,ROW(Bilanço!$A111),0),"")</f>
        <v>9282439224</v>
      </c>
      <c r="V111" s="3">
        <f>IFERROR(HLOOKUP(V$1,Data!$1:$149,ROW(Bilanço!$A111),0),"")</f>
        <v>2413368000</v>
      </c>
      <c r="W111" s="3">
        <f>IFERROR(HLOOKUP(W$1,Data!$1:$149,ROW(Bilanço!$A111),0),"")</f>
        <v>3279913000</v>
      </c>
      <c r="X111" s="3">
        <f>IFERROR(HLOOKUP(X$1,Data!$1:$149,ROW(Bilanço!$A111),0),"")</f>
        <v>4593516000</v>
      </c>
    </row>
    <row r="112" spans="1:24" x14ac:dyDescent="0.25">
      <c r="A112" t="str">
        <f>Data!A112</f>
        <v>Hisse Başına Kazanç</v>
      </c>
      <c r="B112" s="2">
        <f>IFERROR(HLOOKUP(B$1,Data!$1:$149,ROW(Bilanço!$A112),0),"")</f>
        <v>0</v>
      </c>
      <c r="C112" s="2">
        <f>IFERROR(HLOOKUP(C$1,Data!$1:$149,ROW(Bilanço!$A112),0),"")</f>
        <v>1</v>
      </c>
      <c r="D112" s="2">
        <f>IFERROR(HLOOKUP(D$1,Data!$1:$149,ROW(Bilanço!$A112),0),"")</f>
        <v>2</v>
      </c>
      <c r="E112" s="2">
        <f>IFERROR(HLOOKUP(E$1,Data!$1:$149,ROW(Bilanço!$A112),0),"")</f>
        <v>3</v>
      </c>
      <c r="F112" s="2">
        <f>IFERROR(HLOOKUP(F$1,Data!$1:$149,ROW(Bilanço!$A112),0),"")</f>
        <v>1</v>
      </c>
      <c r="G112" s="2">
        <f>IFERROR(HLOOKUP(G$1,Data!$1:$149,ROW(Bilanço!$A112),0),"")</f>
        <v>2</v>
      </c>
      <c r="H112" s="2">
        <f>IFERROR(HLOOKUP(H$1,Data!$1:$149,ROW(Bilanço!$A112),0),"")</f>
        <v>2</v>
      </c>
      <c r="I112" s="2">
        <f>IFERROR(HLOOKUP(I$1,Data!$1:$149,ROW(Bilanço!$A112),0),"")</f>
        <v>-1</v>
      </c>
      <c r="J112" s="3">
        <f>IFERROR(HLOOKUP(J$1,Data!$1:$149,ROW(Bilanço!$A112),0),"")</f>
        <v>-1</v>
      </c>
      <c r="K112" s="3">
        <f>IFERROR(HLOOKUP(K$1,Data!$1:$149,ROW(Bilanço!$A112),0),"")</f>
        <v>-3</v>
      </c>
      <c r="L112" s="3">
        <f>IFERROR(HLOOKUP(L$1,Data!$1:$149,ROW(Bilanço!$A112),0),"")</f>
        <v>-4</v>
      </c>
      <c r="M112" s="3">
        <f>IFERROR(HLOOKUP(M$1,Data!$1:$149,ROW(Bilanço!$A112),0),"")</f>
        <v>3</v>
      </c>
      <c r="N112" s="3">
        <f>IFERROR(HLOOKUP(N$1,Data!$1:$149,ROW(Bilanço!$A112),0),"")</f>
        <v>7</v>
      </c>
      <c r="O112" s="3">
        <f>IFERROR(HLOOKUP(O$1,Data!$1:$149,ROW(Bilanço!$A112),0),"")</f>
        <v>0</v>
      </c>
      <c r="P112" s="3">
        <f>IFERROR(HLOOKUP(P$1,Data!$1:$149,ROW(Bilanço!$A112),0),"")</f>
        <v>8</v>
      </c>
      <c r="Q112" s="3">
        <f>IFERROR(HLOOKUP(Q$1,Data!$1:$149,ROW(Bilanço!$A112),0),"")</f>
        <v>13</v>
      </c>
      <c r="R112" s="3">
        <f>IFERROR(HLOOKUP(R$1,Data!$1:$149,ROW(Bilanço!$A112),0),"")</f>
        <v>8</v>
      </c>
      <c r="S112" s="3">
        <f>IFERROR(HLOOKUP(S$1,Data!$1:$149,ROW(Bilanço!$A112),0),"")</f>
        <v>13</v>
      </c>
      <c r="T112" s="3">
        <f>IFERROR(HLOOKUP(T$1,Data!$1:$149,ROW(Bilanço!$A112),0),"")</f>
        <v>16</v>
      </c>
      <c r="U112" s="3">
        <f>IFERROR(HLOOKUP(U$1,Data!$1:$149,ROW(Bilanço!$A112),0),"")</f>
        <v>25</v>
      </c>
      <c r="V112" s="3">
        <f>IFERROR(HLOOKUP(V$1,Data!$1:$149,ROW(Bilanço!$A112),0),"")</f>
        <v>7</v>
      </c>
      <c r="W112" s="3">
        <f>IFERROR(HLOOKUP(W$1,Data!$1:$149,ROW(Bilanço!$A112),0),"")</f>
        <v>9</v>
      </c>
      <c r="X112" s="3">
        <f>IFERROR(HLOOKUP(X$1,Data!$1:$149,ROW(Bilanço!$A112),0),"")</f>
        <v>12</v>
      </c>
    </row>
    <row r="113" spans="1:24" x14ac:dyDescent="0.25">
      <c r="A113" t="str">
        <f>Data!A113</f>
        <v>Seyreltilmiş Hisse Başına Kazanç</v>
      </c>
      <c r="B113" s="2">
        <f>IFERROR(HLOOKUP(B$1,Data!$1:$149,ROW(Bilanço!$A113),0),"")</f>
        <v>0</v>
      </c>
      <c r="C113" s="2">
        <f>IFERROR(HLOOKUP(C$1,Data!$1:$149,ROW(Bilanço!$A113),0),"")</f>
        <v>0</v>
      </c>
      <c r="D113" s="2">
        <f>IFERROR(HLOOKUP(D$1,Data!$1:$149,ROW(Bilanço!$A113),0),"")</f>
        <v>0</v>
      </c>
      <c r="E113" s="2">
        <f>IFERROR(HLOOKUP(E$1,Data!$1:$149,ROW(Bilanço!$A113),0),"")</f>
        <v>0</v>
      </c>
      <c r="F113" s="2">
        <f>IFERROR(HLOOKUP(F$1,Data!$1:$149,ROW(Bilanço!$A113),0),"")</f>
        <v>0</v>
      </c>
      <c r="G113" s="2">
        <f>IFERROR(HLOOKUP(G$1,Data!$1:$149,ROW(Bilanço!$A113),0),"")</f>
        <v>0</v>
      </c>
      <c r="H113" s="2">
        <f>IFERROR(HLOOKUP(H$1,Data!$1:$149,ROW(Bilanço!$A113),0),"")</f>
        <v>0</v>
      </c>
      <c r="I113" s="2">
        <f>IFERROR(HLOOKUP(I$1,Data!$1:$149,ROW(Bilanço!$A113),0),"")</f>
        <v>0</v>
      </c>
      <c r="J113" s="3">
        <f>IFERROR(HLOOKUP(J$1,Data!$1:$149,ROW(Bilanço!$A113),0),"")</f>
        <v>0</v>
      </c>
      <c r="K113" s="3">
        <f>IFERROR(HLOOKUP(K$1,Data!$1:$149,ROW(Bilanço!$A113),0),"")</f>
        <v>0</v>
      </c>
      <c r="L113" s="3">
        <f>IFERROR(HLOOKUP(L$1,Data!$1:$149,ROW(Bilanço!$A113),0),"")</f>
        <v>0</v>
      </c>
      <c r="M113" s="3">
        <f>IFERROR(HLOOKUP(M$1,Data!$1:$149,ROW(Bilanço!$A113),0),"")</f>
        <v>0</v>
      </c>
      <c r="N113" s="3">
        <f>IFERROR(HLOOKUP(N$1,Data!$1:$149,ROW(Bilanço!$A113),0),"")</f>
        <v>0</v>
      </c>
      <c r="O113" s="3">
        <f>IFERROR(HLOOKUP(O$1,Data!$1:$149,ROW(Bilanço!$A113),0),"")</f>
        <v>0</v>
      </c>
      <c r="P113" s="3">
        <f>IFERROR(HLOOKUP(P$1,Data!$1:$149,ROW(Bilanço!$A113),0),"")</f>
        <v>8</v>
      </c>
      <c r="Q113" s="3">
        <f>IFERROR(HLOOKUP(Q$1,Data!$1:$149,ROW(Bilanço!$A113),0),"")</f>
        <v>13</v>
      </c>
      <c r="R113" s="3">
        <f>IFERROR(HLOOKUP(R$1,Data!$1:$149,ROW(Bilanço!$A113),0),"")</f>
        <v>8</v>
      </c>
      <c r="S113" s="3">
        <f>IFERROR(HLOOKUP(S$1,Data!$1:$149,ROW(Bilanço!$A113),0),"")</f>
        <v>13</v>
      </c>
      <c r="T113" s="3">
        <f>IFERROR(HLOOKUP(T$1,Data!$1:$149,ROW(Bilanço!$A113),0),"")</f>
        <v>16</v>
      </c>
      <c r="U113" s="3">
        <f>IFERROR(HLOOKUP(U$1,Data!$1:$149,ROW(Bilanço!$A113),0),"")</f>
        <v>25</v>
      </c>
      <c r="V113" s="3">
        <f>IFERROR(HLOOKUP(V$1,Data!$1:$149,ROW(Bilanço!$A113),0),"")</f>
        <v>7</v>
      </c>
      <c r="W113" s="3">
        <f>IFERROR(HLOOKUP(W$1,Data!$1:$149,ROW(Bilanço!$A113),0),"")</f>
        <v>9</v>
      </c>
      <c r="X113" s="3">
        <f>IFERROR(HLOOKUP(X$1,Data!$1:$149,ROW(Bilanço!$A113),0),"")</f>
        <v>12</v>
      </c>
    </row>
    <row r="114" spans="1:24" x14ac:dyDescent="0.25">
      <c r="A114" t="str">
        <f>Data!A114</f>
        <v>Sürdürülen Faaliyetlerden Hisse Başına Kazanç</v>
      </c>
      <c r="B114" s="2">
        <f>IFERROR(HLOOKUP(B$1,Data!$1:$149,ROW(Bilanço!$A114),0),"")</f>
        <v>0</v>
      </c>
      <c r="C114" s="2">
        <f>IFERROR(HLOOKUP(C$1,Data!$1:$149,ROW(Bilanço!$A114),0),"")</f>
        <v>0</v>
      </c>
      <c r="D114" s="2">
        <f>IFERROR(HLOOKUP(D$1,Data!$1:$149,ROW(Bilanço!$A114),0),"")</f>
        <v>0</v>
      </c>
      <c r="E114" s="2">
        <f>IFERROR(HLOOKUP(E$1,Data!$1:$149,ROW(Bilanço!$A114),0),"")</f>
        <v>0</v>
      </c>
      <c r="F114" s="2">
        <f>IFERROR(HLOOKUP(F$1,Data!$1:$149,ROW(Bilanço!$A114),0),"")</f>
        <v>0</v>
      </c>
      <c r="G114" s="2">
        <f>IFERROR(HLOOKUP(G$1,Data!$1:$149,ROW(Bilanço!$A114),0),"")</f>
        <v>0</v>
      </c>
      <c r="H114" s="2">
        <f>IFERROR(HLOOKUP(H$1,Data!$1:$149,ROW(Bilanço!$A114),0),"")</f>
        <v>0</v>
      </c>
      <c r="I114" s="2">
        <f>IFERROR(HLOOKUP(I$1,Data!$1:$149,ROW(Bilanço!$A114),0),"")</f>
        <v>0</v>
      </c>
      <c r="J114" s="3">
        <f>IFERROR(HLOOKUP(J$1,Data!$1:$149,ROW(Bilanço!$A114),0),"")</f>
        <v>0</v>
      </c>
      <c r="K114" s="3">
        <f>IFERROR(HLOOKUP(K$1,Data!$1:$149,ROW(Bilanço!$A114),0),"")</f>
        <v>0</v>
      </c>
      <c r="L114" s="3">
        <f>IFERROR(HLOOKUP(L$1,Data!$1:$149,ROW(Bilanço!$A114),0),"")</f>
        <v>0</v>
      </c>
      <c r="M114" s="3">
        <f>IFERROR(HLOOKUP(M$1,Data!$1:$149,ROW(Bilanço!$A114),0),"")</f>
        <v>0</v>
      </c>
      <c r="N114" s="3">
        <f>IFERROR(HLOOKUP(N$1,Data!$1:$149,ROW(Bilanço!$A114),0),"")</f>
        <v>0</v>
      </c>
      <c r="O114" s="3">
        <f>IFERROR(HLOOKUP(O$1,Data!$1:$149,ROW(Bilanço!$A114),0),"")</f>
        <v>0</v>
      </c>
      <c r="P114" s="3">
        <f>IFERROR(HLOOKUP(P$1,Data!$1:$149,ROW(Bilanço!$A114),0),"")</f>
        <v>8</v>
      </c>
      <c r="Q114" s="3">
        <f>IFERROR(HLOOKUP(Q$1,Data!$1:$149,ROW(Bilanço!$A114),0),"")</f>
        <v>13</v>
      </c>
      <c r="R114" s="3">
        <f>IFERROR(HLOOKUP(R$1,Data!$1:$149,ROW(Bilanço!$A114),0),"")</f>
        <v>8</v>
      </c>
      <c r="S114" s="3">
        <f>IFERROR(HLOOKUP(S$1,Data!$1:$149,ROW(Bilanço!$A114),0),"")</f>
        <v>13</v>
      </c>
      <c r="T114" s="3">
        <f>IFERROR(HLOOKUP(T$1,Data!$1:$149,ROW(Bilanço!$A114),0),"")</f>
        <v>16</v>
      </c>
      <c r="U114" s="3">
        <f>IFERROR(HLOOKUP(U$1,Data!$1:$149,ROW(Bilanço!$A114),0),"")</f>
        <v>25</v>
      </c>
      <c r="V114" s="3">
        <f>IFERROR(HLOOKUP(V$1,Data!$1:$149,ROW(Bilanço!$A114),0),"")</f>
        <v>7</v>
      </c>
      <c r="W114" s="3">
        <f>IFERROR(HLOOKUP(W$1,Data!$1:$149,ROW(Bilanço!$A114),0),"")</f>
        <v>9</v>
      </c>
      <c r="X114" s="3">
        <f>IFERROR(HLOOKUP(X$1,Data!$1:$149,ROW(Bilanço!$A114),0),"")</f>
        <v>12</v>
      </c>
    </row>
    <row r="115" spans="1:24" x14ac:dyDescent="0.25">
      <c r="A115" t="str">
        <f>Data!A115</f>
        <v>Sürdürülen Faaliyetlerden Seyreltilmiş Hisse Başına Kazanç</v>
      </c>
      <c r="B115" s="2">
        <f>IFERROR(HLOOKUP(B$1,Data!$1:$149,ROW(Bilanço!$A115),0),"")</f>
        <v>0</v>
      </c>
      <c r="C115" s="2">
        <f>IFERROR(HLOOKUP(C$1,Data!$1:$149,ROW(Bilanço!$A115),0),"")</f>
        <v>0</v>
      </c>
      <c r="D115" s="2">
        <f>IFERROR(HLOOKUP(D$1,Data!$1:$149,ROW(Bilanço!$A115),0),"")</f>
        <v>0</v>
      </c>
      <c r="E115" s="2">
        <f>IFERROR(HLOOKUP(E$1,Data!$1:$149,ROW(Bilanço!$A115),0),"")</f>
        <v>0</v>
      </c>
      <c r="F115" s="2">
        <f>IFERROR(HLOOKUP(F$1,Data!$1:$149,ROW(Bilanço!$A115),0),"")</f>
        <v>0</v>
      </c>
      <c r="G115" s="2">
        <f>IFERROR(HLOOKUP(G$1,Data!$1:$149,ROW(Bilanço!$A115),0),"")</f>
        <v>0</v>
      </c>
      <c r="H115" s="2">
        <f>IFERROR(HLOOKUP(H$1,Data!$1:$149,ROW(Bilanço!$A115),0),"")</f>
        <v>0</v>
      </c>
      <c r="I115" s="2">
        <f>IFERROR(HLOOKUP(I$1,Data!$1:$149,ROW(Bilanço!$A115),0),"")</f>
        <v>0</v>
      </c>
      <c r="J115" s="3">
        <f>IFERROR(HLOOKUP(J$1,Data!$1:$149,ROW(Bilanço!$A115),0),"")</f>
        <v>0</v>
      </c>
      <c r="K115" s="3">
        <f>IFERROR(HLOOKUP(K$1,Data!$1:$149,ROW(Bilanço!$A115),0),"")</f>
        <v>0</v>
      </c>
      <c r="L115" s="3">
        <f>IFERROR(HLOOKUP(L$1,Data!$1:$149,ROW(Bilanço!$A115),0),"")</f>
        <v>0</v>
      </c>
      <c r="M115" s="3">
        <f>IFERROR(HLOOKUP(M$1,Data!$1:$149,ROW(Bilanço!$A115),0),"")</f>
        <v>0</v>
      </c>
      <c r="N115" s="3">
        <f>IFERROR(HLOOKUP(N$1,Data!$1:$149,ROW(Bilanço!$A115),0),"")</f>
        <v>0</v>
      </c>
      <c r="O115" s="3">
        <f>IFERROR(HLOOKUP(O$1,Data!$1:$149,ROW(Bilanço!$A115),0),"")</f>
        <v>0</v>
      </c>
      <c r="P115" s="3">
        <f>IFERROR(HLOOKUP(P$1,Data!$1:$149,ROW(Bilanço!$A115),0),"")</f>
        <v>8</v>
      </c>
      <c r="Q115" s="3">
        <f>IFERROR(HLOOKUP(Q$1,Data!$1:$149,ROW(Bilanço!$A115),0),"")</f>
        <v>13</v>
      </c>
      <c r="R115" s="3">
        <f>IFERROR(HLOOKUP(R$1,Data!$1:$149,ROW(Bilanço!$A115),0),"")</f>
        <v>8</v>
      </c>
      <c r="S115" s="3">
        <f>IFERROR(HLOOKUP(S$1,Data!$1:$149,ROW(Bilanço!$A115),0),"")</f>
        <v>13</v>
      </c>
      <c r="T115" s="3">
        <f>IFERROR(HLOOKUP(T$1,Data!$1:$149,ROW(Bilanço!$A115),0),"")</f>
        <v>16</v>
      </c>
      <c r="U115" s="3">
        <f>IFERROR(HLOOKUP(U$1,Data!$1:$149,ROW(Bilanço!$A115),0),"")</f>
        <v>25</v>
      </c>
      <c r="V115" s="3">
        <f>IFERROR(HLOOKUP(V$1,Data!$1:$149,ROW(Bilanço!$A115),0),"")</f>
        <v>7</v>
      </c>
      <c r="W115" s="3">
        <f>IFERROR(HLOOKUP(W$1,Data!$1:$149,ROW(Bilanço!$A115),0),"")</f>
        <v>9</v>
      </c>
      <c r="X115" s="3">
        <f>IFERROR(HLOOKUP(X$1,Data!$1:$149,ROW(Bilanço!$A115),0),"")</f>
        <v>12</v>
      </c>
    </row>
    <row r="116" spans="1:24" x14ac:dyDescent="0.25">
      <c r="A116" t="str">
        <f>Data!A116</f>
        <v>Amortisman Giderleri</v>
      </c>
      <c r="B116" s="2">
        <f>IFERROR(HLOOKUP(B$1,Data!$1:$149,ROW(Bilanço!$A116),0),"")</f>
        <v>44015000</v>
      </c>
      <c r="C116" s="2">
        <f>IFERROR(HLOOKUP(C$1,Data!$1:$149,ROW(Bilanço!$A116),0),"")</f>
        <v>89785000</v>
      </c>
      <c r="D116" s="2">
        <f>IFERROR(HLOOKUP(D$1,Data!$1:$149,ROW(Bilanço!$A116),0),"")</f>
        <v>145813000</v>
      </c>
      <c r="E116" s="2">
        <f>IFERROR(HLOOKUP(E$1,Data!$1:$149,ROW(Bilanço!$A116),0),"")</f>
        <v>199294000</v>
      </c>
      <c r="F116" s="2">
        <f>IFERROR(HLOOKUP(F$1,Data!$1:$149,ROW(Bilanço!$A116),0),"")</f>
        <v>52972000</v>
      </c>
      <c r="G116" s="2">
        <f>IFERROR(HLOOKUP(G$1,Data!$1:$149,ROW(Bilanço!$A116),0),"")</f>
        <v>109110000</v>
      </c>
      <c r="H116" s="2">
        <f>IFERROR(HLOOKUP(H$1,Data!$1:$149,ROW(Bilanço!$A116),0),"")</f>
        <v>168489000</v>
      </c>
      <c r="I116" s="2">
        <f>IFERROR(HLOOKUP(I$1,Data!$1:$149,ROW(Bilanço!$A116),0),"")</f>
        <v>230009000</v>
      </c>
      <c r="J116" s="3">
        <f>IFERROR(HLOOKUP(J$1,Data!$1:$149,ROW(Bilanço!$A116),0),"")</f>
        <v>78065000</v>
      </c>
      <c r="K116" s="3">
        <f>IFERROR(HLOOKUP(K$1,Data!$1:$149,ROW(Bilanço!$A116),0),"")</f>
        <v>161554000</v>
      </c>
      <c r="L116" s="3">
        <f>IFERROR(HLOOKUP(L$1,Data!$1:$149,ROW(Bilanço!$A116),0),"")</f>
        <v>250409000</v>
      </c>
      <c r="M116" s="3">
        <f>IFERROR(HLOOKUP(M$1,Data!$1:$149,ROW(Bilanço!$A116),0),"")</f>
        <v>1167767000</v>
      </c>
      <c r="N116" s="3">
        <f>IFERROR(HLOOKUP(N$1,Data!$1:$149,ROW(Bilanço!$A116),0),"")</f>
        <v>360836000</v>
      </c>
      <c r="O116" s="3">
        <f>IFERROR(HLOOKUP(O$1,Data!$1:$149,ROW(Bilanço!$A116),0),"")</f>
        <v>776516000</v>
      </c>
      <c r="P116" s="3">
        <f>IFERROR(HLOOKUP(P$1,Data!$1:$149,ROW(Bilanço!$A116),0),"")</f>
        <v>1230234000</v>
      </c>
      <c r="Q116" s="3">
        <f>IFERROR(HLOOKUP(Q$1,Data!$1:$149,ROW(Bilanço!$A116),0),"")</f>
        <v>1709601000</v>
      </c>
      <c r="R116" s="3">
        <f>IFERROR(HLOOKUP(R$1,Data!$1:$149,ROW(Bilanço!$A116),0),"")</f>
        <v>520654000</v>
      </c>
      <c r="S116" s="3">
        <f>IFERROR(HLOOKUP(S$1,Data!$1:$149,ROW(Bilanço!$A116),0),"")</f>
        <v>1047090000</v>
      </c>
      <c r="T116" s="3">
        <f>IFERROR(HLOOKUP(T$1,Data!$1:$149,ROW(Bilanço!$A116),0),"")</f>
        <v>1631880000</v>
      </c>
      <c r="U116" s="3">
        <f>IFERROR(HLOOKUP(U$1,Data!$1:$149,ROW(Bilanço!$A116),0),"")</f>
        <v>2283603688</v>
      </c>
      <c r="V116" s="3">
        <f>IFERROR(HLOOKUP(V$1,Data!$1:$149,ROW(Bilanço!$A116),0),"")</f>
        <v>520989000</v>
      </c>
      <c r="W116" s="3">
        <f>IFERROR(HLOOKUP(W$1,Data!$1:$149,ROW(Bilanço!$A116),0),"")</f>
        <v>1065995000</v>
      </c>
      <c r="X116" s="3">
        <f>IFERROR(HLOOKUP(X$1,Data!$1:$149,ROW(Bilanço!$A116),0),"")</f>
        <v>1770984000</v>
      </c>
    </row>
    <row r="117" spans="1:24" x14ac:dyDescent="0.25">
      <c r="A117" t="str">
        <f>Data!A117</f>
        <v>Kıdem Tazminatı</v>
      </c>
      <c r="B117" s="2">
        <f>IFERROR(HLOOKUP(B$1,Data!$1:$149,ROW(Bilanço!$A117),0),"")</f>
        <v>13491000</v>
      </c>
      <c r="C117" s="2">
        <f>IFERROR(HLOOKUP(C$1,Data!$1:$149,ROW(Bilanço!$A117),0),"")</f>
        <v>25718000</v>
      </c>
      <c r="D117" s="2">
        <f>IFERROR(HLOOKUP(D$1,Data!$1:$149,ROW(Bilanço!$A117),0),"")</f>
        <v>48416000</v>
      </c>
      <c r="E117" s="2">
        <f>IFERROR(HLOOKUP(E$1,Data!$1:$149,ROW(Bilanço!$A117),0),"")</f>
        <v>42536000</v>
      </c>
      <c r="F117" s="2">
        <f>IFERROR(HLOOKUP(F$1,Data!$1:$149,ROW(Bilanço!$A117),0),"")</f>
        <v>23999000</v>
      </c>
      <c r="G117" s="2">
        <f>IFERROR(HLOOKUP(G$1,Data!$1:$149,ROW(Bilanço!$A117),0),"")</f>
        <v>48549000</v>
      </c>
      <c r="H117" s="2">
        <f>IFERROR(HLOOKUP(H$1,Data!$1:$149,ROW(Bilanço!$A117),0),"")</f>
        <v>69835000</v>
      </c>
      <c r="I117" s="2">
        <f>IFERROR(HLOOKUP(I$1,Data!$1:$149,ROW(Bilanço!$A117),0),"")</f>
        <v>102268000</v>
      </c>
      <c r="J117" s="3">
        <f>IFERROR(HLOOKUP(J$1,Data!$1:$149,ROW(Bilanço!$A117),0),"")</f>
        <v>62079000</v>
      </c>
      <c r="K117" s="3">
        <f>IFERROR(HLOOKUP(K$1,Data!$1:$149,ROW(Bilanço!$A117),0),"")</f>
        <v>0</v>
      </c>
      <c r="L117" s="3">
        <f>IFERROR(HLOOKUP(L$1,Data!$1:$149,ROW(Bilanço!$A117),0),"")</f>
        <v>224262000</v>
      </c>
      <c r="M117" s="3">
        <f>IFERROR(HLOOKUP(M$1,Data!$1:$149,ROW(Bilanço!$A117),0),"")</f>
        <v>164628000</v>
      </c>
      <c r="N117" s="3">
        <f>IFERROR(HLOOKUP(N$1,Data!$1:$149,ROW(Bilanço!$A117),0),"")</f>
        <v>61995000</v>
      </c>
      <c r="O117" s="3">
        <f>IFERROR(HLOOKUP(O$1,Data!$1:$149,ROW(Bilanço!$A117),0),"")</f>
        <v>191746000</v>
      </c>
      <c r="P117" s="3">
        <f>IFERROR(HLOOKUP(P$1,Data!$1:$149,ROW(Bilanço!$A117),0),"")</f>
        <v>311611000</v>
      </c>
      <c r="Q117" s="3">
        <f>IFERROR(HLOOKUP(Q$1,Data!$1:$149,ROW(Bilanço!$A117),0),"")</f>
        <v>221861000</v>
      </c>
      <c r="R117" s="3">
        <f>IFERROR(HLOOKUP(R$1,Data!$1:$149,ROW(Bilanço!$A117),0),"")</f>
        <v>172689000</v>
      </c>
      <c r="S117" s="3">
        <f>IFERROR(HLOOKUP(S$1,Data!$1:$149,ROW(Bilanço!$A117),0),"")</f>
        <v>301319000</v>
      </c>
      <c r="T117" s="3">
        <f>IFERROR(HLOOKUP(T$1,Data!$1:$149,ROW(Bilanço!$A117),0),"")</f>
        <v>432848000</v>
      </c>
      <c r="U117" s="3">
        <f>IFERROR(HLOOKUP(U$1,Data!$1:$149,ROW(Bilanço!$A117),0),"")</f>
        <v>234953450</v>
      </c>
      <c r="V117" s="3">
        <f>IFERROR(HLOOKUP(V$1,Data!$1:$149,ROW(Bilanço!$A117),0),"")</f>
        <v>168023000</v>
      </c>
      <c r="W117" s="3">
        <f>IFERROR(HLOOKUP(W$1,Data!$1:$149,ROW(Bilanço!$A117),0),"")</f>
        <v>343664000</v>
      </c>
      <c r="X117" s="3">
        <f>IFERROR(HLOOKUP(X$1,Data!$1:$149,ROW(Bilanço!$A117),0),"")</f>
        <v>516224000</v>
      </c>
    </row>
    <row r="118" spans="1:24" x14ac:dyDescent="0.25">
      <c r="A118" t="str">
        <f>Data!A118</f>
        <v>Finansman Giderleri</v>
      </c>
      <c r="B118" s="2">
        <f>IFERROR(HLOOKUP(B$1,Data!$1:$149,ROW(Bilanço!$A118),0),"")</f>
        <v>-528393000</v>
      </c>
      <c r="C118" s="2">
        <f>IFERROR(HLOOKUP(C$1,Data!$1:$149,ROW(Bilanço!$A118),0),"")</f>
        <v>-1120446000</v>
      </c>
      <c r="D118" s="2">
        <f>IFERROR(HLOOKUP(D$1,Data!$1:$149,ROW(Bilanço!$A118),0),"")</f>
        <v>-2738080000</v>
      </c>
      <c r="E118" s="2">
        <f>IFERROR(HLOOKUP(E$1,Data!$1:$149,ROW(Bilanço!$A118),0),"")</f>
        <v>-2670960000</v>
      </c>
      <c r="F118" s="2">
        <f>IFERROR(HLOOKUP(F$1,Data!$1:$149,ROW(Bilanço!$A118),0),"")</f>
        <v>-1387968000</v>
      </c>
      <c r="G118" s="2">
        <f>IFERROR(HLOOKUP(G$1,Data!$1:$149,ROW(Bilanço!$A118),0),"")</f>
        <v>-2183458000</v>
      </c>
      <c r="H118" s="2">
        <f>IFERROR(HLOOKUP(H$1,Data!$1:$149,ROW(Bilanço!$A118),0),"")</f>
        <v>-2920628000</v>
      </c>
      <c r="I118" s="2">
        <f>IFERROR(HLOOKUP(I$1,Data!$1:$149,ROW(Bilanço!$A118),0),"")</f>
        <v>-8910373000</v>
      </c>
      <c r="J118" s="3">
        <f>IFERROR(HLOOKUP(J$1,Data!$1:$149,ROW(Bilanço!$A118),0),"")</f>
        <v>-2025085000</v>
      </c>
      <c r="K118" s="3">
        <f>IFERROR(HLOOKUP(K$1,Data!$1:$149,ROW(Bilanço!$A118),0),"")</f>
        <v>-4438036000</v>
      </c>
      <c r="L118" s="3">
        <f>IFERROR(HLOOKUP(L$1,Data!$1:$149,ROW(Bilanço!$A118),0),"")</f>
        <v>-7019178000</v>
      </c>
      <c r="M118" s="3">
        <f>IFERROR(HLOOKUP(M$1,Data!$1:$149,ROW(Bilanço!$A118),0),"")</f>
        <v>-10588785000</v>
      </c>
      <c r="N118" s="3">
        <f>IFERROR(HLOOKUP(N$1,Data!$1:$149,ROW(Bilanço!$A118),0),"")</f>
        <v>-1180678000</v>
      </c>
      <c r="O118" s="3">
        <f>IFERROR(HLOOKUP(O$1,Data!$1:$149,ROW(Bilanço!$A118),0),"")</f>
        <v>-14611614000</v>
      </c>
      <c r="P118" s="3">
        <f>IFERROR(HLOOKUP(P$1,Data!$1:$149,ROW(Bilanço!$A118),0),"")</f>
        <v>-14260483000</v>
      </c>
      <c r="Q118" s="3">
        <f>IFERROR(HLOOKUP(Q$1,Data!$1:$149,ROW(Bilanço!$A118),0),"")</f>
        <v>-19836152000</v>
      </c>
      <c r="R118" s="3">
        <f>IFERROR(HLOOKUP(R$1,Data!$1:$149,ROW(Bilanço!$A118),0),"")</f>
        <v>-2622827000</v>
      </c>
      <c r="S118" s="3">
        <f>IFERROR(HLOOKUP(S$1,Data!$1:$149,ROW(Bilanço!$A118),0),"")</f>
        <v>-4801197000</v>
      </c>
      <c r="T118" s="3">
        <f>IFERROR(HLOOKUP(T$1,Data!$1:$149,ROW(Bilanço!$A118),0),"")</f>
        <v>-9416829000</v>
      </c>
      <c r="U118" s="3">
        <f>IFERROR(HLOOKUP(U$1,Data!$1:$149,ROW(Bilanço!$A118),0),"")</f>
        <v>-11813639664</v>
      </c>
      <c r="V118" s="3">
        <f>IFERROR(HLOOKUP(V$1,Data!$1:$149,ROW(Bilanço!$A118),0),"")</f>
        <v>-4732062000</v>
      </c>
      <c r="W118" s="3">
        <f>IFERROR(HLOOKUP(W$1,Data!$1:$149,ROW(Bilanço!$A118),0),"")</f>
        <v>-10071194000</v>
      </c>
      <c r="X118" s="3">
        <f>IFERROR(HLOOKUP(X$1,Data!$1:$149,ROW(Bilanço!$A118),0),"")</f>
        <v>-15602089000</v>
      </c>
    </row>
    <row r="119" spans="1:24" x14ac:dyDescent="0.25">
      <c r="A119" t="str">
        <f>Data!A119</f>
        <v>Yurtiçi Satışlar</v>
      </c>
      <c r="B119" s="2">
        <f>IFERROR(HLOOKUP(B$1,Data!$1:$149,ROW(Bilanço!$A119),0),"")</f>
        <v>2699695000</v>
      </c>
      <c r="C119" s="2">
        <f>IFERROR(HLOOKUP(C$1,Data!$1:$149,ROW(Bilanço!$A119),0),"")</f>
        <v>4983984000</v>
      </c>
      <c r="D119" s="2">
        <f>IFERROR(HLOOKUP(D$1,Data!$1:$149,ROW(Bilanço!$A119),0),"")</f>
        <v>7549272000</v>
      </c>
      <c r="E119" s="2">
        <f>IFERROR(HLOOKUP(E$1,Data!$1:$149,ROW(Bilanço!$A119),0),"")</f>
        <v>10502249000</v>
      </c>
      <c r="F119" s="2">
        <f>IFERROR(HLOOKUP(F$1,Data!$1:$149,ROW(Bilanço!$A119),0),"")</f>
        <v>3099251000</v>
      </c>
      <c r="G119" s="2">
        <f>IFERROR(HLOOKUP(G$1,Data!$1:$149,ROW(Bilanço!$A119),0),"")</f>
        <v>5909332000</v>
      </c>
      <c r="H119" s="2">
        <f>IFERROR(HLOOKUP(H$1,Data!$1:$149,ROW(Bilanço!$A119),0),"")</f>
        <v>9156368000</v>
      </c>
      <c r="I119" s="2">
        <f>IFERROR(HLOOKUP(I$1,Data!$1:$149,ROW(Bilanço!$A119),0),"")</f>
        <v>13361997000</v>
      </c>
      <c r="J119" s="3">
        <f>IFERROR(HLOOKUP(J$1,Data!$1:$149,ROW(Bilanço!$A119),0),"")</f>
        <v>6608501000</v>
      </c>
      <c r="K119" s="3">
        <f>IFERROR(HLOOKUP(K$1,Data!$1:$149,ROW(Bilanço!$A119),0),"")</f>
        <v>12769891000</v>
      </c>
      <c r="L119" s="3">
        <f>IFERROR(HLOOKUP(L$1,Data!$1:$149,ROW(Bilanço!$A119),0),"")</f>
        <v>21036729000</v>
      </c>
      <c r="M119" s="3">
        <f>IFERROR(HLOOKUP(M$1,Data!$1:$149,ROW(Bilanço!$A119),0),"")</f>
        <v>57369966000</v>
      </c>
      <c r="N119" s="3">
        <f>IFERROR(HLOOKUP(N$1,Data!$1:$149,ROW(Bilanço!$A119),0),"")</f>
        <v>20088391000</v>
      </c>
      <c r="O119" s="3">
        <f>IFERROR(HLOOKUP(O$1,Data!$1:$149,ROW(Bilanço!$A119),0),"")</f>
        <v>39779866000</v>
      </c>
      <c r="P119" s="3">
        <f>IFERROR(HLOOKUP(P$1,Data!$1:$149,ROW(Bilanço!$A119),0),"")</f>
        <v>63825818000</v>
      </c>
      <c r="Q119" s="3">
        <f>IFERROR(HLOOKUP(Q$1,Data!$1:$149,ROW(Bilanço!$A119),0),"")</f>
        <v>92193212000</v>
      </c>
      <c r="R119" s="3">
        <f>IFERROR(HLOOKUP(R$1,Data!$1:$149,ROW(Bilanço!$A119),0),"")</f>
        <v>25188647000</v>
      </c>
      <c r="S119" s="3">
        <f>IFERROR(HLOOKUP(S$1,Data!$1:$149,ROW(Bilanço!$A119),0),"")</f>
        <v>34216422000</v>
      </c>
      <c r="T119" s="3">
        <f>IFERROR(HLOOKUP(T$1,Data!$1:$149,ROW(Bilanço!$A119),0),"")</f>
        <v>71035079000</v>
      </c>
      <c r="U119" s="3">
        <f>IFERROR(HLOOKUP(U$1,Data!$1:$149,ROW(Bilanço!$A119),0),"")</f>
        <v>95564187106</v>
      </c>
      <c r="V119" s="3">
        <f>IFERROR(HLOOKUP(V$1,Data!$1:$149,ROW(Bilanço!$A119),0),"")</f>
        <v>25559447000</v>
      </c>
      <c r="W119" s="3">
        <f>IFERROR(HLOOKUP(W$1,Data!$1:$149,ROW(Bilanço!$A119),0),"")</f>
        <v>37224303000</v>
      </c>
      <c r="X119" s="3">
        <f>IFERROR(HLOOKUP(X$1,Data!$1:$149,ROW(Bilanço!$A119),0),"")</f>
        <v>74942876000</v>
      </c>
    </row>
    <row r="120" spans="1:24" x14ac:dyDescent="0.25">
      <c r="A120" t="str">
        <f>Data!A120</f>
        <v>Yurtdışı Satışlar</v>
      </c>
      <c r="B120" s="2">
        <f>IFERROR(HLOOKUP(B$1,Data!$1:$149,ROW(Bilanço!$A120),0),"")</f>
        <v>397441000</v>
      </c>
      <c r="C120" s="2">
        <f>IFERROR(HLOOKUP(C$1,Data!$1:$149,ROW(Bilanço!$A120),0),"")</f>
        <v>880002000</v>
      </c>
      <c r="D120" s="2">
        <f>IFERROR(HLOOKUP(D$1,Data!$1:$149,ROW(Bilanço!$A120),0),"")</f>
        <v>1447797000</v>
      </c>
      <c r="E120" s="2">
        <f>IFERROR(HLOOKUP(E$1,Data!$1:$149,ROW(Bilanço!$A120),0),"")</f>
        <v>2079909000</v>
      </c>
      <c r="F120" s="2">
        <f>IFERROR(HLOOKUP(F$1,Data!$1:$149,ROW(Bilanço!$A120),0),"")</f>
        <v>530233000</v>
      </c>
      <c r="G120" s="2">
        <f>IFERROR(HLOOKUP(G$1,Data!$1:$149,ROW(Bilanço!$A120),0),"")</f>
        <v>1113122000</v>
      </c>
      <c r="H120" s="2">
        <f>IFERROR(HLOOKUP(H$1,Data!$1:$149,ROW(Bilanço!$A120),0),"")</f>
        <v>1719332000</v>
      </c>
      <c r="I120" s="2">
        <f>IFERROR(HLOOKUP(I$1,Data!$1:$149,ROW(Bilanço!$A120),0),"")</f>
        <v>2837277000</v>
      </c>
      <c r="J120" s="3">
        <f>IFERROR(HLOOKUP(J$1,Data!$1:$149,ROW(Bilanço!$A120),0),"")</f>
        <v>1192202000</v>
      </c>
      <c r="K120" s="3">
        <f>IFERROR(HLOOKUP(K$1,Data!$1:$149,ROW(Bilanço!$A120),0),"")</f>
        <v>2711674000</v>
      </c>
      <c r="L120" s="3">
        <f>IFERROR(HLOOKUP(L$1,Data!$1:$149,ROW(Bilanço!$A120),0),"")</f>
        <v>4105800000</v>
      </c>
      <c r="M120" s="3">
        <f>IFERROR(HLOOKUP(M$1,Data!$1:$149,ROW(Bilanço!$A120),0),"")</f>
        <v>11136504000</v>
      </c>
      <c r="N120" s="3">
        <f>IFERROR(HLOOKUP(N$1,Data!$1:$149,ROW(Bilanço!$A120),0),"")</f>
        <v>3032955000</v>
      </c>
      <c r="O120" s="3">
        <f>IFERROR(HLOOKUP(O$1,Data!$1:$149,ROW(Bilanço!$A120),0),"")</f>
        <v>6732068000</v>
      </c>
      <c r="P120" s="3">
        <f>IFERROR(HLOOKUP(P$1,Data!$1:$149,ROW(Bilanço!$A120),0),"")</f>
        <v>10850238000</v>
      </c>
      <c r="Q120" s="3">
        <f>IFERROR(HLOOKUP(Q$1,Data!$1:$149,ROW(Bilanço!$A120),0),"")</f>
        <v>15975816000</v>
      </c>
      <c r="R120" s="3">
        <f>IFERROR(HLOOKUP(R$1,Data!$1:$149,ROW(Bilanço!$A120),0),"")</f>
        <v>4563131000</v>
      </c>
      <c r="S120" s="3">
        <f>IFERROR(HLOOKUP(S$1,Data!$1:$149,ROW(Bilanço!$A120),0),"")</f>
        <v>15154262000</v>
      </c>
      <c r="T120" s="3">
        <f>IFERROR(HLOOKUP(T$1,Data!$1:$149,ROW(Bilanço!$A120),0),"")</f>
        <v>13737906000</v>
      </c>
      <c r="U120" s="3">
        <f>IFERROR(HLOOKUP(U$1,Data!$1:$149,ROW(Bilanço!$A120),0),"")</f>
        <v>19576192130</v>
      </c>
      <c r="V120" s="3">
        <f>IFERROR(HLOOKUP(V$1,Data!$1:$149,ROW(Bilanço!$A120),0),"")</f>
        <v>3920202000</v>
      </c>
      <c r="W120" s="3">
        <f>IFERROR(HLOOKUP(W$1,Data!$1:$149,ROW(Bilanço!$A120),0),"")</f>
        <v>14415250000</v>
      </c>
      <c r="X120" s="3">
        <f>IFERROR(HLOOKUP(X$1,Data!$1:$149,ROW(Bilanço!$A120),0),"")</f>
        <v>14668452000</v>
      </c>
    </row>
    <row r="121" spans="1:24" x14ac:dyDescent="0.25">
      <c r="A121" t="str">
        <f>Data!A121</f>
        <v>Net Yabancı Para Pozisyonu</v>
      </c>
      <c r="B121" s="2">
        <f>IFERROR(HLOOKUP(B$1,Data!$1:$149,ROW(Bilanço!$A121),0),"")</f>
        <v>-512042000</v>
      </c>
      <c r="C121" s="2">
        <f>IFERROR(HLOOKUP(C$1,Data!$1:$149,ROW(Bilanço!$A121),0),"")</f>
        <v>185636000</v>
      </c>
      <c r="D121" s="2">
        <f>IFERROR(HLOOKUP(D$1,Data!$1:$149,ROW(Bilanço!$A121),0),"")</f>
        <v>157883000</v>
      </c>
      <c r="E121" s="2">
        <f>IFERROR(HLOOKUP(E$1,Data!$1:$149,ROW(Bilanço!$A121),0),"")</f>
        <v>-621277000</v>
      </c>
      <c r="F121" s="2">
        <f>IFERROR(HLOOKUP(F$1,Data!$1:$149,ROW(Bilanço!$A121),0),"")</f>
        <v>776006000</v>
      </c>
      <c r="G121" s="2">
        <f>IFERROR(HLOOKUP(G$1,Data!$1:$149,ROW(Bilanço!$A121),0),"")</f>
        <v>1062695000</v>
      </c>
      <c r="H121" s="2">
        <f>IFERROR(HLOOKUP(H$1,Data!$1:$149,ROW(Bilanço!$A121),0),"")</f>
        <v>-4387313000</v>
      </c>
      <c r="I121" s="2">
        <f>IFERROR(HLOOKUP(I$1,Data!$1:$149,ROW(Bilanço!$A121),0),"")</f>
        <v>-7062499000</v>
      </c>
      <c r="J121" s="3">
        <f>IFERROR(HLOOKUP(J$1,Data!$1:$149,ROW(Bilanço!$A121),0),"")</f>
        <v>-8446785000</v>
      </c>
      <c r="K121" s="3">
        <f>IFERROR(HLOOKUP(K$1,Data!$1:$149,ROW(Bilanço!$A121),0),"")</f>
        <v>-10069885000</v>
      </c>
      <c r="L121" s="3">
        <f>IFERROR(HLOOKUP(L$1,Data!$1:$149,ROW(Bilanço!$A121),0),"")</f>
        <v>-11764312000</v>
      </c>
      <c r="M121" s="3">
        <f>IFERROR(HLOOKUP(M$1,Data!$1:$149,ROW(Bilanço!$A121),0),"")</f>
        <v>-20096479000</v>
      </c>
      <c r="N121" s="3">
        <f>IFERROR(HLOOKUP(N$1,Data!$1:$149,ROW(Bilanço!$A121),0),"")</f>
        <v>-13207830000</v>
      </c>
      <c r="O121" s="3">
        <f>IFERROR(HLOOKUP(O$1,Data!$1:$149,ROW(Bilanço!$A121),0),"")</f>
        <v>-14440310000</v>
      </c>
      <c r="P121" s="3">
        <f>IFERROR(HLOOKUP(P$1,Data!$1:$149,ROW(Bilanço!$A121),0),"")</f>
        <v>-14008195000</v>
      </c>
      <c r="Q121" s="3">
        <f>IFERROR(HLOOKUP(Q$1,Data!$1:$149,ROW(Bilanço!$A121),0),"")</f>
        <v>-20251575000</v>
      </c>
      <c r="R121" s="3">
        <f>IFERROR(HLOOKUP(R$1,Data!$1:$149,ROW(Bilanço!$A121),0),"")</f>
        <v>-16610835000</v>
      </c>
      <c r="S121" s="3">
        <f>IFERROR(HLOOKUP(S$1,Data!$1:$149,ROW(Bilanço!$A121),0),"")</f>
        <v>-17631100000</v>
      </c>
      <c r="T121" s="3">
        <f>IFERROR(HLOOKUP(T$1,Data!$1:$149,ROW(Bilanço!$A121),0),"")</f>
        <v>-20759475000</v>
      </c>
      <c r="U121" s="3">
        <f>IFERROR(HLOOKUP(U$1,Data!$1:$149,ROW(Bilanço!$A121),0),"")</f>
        <v>-22696948007</v>
      </c>
      <c r="V121" s="3">
        <f>IFERROR(HLOOKUP(V$1,Data!$1:$149,ROW(Bilanço!$A121),0),"")</f>
        <v>-25772677000</v>
      </c>
      <c r="W121" s="3">
        <f>IFERROR(HLOOKUP(W$1,Data!$1:$149,ROW(Bilanço!$A121),0),"")</f>
        <v>-32978772000</v>
      </c>
      <c r="X121" s="3">
        <f>IFERROR(HLOOKUP(X$1,Data!$1:$149,ROW(Bilanço!$A121),0),"")</f>
        <v>-36190717000</v>
      </c>
    </row>
    <row r="122" spans="1:24" x14ac:dyDescent="0.25">
      <c r="A122" t="str">
        <f>Data!A122</f>
        <v>Parasal net yabancı para varlık/(yükümlülük) pozisyonu</v>
      </c>
      <c r="B122" s="2">
        <f>IFERROR(HLOOKUP(B$1,Data!$1:$149,ROW(Bilanço!$A122),0),"")</f>
        <v>-521234000</v>
      </c>
      <c r="C122" s="2">
        <f>IFERROR(HLOOKUP(C$1,Data!$1:$149,ROW(Bilanço!$A122),0),"")</f>
        <v>174938000</v>
      </c>
      <c r="D122" s="2">
        <f>IFERROR(HLOOKUP(D$1,Data!$1:$149,ROW(Bilanço!$A122),0),"")</f>
        <v>138531000</v>
      </c>
      <c r="E122" s="2">
        <f>IFERROR(HLOOKUP(E$1,Data!$1:$149,ROW(Bilanço!$A122),0),"")</f>
        <v>-633481000</v>
      </c>
      <c r="F122" s="2">
        <f>IFERROR(HLOOKUP(F$1,Data!$1:$149,ROW(Bilanço!$A122),0),"")</f>
        <v>760998000</v>
      </c>
      <c r="G122" s="2">
        <f>IFERROR(HLOOKUP(G$1,Data!$1:$149,ROW(Bilanço!$A122),0),"")</f>
        <v>1044122000</v>
      </c>
      <c r="H122" s="2">
        <f>IFERROR(HLOOKUP(H$1,Data!$1:$149,ROW(Bilanço!$A122),0),"")</f>
        <v>-4524615000</v>
      </c>
      <c r="I122" s="2">
        <f>IFERROR(HLOOKUP(I$1,Data!$1:$149,ROW(Bilanço!$A122),0),"")</f>
        <v>-7261010000</v>
      </c>
      <c r="J122" s="3">
        <f>IFERROR(HLOOKUP(J$1,Data!$1:$149,ROW(Bilanço!$A122),0),"")</f>
        <v>-8725020000</v>
      </c>
      <c r="K122" s="3">
        <f>IFERROR(HLOOKUP(K$1,Data!$1:$149,ROW(Bilanço!$A122),0),"")</f>
        <v>-10311390000</v>
      </c>
      <c r="L122" s="3">
        <f>IFERROR(HLOOKUP(L$1,Data!$1:$149,ROW(Bilanço!$A122),0),"")</f>
        <v>-12090303000</v>
      </c>
      <c r="M122" s="3">
        <f>IFERROR(HLOOKUP(M$1,Data!$1:$149,ROW(Bilanço!$A122),0),"")</f>
        <v>-20878853000</v>
      </c>
      <c r="N122" s="3">
        <f>IFERROR(HLOOKUP(N$1,Data!$1:$149,ROW(Bilanço!$A122),0),"")</f>
        <v>-13591595000</v>
      </c>
      <c r="O122" s="3">
        <f>IFERROR(HLOOKUP(O$1,Data!$1:$149,ROW(Bilanço!$A122),0),"")</f>
        <v>-14797766000</v>
      </c>
      <c r="P122" s="3">
        <f>IFERROR(HLOOKUP(P$1,Data!$1:$149,ROW(Bilanço!$A122),0),"")</f>
        <v>-14251252000</v>
      </c>
      <c r="Q122" s="3">
        <f>IFERROR(HLOOKUP(Q$1,Data!$1:$149,ROW(Bilanço!$A122),0),"")</f>
        <v>-20590561000</v>
      </c>
      <c r="R122" s="3">
        <f>IFERROR(HLOOKUP(R$1,Data!$1:$149,ROW(Bilanço!$A122),0),"")</f>
        <v>-16631242000</v>
      </c>
      <c r="S122" s="3">
        <f>IFERROR(HLOOKUP(S$1,Data!$1:$149,ROW(Bilanço!$A122),0),"")</f>
        <v>-17714410000</v>
      </c>
      <c r="T122" s="3">
        <f>IFERROR(HLOOKUP(T$1,Data!$1:$149,ROW(Bilanço!$A122),0),"")</f>
        <v>-21148306000</v>
      </c>
      <c r="U122" s="3">
        <f>IFERROR(HLOOKUP(U$1,Data!$1:$149,ROW(Bilanço!$A122),0),"")</f>
        <v>-24554077299</v>
      </c>
      <c r="V122" s="3">
        <f>IFERROR(HLOOKUP(V$1,Data!$1:$149,ROW(Bilanço!$A122),0),"")</f>
        <v>-27098107000</v>
      </c>
      <c r="W122" s="3">
        <f>IFERROR(HLOOKUP(W$1,Data!$1:$149,ROW(Bilanço!$A122),0),"")</f>
        <v>-33276788000</v>
      </c>
      <c r="X122" s="3">
        <f>IFERROR(HLOOKUP(X$1,Data!$1:$149,ROW(Bilanço!$A122),0),"")</f>
        <v>-36639550000</v>
      </c>
    </row>
    <row r="123" spans="1:24" x14ac:dyDescent="0.25">
      <c r="A123" t="str">
        <f>Data!A123</f>
        <v>Net YPP (Hedge Dahil)</v>
      </c>
      <c r="B123" s="2">
        <f>IFERROR(HLOOKUP(B$1,Data!$1:$149,ROW(Bilanço!$A123),0),"")</f>
        <v>460264000</v>
      </c>
      <c r="C123" s="2">
        <f>IFERROR(HLOOKUP(C$1,Data!$1:$149,ROW(Bilanço!$A123),0),"")</f>
        <v>185636000</v>
      </c>
      <c r="D123" s="2">
        <f>IFERROR(HLOOKUP(D$1,Data!$1:$149,ROW(Bilanço!$A123),0),"")</f>
        <v>157883000</v>
      </c>
      <c r="E123" s="2">
        <f>IFERROR(HLOOKUP(E$1,Data!$1:$149,ROW(Bilanço!$A123),0),"")</f>
        <v>-486158000</v>
      </c>
      <c r="F123" s="2">
        <f>IFERROR(HLOOKUP(F$1,Data!$1:$149,ROW(Bilanço!$A123),0),"")</f>
        <v>776006000</v>
      </c>
      <c r="G123" s="2">
        <f>IFERROR(HLOOKUP(G$1,Data!$1:$149,ROW(Bilanço!$A123),0),"")</f>
        <v>1062695000</v>
      </c>
      <c r="H123" s="2">
        <f>IFERROR(HLOOKUP(H$1,Data!$1:$149,ROW(Bilanço!$A123),0),"")</f>
        <v>-4387313000</v>
      </c>
      <c r="I123" s="2">
        <f>IFERROR(HLOOKUP(I$1,Data!$1:$149,ROW(Bilanço!$A123),0),"")</f>
        <v>-6983294000</v>
      </c>
      <c r="J123" s="3">
        <f>IFERROR(HLOOKUP(J$1,Data!$1:$149,ROW(Bilanço!$A123),0),"")</f>
        <v>-6003960000</v>
      </c>
      <c r="K123" s="3">
        <f>IFERROR(HLOOKUP(K$1,Data!$1:$149,ROW(Bilanço!$A123),0),"")</f>
        <v>-5680714000</v>
      </c>
      <c r="L123" s="3">
        <f>IFERROR(HLOOKUP(L$1,Data!$1:$149,ROW(Bilanço!$A123),0),"")</f>
        <v>-6421995000</v>
      </c>
      <c r="M123" s="3">
        <f>IFERROR(HLOOKUP(M$1,Data!$1:$149,ROW(Bilanço!$A123),0),"")</f>
        <v>-10963355000</v>
      </c>
      <c r="N123" s="3">
        <f>IFERROR(HLOOKUP(N$1,Data!$1:$149,ROW(Bilanço!$A123),0),"")</f>
        <v>-6667879000</v>
      </c>
      <c r="O123" s="3">
        <f>IFERROR(HLOOKUP(O$1,Data!$1:$149,ROW(Bilanço!$A123),0),"")</f>
        <v>-6941264000</v>
      </c>
      <c r="P123" s="3">
        <f>IFERROR(HLOOKUP(P$1,Data!$1:$149,ROW(Bilanço!$A123),0),"")</f>
        <v>-4093954000</v>
      </c>
      <c r="Q123" s="3">
        <f>IFERROR(HLOOKUP(Q$1,Data!$1:$149,ROW(Bilanço!$A123),0),"")</f>
        <v>-6147931000</v>
      </c>
      <c r="R123" s="3">
        <f>IFERROR(HLOOKUP(R$1,Data!$1:$149,ROW(Bilanço!$A123),0),"")</f>
        <v>-5798779000</v>
      </c>
      <c r="S123" s="3">
        <f>IFERROR(HLOOKUP(S$1,Data!$1:$149,ROW(Bilanço!$A123),0),"")</f>
        <v>-8809704000</v>
      </c>
      <c r="T123" s="3">
        <f>IFERROR(HLOOKUP(T$1,Data!$1:$149,ROW(Bilanço!$A123),0),"")</f>
        <v>-6874409000</v>
      </c>
      <c r="U123" s="3">
        <f>IFERROR(HLOOKUP(U$1,Data!$1:$149,ROW(Bilanço!$A123),0),"")</f>
        <v>-5255878527</v>
      </c>
      <c r="V123" s="3">
        <f>IFERROR(HLOOKUP(V$1,Data!$1:$149,ROW(Bilanço!$A123),0),"")</f>
        <v>-10339381000</v>
      </c>
      <c r="W123" s="3">
        <f>IFERROR(HLOOKUP(W$1,Data!$1:$149,ROW(Bilanço!$A123),0),"")</f>
        <v>-11171136000</v>
      </c>
      <c r="X123" s="3">
        <f>IFERROR(HLOOKUP(X$1,Data!$1:$149,ROW(Bilanço!$A123),0),"")</f>
        <v>-13389289000</v>
      </c>
    </row>
    <row r="124" spans="1:24" x14ac:dyDescent="0.25">
      <c r="A124" t="str">
        <f>Data!A124</f>
        <v xml:space="preserve"> İşletme Faaliyetlerinden Kaynaklanan Net Nakit</v>
      </c>
      <c r="B124" s="2">
        <f>IFERROR(HLOOKUP(B$1,Data!$1:$149,ROW(Bilanço!$A124),0),"")</f>
        <v>77499000</v>
      </c>
      <c r="C124" s="2">
        <f>IFERROR(HLOOKUP(C$1,Data!$1:$149,ROW(Bilanço!$A124),0),"")</f>
        <v>117066000</v>
      </c>
      <c r="D124" s="2">
        <f>IFERROR(HLOOKUP(D$1,Data!$1:$149,ROW(Bilanço!$A124),0),"")</f>
        <v>292658000</v>
      </c>
      <c r="E124" s="2">
        <f>IFERROR(HLOOKUP(E$1,Data!$1:$149,ROW(Bilanço!$A124),0),"")</f>
        <v>630027000</v>
      </c>
      <c r="F124" s="2">
        <f>IFERROR(HLOOKUP(F$1,Data!$1:$149,ROW(Bilanço!$A124),0),"")</f>
        <v>-197696000</v>
      </c>
      <c r="G124" s="2">
        <f>IFERROR(HLOOKUP(G$1,Data!$1:$149,ROW(Bilanço!$A124),0),"")</f>
        <v>71257000</v>
      </c>
      <c r="H124" s="2">
        <f>IFERROR(HLOOKUP(H$1,Data!$1:$149,ROW(Bilanço!$A124),0),"")</f>
        <v>309308000</v>
      </c>
      <c r="I124" s="2">
        <f>IFERROR(HLOOKUP(I$1,Data!$1:$149,ROW(Bilanço!$A124),0),"")</f>
        <v>27339000</v>
      </c>
      <c r="J124" s="3">
        <f>IFERROR(HLOOKUP(J$1,Data!$1:$149,ROW(Bilanço!$A124),0),"")</f>
        <v>360405000</v>
      </c>
      <c r="K124" s="3">
        <f>IFERROR(HLOOKUP(K$1,Data!$1:$149,ROW(Bilanço!$A124),0),"")</f>
        <v>739351000</v>
      </c>
      <c r="L124" s="3">
        <f>IFERROR(HLOOKUP(L$1,Data!$1:$149,ROW(Bilanço!$A124),0),"")</f>
        <v>562839000</v>
      </c>
      <c r="M124" s="3">
        <f>IFERROR(HLOOKUP(M$1,Data!$1:$149,ROW(Bilanço!$A124),0),"")</f>
        <v>4021785000</v>
      </c>
      <c r="N124" s="3">
        <f>IFERROR(HLOOKUP(N$1,Data!$1:$149,ROW(Bilanço!$A124),0),"")</f>
        <v>188699000</v>
      </c>
      <c r="O124" s="3">
        <f>IFERROR(HLOOKUP(O$1,Data!$1:$149,ROW(Bilanço!$A124),0),"")</f>
        <v>2875651000</v>
      </c>
      <c r="P124" s="3">
        <f>IFERROR(HLOOKUP(P$1,Data!$1:$149,ROW(Bilanço!$A124),0),"")</f>
        <v>5858853000</v>
      </c>
      <c r="Q124" s="3">
        <f>IFERROR(HLOOKUP(Q$1,Data!$1:$149,ROW(Bilanço!$A124),0),"")</f>
        <v>10613347000</v>
      </c>
      <c r="R124" s="3">
        <f>IFERROR(HLOOKUP(R$1,Data!$1:$149,ROW(Bilanço!$A124),0),"")</f>
        <v>-1261460000</v>
      </c>
      <c r="S124" s="3">
        <f>IFERROR(HLOOKUP(S$1,Data!$1:$149,ROW(Bilanço!$A124),0),"")</f>
        <v>3003562000</v>
      </c>
      <c r="T124" s="3">
        <f>IFERROR(HLOOKUP(T$1,Data!$1:$149,ROW(Bilanço!$A124),0),"")</f>
        <v>1666173000</v>
      </c>
      <c r="U124" s="3">
        <f>IFERROR(HLOOKUP(U$1,Data!$1:$149,ROW(Bilanço!$A124),0),"")</f>
        <v>7259933530</v>
      </c>
      <c r="V124" s="3">
        <f>IFERROR(HLOOKUP(V$1,Data!$1:$149,ROW(Bilanço!$A124),0),"")</f>
        <v>-5741318000</v>
      </c>
      <c r="W124" s="3">
        <f>IFERROR(HLOOKUP(W$1,Data!$1:$149,ROW(Bilanço!$A124),0),"")</f>
        <v>-4480642000</v>
      </c>
      <c r="X124" s="3">
        <f>IFERROR(HLOOKUP(X$1,Data!$1:$149,ROW(Bilanço!$A124),0),"")</f>
        <v>-2365851000</v>
      </c>
    </row>
    <row r="125" spans="1:24" x14ac:dyDescent="0.25">
      <c r="A125" t="str">
        <f>Data!A125</f>
        <v xml:space="preserve"> Düzeltme Öncesi Kar</v>
      </c>
      <c r="B125" s="2">
        <f>IFERROR(HLOOKUP(B$1,Data!$1:$149,ROW(Bilanço!$A125),0),"")</f>
        <v>-44143000</v>
      </c>
      <c r="C125" s="2">
        <f>IFERROR(HLOOKUP(C$1,Data!$1:$149,ROW(Bilanço!$A125),0),"")</f>
        <v>495331000</v>
      </c>
      <c r="D125" s="2">
        <f>IFERROR(HLOOKUP(D$1,Data!$1:$149,ROW(Bilanço!$A125),0),"")</f>
        <v>820971000</v>
      </c>
      <c r="E125" s="2">
        <f>IFERROR(HLOOKUP(E$1,Data!$1:$149,ROW(Bilanço!$A125),0),"")</f>
        <v>1268565000</v>
      </c>
      <c r="F125" s="2">
        <f>IFERROR(HLOOKUP(F$1,Data!$1:$149,ROW(Bilanço!$A125),0),"")</f>
        <v>492976000</v>
      </c>
      <c r="G125" s="2">
        <f>IFERROR(HLOOKUP(G$1,Data!$1:$149,ROW(Bilanço!$A125),0),"")</f>
        <v>740039000</v>
      </c>
      <c r="H125" s="2">
        <f>IFERROR(HLOOKUP(H$1,Data!$1:$149,ROW(Bilanço!$A125),0),"")</f>
        <v>773243000</v>
      </c>
      <c r="I125" s="2">
        <f>IFERROR(HLOOKUP(I$1,Data!$1:$149,ROW(Bilanço!$A125),0),"")</f>
        <v>-162419000</v>
      </c>
      <c r="J125" s="3">
        <f>IFERROR(HLOOKUP(J$1,Data!$1:$149,ROW(Bilanço!$A125),0),"")</f>
        <v>-331056000</v>
      </c>
      <c r="K125" s="3">
        <f>IFERROR(HLOOKUP(K$1,Data!$1:$149,ROW(Bilanço!$A125),0),"")</f>
        <v>-885691000</v>
      </c>
      <c r="L125" s="3">
        <f>IFERROR(HLOOKUP(L$1,Data!$1:$149,ROW(Bilanço!$A125),0),"")</f>
        <v>-985793000</v>
      </c>
      <c r="M125" s="3">
        <f>IFERROR(HLOOKUP(M$1,Data!$1:$149,ROW(Bilanço!$A125),0),"")</f>
        <v>1429506000</v>
      </c>
      <c r="N125" s="3">
        <f>IFERROR(HLOOKUP(N$1,Data!$1:$149,ROW(Bilanço!$A125),0),"")</f>
        <v>2490214000</v>
      </c>
      <c r="O125" s="3">
        <f>IFERROR(HLOOKUP(O$1,Data!$1:$149,ROW(Bilanço!$A125),0),"")</f>
        <v>624313000</v>
      </c>
      <c r="P125" s="3">
        <f>IFERROR(HLOOKUP(P$1,Data!$1:$149,ROW(Bilanço!$A125),0),"")</f>
        <v>4069401000</v>
      </c>
      <c r="Q125" s="3">
        <f>IFERROR(HLOOKUP(Q$1,Data!$1:$149,ROW(Bilanço!$A125),0),"")</f>
        <v>6096775000</v>
      </c>
      <c r="R125" s="3">
        <f>IFERROR(HLOOKUP(R$1,Data!$1:$149,ROW(Bilanço!$A125),0),"")</f>
        <v>3426471000</v>
      </c>
      <c r="S125" s="3">
        <f>IFERROR(HLOOKUP(S$1,Data!$1:$149,ROW(Bilanço!$A125),0),"")</f>
        <v>5434480000</v>
      </c>
      <c r="T125" s="3">
        <f>IFERROR(HLOOKUP(T$1,Data!$1:$149,ROW(Bilanço!$A125),0),"")</f>
        <v>6520735000</v>
      </c>
      <c r="U125" s="3">
        <f>IFERROR(HLOOKUP(U$1,Data!$1:$149,ROW(Bilanço!$A125),0),"")</f>
        <v>10054568716</v>
      </c>
      <c r="V125" s="3">
        <f>IFERROR(HLOOKUP(V$1,Data!$1:$149,ROW(Bilanço!$A125),0),"")</f>
        <v>2579045000</v>
      </c>
      <c r="W125" s="3">
        <f>IFERROR(HLOOKUP(W$1,Data!$1:$149,ROW(Bilanço!$A125),0),"")</f>
        <v>3490138000</v>
      </c>
      <c r="X125" s="3">
        <f>IFERROR(HLOOKUP(X$1,Data!$1:$149,ROW(Bilanço!$A125),0),"")</f>
        <v>4855032000</v>
      </c>
    </row>
    <row r="126" spans="1:24" x14ac:dyDescent="0.25">
      <c r="A126" t="str">
        <f>Data!A126</f>
        <v xml:space="preserve"> Düzeltmeler:</v>
      </c>
      <c r="B126" s="2">
        <f>IFERROR(HLOOKUP(B$1,Data!$1:$149,ROW(Bilanço!$A126),0),"")</f>
        <v>659566000</v>
      </c>
      <c r="C126" s="2">
        <f>IFERROR(HLOOKUP(C$1,Data!$1:$149,ROW(Bilanço!$A126),0),"")</f>
        <v>511826000</v>
      </c>
      <c r="D126" s="2">
        <f>IFERROR(HLOOKUP(D$1,Data!$1:$149,ROW(Bilanço!$A126),0),"")</f>
        <v>905681000</v>
      </c>
      <c r="E126" s="2">
        <f>IFERROR(HLOOKUP(E$1,Data!$1:$149,ROW(Bilanço!$A126),0),"")</f>
        <v>885141000</v>
      </c>
      <c r="F126" s="2">
        <f>IFERROR(HLOOKUP(F$1,Data!$1:$149,ROW(Bilanço!$A126),0),"")</f>
        <v>180820000</v>
      </c>
      <c r="G126" s="2">
        <f>IFERROR(HLOOKUP(G$1,Data!$1:$149,ROW(Bilanço!$A126),0),"")</f>
        <v>486238000</v>
      </c>
      <c r="H126" s="2">
        <f>IFERROR(HLOOKUP(H$1,Data!$1:$149,ROW(Bilanço!$A126),0),"")</f>
        <v>966143000</v>
      </c>
      <c r="I126" s="2">
        <f>IFERROR(HLOOKUP(I$1,Data!$1:$149,ROW(Bilanço!$A126),0),"")</f>
        <v>3145238000</v>
      </c>
      <c r="J126" s="3">
        <f>IFERROR(HLOOKUP(J$1,Data!$1:$149,ROW(Bilanço!$A126),0),"")</f>
        <v>2090583000</v>
      </c>
      <c r="K126" s="3">
        <f>IFERROR(HLOOKUP(K$1,Data!$1:$149,ROW(Bilanço!$A126),0),"")</f>
        <v>4061636000</v>
      </c>
      <c r="L126" s="3">
        <f>IFERROR(HLOOKUP(L$1,Data!$1:$149,ROW(Bilanço!$A126),0),"")</f>
        <v>6004634000</v>
      </c>
      <c r="M126" s="3">
        <f>IFERROR(HLOOKUP(M$1,Data!$1:$149,ROW(Bilanço!$A126),0),"")</f>
        <v>9162595000</v>
      </c>
      <c r="N126" s="3">
        <f>IFERROR(HLOOKUP(N$1,Data!$1:$149,ROW(Bilanço!$A126),0),"")</f>
        <v>3090432000</v>
      </c>
      <c r="O126" s="3">
        <f>IFERROR(HLOOKUP(O$1,Data!$1:$149,ROW(Bilanço!$A126),0),"")</f>
        <v>10535346000</v>
      </c>
      <c r="P126" s="3">
        <f>IFERROR(HLOOKUP(P$1,Data!$1:$149,ROW(Bilanço!$A126),0),"")</f>
        <v>11444409000</v>
      </c>
      <c r="Q126" s="3">
        <f>IFERROR(HLOOKUP(Q$1,Data!$1:$149,ROW(Bilanço!$A126),0),"")</f>
        <v>13663174000</v>
      </c>
      <c r="R126" s="3">
        <f>IFERROR(HLOOKUP(R$1,Data!$1:$149,ROW(Bilanço!$A126),0),"")</f>
        <v>4279819000</v>
      </c>
      <c r="S126" s="3">
        <f>IFERROR(HLOOKUP(S$1,Data!$1:$149,ROW(Bilanço!$A126),0),"")</f>
        <v>6553999000</v>
      </c>
      <c r="T126" s="3">
        <f>IFERROR(HLOOKUP(T$1,Data!$1:$149,ROW(Bilanço!$A126),0),"")</f>
        <v>10657772000</v>
      </c>
      <c r="U126" s="3">
        <f>IFERROR(HLOOKUP(U$1,Data!$1:$149,ROW(Bilanço!$A126),0),"")</f>
        <v>12807179972</v>
      </c>
      <c r="V126" s="3">
        <f>IFERROR(HLOOKUP(V$1,Data!$1:$149,ROW(Bilanço!$A126),0),"")</f>
        <v>4903943000</v>
      </c>
      <c r="W126" s="3">
        <f>IFERROR(HLOOKUP(W$1,Data!$1:$149,ROW(Bilanço!$A126),0),"")</f>
        <v>8544713000</v>
      </c>
      <c r="X126" s="3">
        <f>IFERROR(HLOOKUP(X$1,Data!$1:$149,ROW(Bilanço!$A126),0),"")</f>
        <v>12904940000</v>
      </c>
    </row>
    <row r="127" spans="1:24" x14ac:dyDescent="0.25">
      <c r="A127" t="str">
        <f>Data!A127</f>
        <v xml:space="preserve">  Amortisman &amp; İtfa Payları</v>
      </c>
      <c r="B127" s="2">
        <f>IFERROR(HLOOKUP(B$1,Data!$1:$149,ROW(Bilanço!$A127),0),"")</f>
        <v>44015000</v>
      </c>
      <c r="C127" s="2">
        <f>IFERROR(HLOOKUP(C$1,Data!$1:$149,ROW(Bilanço!$A127),0),"")</f>
        <v>89785000</v>
      </c>
      <c r="D127" s="2">
        <f>IFERROR(HLOOKUP(D$1,Data!$1:$149,ROW(Bilanço!$A127),0),"")</f>
        <v>145813000</v>
      </c>
      <c r="E127" s="2">
        <f>IFERROR(HLOOKUP(E$1,Data!$1:$149,ROW(Bilanço!$A127),0),"")</f>
        <v>199294000</v>
      </c>
      <c r="F127" s="2">
        <f>IFERROR(HLOOKUP(F$1,Data!$1:$149,ROW(Bilanço!$A127),0),"")</f>
        <v>52972000</v>
      </c>
      <c r="G127" s="2">
        <f>IFERROR(HLOOKUP(G$1,Data!$1:$149,ROW(Bilanço!$A127),0),"")</f>
        <v>109110000</v>
      </c>
      <c r="H127" s="2">
        <f>IFERROR(HLOOKUP(H$1,Data!$1:$149,ROW(Bilanço!$A127),0),"")</f>
        <v>168489000</v>
      </c>
      <c r="I127" s="2">
        <f>IFERROR(HLOOKUP(I$1,Data!$1:$149,ROW(Bilanço!$A127),0),"")</f>
        <v>230009000</v>
      </c>
      <c r="J127" s="3">
        <f>IFERROR(HLOOKUP(J$1,Data!$1:$149,ROW(Bilanço!$A127),0),"")</f>
        <v>78065000</v>
      </c>
      <c r="K127" s="3">
        <f>IFERROR(HLOOKUP(K$1,Data!$1:$149,ROW(Bilanço!$A127),0),"")</f>
        <v>161554000</v>
      </c>
      <c r="L127" s="3">
        <f>IFERROR(HLOOKUP(L$1,Data!$1:$149,ROW(Bilanço!$A127),0),"")</f>
        <v>250409000</v>
      </c>
      <c r="M127" s="3">
        <f>IFERROR(HLOOKUP(M$1,Data!$1:$149,ROW(Bilanço!$A127),0),"")</f>
        <v>1167767000</v>
      </c>
      <c r="N127" s="3">
        <f>IFERROR(HLOOKUP(N$1,Data!$1:$149,ROW(Bilanço!$A127),0),"")</f>
        <v>360836000</v>
      </c>
      <c r="O127" s="3">
        <f>IFERROR(HLOOKUP(O$1,Data!$1:$149,ROW(Bilanço!$A127),0),"")</f>
        <v>776516000</v>
      </c>
      <c r="P127" s="3">
        <f>IFERROR(HLOOKUP(P$1,Data!$1:$149,ROW(Bilanço!$A127),0),"")</f>
        <v>1230234000</v>
      </c>
      <c r="Q127" s="3">
        <f>IFERROR(HLOOKUP(Q$1,Data!$1:$149,ROW(Bilanço!$A127),0),"")</f>
        <v>1709601000</v>
      </c>
      <c r="R127" s="3">
        <f>IFERROR(HLOOKUP(R$1,Data!$1:$149,ROW(Bilanço!$A127),0),"")</f>
        <v>520654000</v>
      </c>
      <c r="S127" s="3">
        <f>IFERROR(HLOOKUP(S$1,Data!$1:$149,ROW(Bilanço!$A127),0),"")</f>
        <v>1047090000</v>
      </c>
      <c r="T127" s="3">
        <f>IFERROR(HLOOKUP(T$1,Data!$1:$149,ROW(Bilanço!$A127),0),"")</f>
        <v>1631880000</v>
      </c>
      <c r="U127" s="3">
        <f>IFERROR(HLOOKUP(U$1,Data!$1:$149,ROW(Bilanço!$A127),0),"")</f>
        <v>2283603688</v>
      </c>
      <c r="V127" s="3">
        <f>IFERROR(HLOOKUP(V$1,Data!$1:$149,ROW(Bilanço!$A127),0),"")</f>
        <v>520989000</v>
      </c>
      <c r="W127" s="3">
        <f>IFERROR(HLOOKUP(W$1,Data!$1:$149,ROW(Bilanço!$A127),0),"")</f>
        <v>1065995000</v>
      </c>
      <c r="X127" s="3">
        <f>IFERROR(HLOOKUP(X$1,Data!$1:$149,ROW(Bilanço!$A127),0),"")</f>
        <v>1770984000</v>
      </c>
    </row>
    <row r="128" spans="1:24" x14ac:dyDescent="0.25">
      <c r="A128" t="str">
        <f>Data!A128</f>
        <v xml:space="preserve">  Karşılıklardaki Değişim</v>
      </c>
      <c r="B128" s="2">
        <f>IFERROR(HLOOKUP(B$1,Data!$1:$149,ROW(Bilanço!$A128),0),"")</f>
        <v>168533000</v>
      </c>
      <c r="C128" s="2">
        <f>IFERROR(HLOOKUP(C$1,Data!$1:$149,ROW(Bilanço!$A128),0),"")</f>
        <v>170527000</v>
      </c>
      <c r="D128" s="2">
        <f>IFERROR(HLOOKUP(D$1,Data!$1:$149,ROW(Bilanço!$A128),0),"")</f>
        <v>260233000</v>
      </c>
      <c r="E128" s="2">
        <f>IFERROR(HLOOKUP(E$1,Data!$1:$149,ROW(Bilanço!$A128),0),"")</f>
        <v>202674000</v>
      </c>
      <c r="F128" s="2">
        <f>IFERROR(HLOOKUP(F$1,Data!$1:$149,ROW(Bilanço!$A128),0),"")</f>
        <v>129507000</v>
      </c>
      <c r="G128" s="2">
        <f>IFERROR(HLOOKUP(G$1,Data!$1:$149,ROW(Bilanço!$A128),0),"")</f>
        <v>228404000</v>
      </c>
      <c r="H128" s="2">
        <f>IFERROR(HLOOKUP(H$1,Data!$1:$149,ROW(Bilanço!$A128),0),"")</f>
        <v>268788000</v>
      </c>
      <c r="I128" s="2">
        <f>IFERROR(HLOOKUP(I$1,Data!$1:$149,ROW(Bilanço!$A128),0),"")</f>
        <v>317939000</v>
      </c>
      <c r="J128" s="3">
        <f>IFERROR(HLOOKUP(J$1,Data!$1:$149,ROW(Bilanço!$A128),0),"")</f>
        <v>340234000</v>
      </c>
      <c r="K128" s="3">
        <f>IFERROR(HLOOKUP(K$1,Data!$1:$149,ROW(Bilanço!$A128),0),"")</f>
        <v>387079000</v>
      </c>
      <c r="L128" s="3">
        <f>IFERROR(HLOOKUP(L$1,Data!$1:$149,ROW(Bilanço!$A128),0),"")</f>
        <v>589488000</v>
      </c>
      <c r="M128" s="3">
        <f>IFERROR(HLOOKUP(M$1,Data!$1:$149,ROW(Bilanço!$A128),0),"")</f>
        <v>456974000</v>
      </c>
      <c r="N128" s="3">
        <f>IFERROR(HLOOKUP(N$1,Data!$1:$149,ROW(Bilanço!$A128),0),"")</f>
        <v>1461990000</v>
      </c>
      <c r="O128" s="3">
        <f>IFERROR(HLOOKUP(O$1,Data!$1:$149,ROW(Bilanço!$A128),0),"")</f>
        <v>1356641000</v>
      </c>
      <c r="P128" s="3">
        <f>IFERROR(HLOOKUP(P$1,Data!$1:$149,ROW(Bilanço!$A128),0),"")</f>
        <v>1408591000</v>
      </c>
      <c r="Q128" s="3">
        <f>IFERROR(HLOOKUP(Q$1,Data!$1:$149,ROW(Bilanço!$A128),0),"")</f>
        <v>1182273000</v>
      </c>
      <c r="R128" s="3">
        <f>IFERROR(HLOOKUP(R$1,Data!$1:$149,ROW(Bilanço!$A128),0),"")</f>
        <v>1273170000</v>
      </c>
      <c r="S128" s="3">
        <f>IFERROR(HLOOKUP(S$1,Data!$1:$149,ROW(Bilanço!$A128),0),"")</f>
        <v>1397336000</v>
      </c>
      <c r="T128" s="3">
        <f>IFERROR(HLOOKUP(T$1,Data!$1:$149,ROW(Bilanço!$A128),0),"")</f>
        <v>1560248000</v>
      </c>
      <c r="U128" s="3">
        <f>IFERROR(HLOOKUP(U$1,Data!$1:$149,ROW(Bilanço!$A128),0),"")</f>
        <v>1373810207</v>
      </c>
      <c r="V128" s="3">
        <f>IFERROR(HLOOKUP(V$1,Data!$1:$149,ROW(Bilanço!$A128),0),"")</f>
        <v>1530928000</v>
      </c>
      <c r="W128" s="3">
        <f>IFERROR(HLOOKUP(W$1,Data!$1:$149,ROW(Bilanço!$A128),0),"")</f>
        <v>1633440000</v>
      </c>
      <c r="X128" s="3">
        <f>IFERROR(HLOOKUP(X$1,Data!$1:$149,ROW(Bilanço!$A128),0),"")</f>
        <v>1943905000</v>
      </c>
    </row>
    <row r="129" spans="1:24" x14ac:dyDescent="0.25">
      <c r="A129" t="str">
        <f>Data!A129</f>
        <v xml:space="preserve">  Diğer Gelir/ Gider</v>
      </c>
      <c r="B129" s="2">
        <f>IFERROR(HLOOKUP(B$1,Data!$1:$149,ROW(Bilanço!$A129),0),"")</f>
        <v>447018000</v>
      </c>
      <c r="C129" s="2">
        <f>IFERROR(HLOOKUP(C$1,Data!$1:$149,ROW(Bilanço!$A129),0),"")</f>
        <v>251514000</v>
      </c>
      <c r="D129" s="2">
        <f>IFERROR(HLOOKUP(D$1,Data!$1:$149,ROW(Bilanço!$A129),0),"")</f>
        <v>499635000</v>
      </c>
      <c r="E129" s="2">
        <f>IFERROR(HLOOKUP(E$1,Data!$1:$149,ROW(Bilanço!$A129),0),"")</f>
        <v>483173000</v>
      </c>
      <c r="F129" s="2">
        <f>IFERROR(HLOOKUP(F$1,Data!$1:$149,ROW(Bilanço!$A129),0),"")</f>
        <v>-1659000</v>
      </c>
      <c r="G129" s="2">
        <f>IFERROR(HLOOKUP(G$1,Data!$1:$149,ROW(Bilanço!$A129),0),"")</f>
        <v>148724000</v>
      </c>
      <c r="H129" s="2">
        <f>IFERROR(HLOOKUP(H$1,Data!$1:$149,ROW(Bilanço!$A129),0),"")</f>
        <v>528866000</v>
      </c>
      <c r="I129" s="2">
        <f>IFERROR(HLOOKUP(I$1,Data!$1:$149,ROW(Bilanço!$A129),0),"")</f>
        <v>2597290000</v>
      </c>
      <c r="J129" s="3">
        <f>IFERROR(HLOOKUP(J$1,Data!$1:$149,ROW(Bilanço!$A129),0),"")</f>
        <v>1672284000</v>
      </c>
      <c r="K129" s="3">
        <f>IFERROR(HLOOKUP(K$1,Data!$1:$149,ROW(Bilanço!$A129),0),"")</f>
        <v>3513003000</v>
      </c>
      <c r="L129" s="3">
        <f>IFERROR(HLOOKUP(L$1,Data!$1:$149,ROW(Bilanço!$A129),0),"")</f>
        <v>5164737000</v>
      </c>
      <c r="M129" s="3">
        <f>IFERROR(HLOOKUP(M$1,Data!$1:$149,ROW(Bilanço!$A129),0),"")</f>
        <v>7537854000</v>
      </c>
      <c r="N129" s="3">
        <f>IFERROR(HLOOKUP(N$1,Data!$1:$149,ROW(Bilanço!$A129),0),"")</f>
        <v>1267606000</v>
      </c>
      <c r="O129" s="3">
        <f>IFERROR(HLOOKUP(O$1,Data!$1:$149,ROW(Bilanço!$A129),0),"")</f>
        <v>9777698000</v>
      </c>
      <c r="P129" s="3">
        <f>IFERROR(HLOOKUP(P$1,Data!$1:$149,ROW(Bilanço!$A129),0),"")</f>
        <v>13645057000</v>
      </c>
      <c r="Q129" s="3">
        <f>IFERROR(HLOOKUP(Q$1,Data!$1:$149,ROW(Bilanço!$A129),0),"")</f>
        <v>16323687000</v>
      </c>
      <c r="R129" s="3">
        <f>IFERROR(HLOOKUP(R$1,Data!$1:$149,ROW(Bilanço!$A129),0),"")</f>
        <v>4177443000</v>
      </c>
      <c r="S129" s="3">
        <f>IFERROR(HLOOKUP(S$1,Data!$1:$149,ROW(Bilanço!$A129),0),"")</f>
        <v>7254138000</v>
      </c>
      <c r="T129" s="3">
        <f>IFERROR(HLOOKUP(T$1,Data!$1:$149,ROW(Bilanço!$A129),0),"")</f>
        <v>11226633000</v>
      </c>
      <c r="U129" s="3">
        <f>IFERROR(HLOOKUP(U$1,Data!$1:$149,ROW(Bilanço!$A129),0),"")</f>
        <v>12583279378</v>
      </c>
      <c r="V129" s="3">
        <f>IFERROR(HLOOKUP(V$1,Data!$1:$149,ROW(Bilanço!$A129),0),"")</f>
        <v>3520417000</v>
      </c>
      <c r="W129" s="3">
        <f>IFERROR(HLOOKUP(W$1,Data!$1:$149,ROW(Bilanço!$A129),0),"")</f>
        <v>6737992000</v>
      </c>
      <c r="X129" s="3">
        <f>IFERROR(HLOOKUP(X$1,Data!$1:$149,ROW(Bilanço!$A129),0),"")</f>
        <v>11009921000</v>
      </c>
    </row>
    <row r="130" spans="1:24" x14ac:dyDescent="0.25">
      <c r="A130" t="str">
        <f>Data!A130</f>
        <v xml:space="preserve"> İşletme Sermayesinde Değişikler Öncesi Faaliyet Karı (+)</v>
      </c>
      <c r="B130" s="2">
        <f>IFERROR(HLOOKUP(B$1,Data!$1:$149,ROW(Bilanço!$A130),0),"")</f>
        <v>615423000</v>
      </c>
      <c r="C130" s="2">
        <f>IFERROR(HLOOKUP(C$1,Data!$1:$149,ROW(Bilanço!$A130),0),"")</f>
        <v>1007157000</v>
      </c>
      <c r="D130" s="2">
        <f>IFERROR(HLOOKUP(D$1,Data!$1:$149,ROW(Bilanço!$A130),0),"")</f>
        <v>1726652000</v>
      </c>
      <c r="E130" s="2">
        <f>IFERROR(HLOOKUP(E$1,Data!$1:$149,ROW(Bilanço!$A130),0),"")</f>
        <v>2153706000</v>
      </c>
      <c r="F130" s="2">
        <f>IFERROR(HLOOKUP(F$1,Data!$1:$149,ROW(Bilanço!$A130),0),"")</f>
        <v>673796000</v>
      </c>
      <c r="G130" s="2">
        <f>IFERROR(HLOOKUP(G$1,Data!$1:$149,ROW(Bilanço!$A130),0),"")</f>
        <v>1226277000</v>
      </c>
      <c r="H130" s="2">
        <f>IFERROR(HLOOKUP(H$1,Data!$1:$149,ROW(Bilanço!$A130),0),"")</f>
        <v>1739386000</v>
      </c>
      <c r="I130" s="2">
        <f>IFERROR(HLOOKUP(I$1,Data!$1:$149,ROW(Bilanço!$A130),0),"")</f>
        <v>2982819000</v>
      </c>
      <c r="J130" s="3">
        <f>IFERROR(HLOOKUP(J$1,Data!$1:$149,ROW(Bilanço!$A130),0),"")</f>
        <v>1759527000</v>
      </c>
      <c r="K130" s="3">
        <f>IFERROR(HLOOKUP(K$1,Data!$1:$149,ROW(Bilanço!$A130),0),"")</f>
        <v>3175945000</v>
      </c>
      <c r="L130" s="3">
        <f>IFERROR(HLOOKUP(L$1,Data!$1:$149,ROW(Bilanço!$A130),0),"")</f>
        <v>5018841000</v>
      </c>
      <c r="M130" s="3">
        <f>IFERROR(HLOOKUP(M$1,Data!$1:$149,ROW(Bilanço!$A130),0),"")</f>
        <v>10592101000</v>
      </c>
      <c r="N130" s="3">
        <f>IFERROR(HLOOKUP(N$1,Data!$1:$149,ROW(Bilanço!$A130),0),"")</f>
        <v>5580646000</v>
      </c>
      <c r="O130" s="3">
        <f>IFERROR(HLOOKUP(O$1,Data!$1:$149,ROW(Bilanço!$A130),0),"")</f>
        <v>11159659000</v>
      </c>
      <c r="P130" s="3">
        <f>IFERROR(HLOOKUP(P$1,Data!$1:$149,ROW(Bilanço!$A130),0),"")</f>
        <v>15513810000</v>
      </c>
      <c r="Q130" s="3">
        <f>IFERROR(HLOOKUP(Q$1,Data!$1:$149,ROW(Bilanço!$A130),0),"")</f>
        <v>19759949000</v>
      </c>
      <c r="R130" s="3">
        <f>IFERROR(HLOOKUP(R$1,Data!$1:$149,ROW(Bilanço!$A130),0),"")</f>
        <v>7706290000</v>
      </c>
      <c r="S130" s="3">
        <f>IFERROR(HLOOKUP(S$1,Data!$1:$149,ROW(Bilanço!$A130),0),"")</f>
        <v>11988479000</v>
      </c>
      <c r="T130" s="3">
        <f>IFERROR(HLOOKUP(T$1,Data!$1:$149,ROW(Bilanço!$A130),0),"")</f>
        <v>17178507000</v>
      </c>
      <c r="U130" s="3">
        <f>IFERROR(HLOOKUP(U$1,Data!$1:$149,ROW(Bilanço!$A130),0),"")</f>
        <v>22861748688</v>
      </c>
      <c r="V130" s="3">
        <f>IFERROR(HLOOKUP(V$1,Data!$1:$149,ROW(Bilanço!$A130),0),"")</f>
        <v>7482988000</v>
      </c>
      <c r="W130" s="3">
        <f>IFERROR(HLOOKUP(W$1,Data!$1:$149,ROW(Bilanço!$A130),0),"")</f>
        <v>12034851000</v>
      </c>
      <c r="X130" s="3">
        <f>IFERROR(HLOOKUP(X$1,Data!$1:$149,ROW(Bilanço!$A130),0),"")</f>
        <v>17759972000</v>
      </c>
    </row>
    <row r="131" spans="1:24" x14ac:dyDescent="0.25">
      <c r="A131" t="str">
        <f>Data!A131</f>
        <v xml:space="preserve">  İşletme Sermayesindeki Değişiklikler</v>
      </c>
      <c r="B131" s="2">
        <f>IFERROR(HLOOKUP(B$1,Data!$1:$149,ROW(Bilanço!$A131),0),"")</f>
        <v>-492378000</v>
      </c>
      <c r="C131" s="2">
        <f>IFERROR(HLOOKUP(C$1,Data!$1:$149,ROW(Bilanço!$A131),0),"")</f>
        <v>-709905000</v>
      </c>
      <c r="D131" s="2">
        <f>IFERROR(HLOOKUP(D$1,Data!$1:$149,ROW(Bilanço!$A131),0),"")</f>
        <v>-1096323000</v>
      </c>
      <c r="E131" s="2">
        <f>IFERROR(HLOOKUP(E$1,Data!$1:$149,ROW(Bilanço!$A131),0),"")</f>
        <v>-1074252000</v>
      </c>
      <c r="F131" s="2">
        <f>IFERROR(HLOOKUP(F$1,Data!$1:$149,ROW(Bilanço!$A131),0),"")</f>
        <v>-795278000</v>
      </c>
      <c r="G131" s="2">
        <f>IFERROR(HLOOKUP(G$1,Data!$1:$149,ROW(Bilanço!$A131),0),"")</f>
        <v>-836911000</v>
      </c>
      <c r="H131" s="2">
        <f>IFERROR(HLOOKUP(H$1,Data!$1:$149,ROW(Bilanço!$A131),0),"")</f>
        <v>-971542000</v>
      </c>
      <c r="I131" s="2">
        <f>IFERROR(HLOOKUP(I$1,Data!$1:$149,ROW(Bilanço!$A131),0),"")</f>
        <v>-2425350000</v>
      </c>
      <c r="J131" s="3">
        <f>IFERROR(HLOOKUP(J$1,Data!$1:$149,ROW(Bilanço!$A131),0),"")</f>
        <v>-1149287000</v>
      </c>
      <c r="K131" s="3">
        <f>IFERROR(HLOOKUP(K$1,Data!$1:$149,ROW(Bilanço!$A131),0),"")</f>
        <v>-2016796000</v>
      </c>
      <c r="L131" s="3">
        <f>IFERROR(HLOOKUP(L$1,Data!$1:$149,ROW(Bilanço!$A131),0),"")</f>
        <v>-3881659000</v>
      </c>
      <c r="M131" s="3">
        <f>IFERROR(HLOOKUP(M$1,Data!$1:$149,ROW(Bilanço!$A131),0),"")</f>
        <v>-4994943000</v>
      </c>
      <c r="N131" s="3">
        <f>IFERROR(HLOOKUP(N$1,Data!$1:$149,ROW(Bilanço!$A131),0),"")</f>
        <v>-4862573000</v>
      </c>
      <c r="O131" s="3">
        <f>IFERROR(HLOOKUP(O$1,Data!$1:$149,ROW(Bilanço!$A131),0),"")</f>
        <v>-6700838000</v>
      </c>
      <c r="P131" s="3">
        <f>IFERROR(HLOOKUP(P$1,Data!$1:$149,ROW(Bilanço!$A131),0),"")</f>
        <v>-7054940000</v>
      </c>
      <c r="Q131" s="3">
        <f>IFERROR(HLOOKUP(Q$1,Data!$1:$149,ROW(Bilanço!$A131),0),"")</f>
        <v>-6181227000</v>
      </c>
      <c r="R131" s="3">
        <f>IFERROR(HLOOKUP(R$1,Data!$1:$149,ROW(Bilanço!$A131),0),"")</f>
        <v>-8453548000</v>
      </c>
      <c r="S131" s="3">
        <f>IFERROR(HLOOKUP(S$1,Data!$1:$149,ROW(Bilanço!$A131),0),"")</f>
        <v>-7523923000</v>
      </c>
      <c r="T131" s="3">
        <f>IFERROR(HLOOKUP(T$1,Data!$1:$149,ROW(Bilanço!$A131),0),"")</f>
        <v>-13581182000</v>
      </c>
      <c r="U131" s="3">
        <f>IFERROR(HLOOKUP(U$1,Data!$1:$149,ROW(Bilanço!$A131),0),"")</f>
        <v>-13347190722</v>
      </c>
      <c r="V131" s="3">
        <f>IFERROR(HLOOKUP(V$1,Data!$1:$149,ROW(Bilanço!$A131),0),"")</f>
        <v>-12750482000</v>
      </c>
      <c r="W131" s="3">
        <f>IFERROR(HLOOKUP(W$1,Data!$1:$149,ROW(Bilanço!$A131),0),"")</f>
        <v>-15456990000</v>
      </c>
      <c r="X131" s="3">
        <f>IFERROR(HLOOKUP(X$1,Data!$1:$149,ROW(Bilanço!$A131),0),"")</f>
        <v>-18584189000</v>
      </c>
    </row>
    <row r="132" spans="1:24" x14ac:dyDescent="0.25">
      <c r="A132" t="str">
        <f>Data!A132</f>
        <v xml:space="preserve"> Esas Faaliyet ile İlgili Oluşan Nakit (+)</v>
      </c>
      <c r="B132" s="2">
        <f>IFERROR(HLOOKUP(B$1,Data!$1:$149,ROW(Bilanço!$A132),0),"")</f>
        <v>123045000</v>
      </c>
      <c r="C132" s="2">
        <f>IFERROR(HLOOKUP(C$1,Data!$1:$149,ROW(Bilanço!$A132),0),"")</f>
        <v>297252000</v>
      </c>
      <c r="D132" s="2">
        <f>IFERROR(HLOOKUP(D$1,Data!$1:$149,ROW(Bilanço!$A132),0),"")</f>
        <v>630329000</v>
      </c>
      <c r="E132" s="2">
        <f>IFERROR(HLOOKUP(E$1,Data!$1:$149,ROW(Bilanço!$A132),0),"")</f>
        <v>1079454000</v>
      </c>
      <c r="F132" s="2">
        <f>IFERROR(HLOOKUP(F$1,Data!$1:$149,ROW(Bilanço!$A132),0),"")</f>
        <v>-121482000</v>
      </c>
      <c r="G132" s="2">
        <f>IFERROR(HLOOKUP(G$1,Data!$1:$149,ROW(Bilanço!$A132),0),"")</f>
        <v>389366000</v>
      </c>
      <c r="H132" s="2">
        <f>IFERROR(HLOOKUP(H$1,Data!$1:$149,ROW(Bilanço!$A132),0),"")</f>
        <v>767844000</v>
      </c>
      <c r="I132" s="2">
        <f>IFERROR(HLOOKUP(I$1,Data!$1:$149,ROW(Bilanço!$A132),0),"")</f>
        <v>557469000</v>
      </c>
      <c r="J132" s="3">
        <f>IFERROR(HLOOKUP(J$1,Data!$1:$149,ROW(Bilanço!$A132),0),"")</f>
        <v>610240000</v>
      </c>
      <c r="K132" s="3">
        <f>IFERROR(HLOOKUP(K$1,Data!$1:$149,ROW(Bilanço!$A132),0),"")</f>
        <v>1159149000</v>
      </c>
      <c r="L132" s="3">
        <f>IFERROR(HLOOKUP(L$1,Data!$1:$149,ROW(Bilanço!$A132),0),"")</f>
        <v>1137182000</v>
      </c>
      <c r="M132" s="3">
        <f>IFERROR(HLOOKUP(M$1,Data!$1:$149,ROW(Bilanço!$A132),0),"")</f>
        <v>5597158000</v>
      </c>
      <c r="N132" s="3">
        <f>IFERROR(HLOOKUP(N$1,Data!$1:$149,ROW(Bilanço!$A132),0),"")</f>
        <v>718073000</v>
      </c>
      <c r="O132" s="3">
        <f>IFERROR(HLOOKUP(O$1,Data!$1:$149,ROW(Bilanço!$A132),0),"")</f>
        <v>4458821000</v>
      </c>
      <c r="P132" s="3">
        <f>IFERROR(HLOOKUP(P$1,Data!$1:$149,ROW(Bilanço!$A132),0),"")</f>
        <v>8458870000</v>
      </c>
      <c r="Q132" s="3">
        <f>IFERROR(HLOOKUP(Q$1,Data!$1:$149,ROW(Bilanço!$A132),0),"")</f>
        <v>13578722000</v>
      </c>
      <c r="R132" s="3">
        <f>IFERROR(HLOOKUP(R$1,Data!$1:$149,ROW(Bilanço!$A132),0),"")</f>
        <v>-747258000</v>
      </c>
      <c r="S132" s="3">
        <f>IFERROR(HLOOKUP(S$1,Data!$1:$149,ROW(Bilanço!$A132),0),"")</f>
        <v>4464556000</v>
      </c>
      <c r="T132" s="3">
        <f>IFERROR(HLOOKUP(T$1,Data!$1:$149,ROW(Bilanço!$A132),0),"")</f>
        <v>3597325000</v>
      </c>
      <c r="U132" s="3">
        <f>IFERROR(HLOOKUP(U$1,Data!$1:$149,ROW(Bilanço!$A132),0),"")</f>
        <v>9514557965</v>
      </c>
      <c r="V132" s="3">
        <f>IFERROR(HLOOKUP(V$1,Data!$1:$149,ROW(Bilanço!$A132),0),"")</f>
        <v>-5267494000</v>
      </c>
      <c r="W132" s="3">
        <f>IFERROR(HLOOKUP(W$1,Data!$1:$149,ROW(Bilanço!$A132),0),"")</f>
        <v>-3422139000</v>
      </c>
      <c r="X132" s="3">
        <f>IFERROR(HLOOKUP(X$1,Data!$1:$149,ROW(Bilanço!$A132),0),"")</f>
        <v>-824217000</v>
      </c>
    </row>
    <row r="133" spans="1:24" x14ac:dyDescent="0.25">
      <c r="A133" t="str">
        <f>Data!A133</f>
        <v xml:space="preserve">  Diğer İşletme Faaliyetlerinden Nakit</v>
      </c>
      <c r="B133" s="2">
        <f>IFERROR(HLOOKUP(B$1,Data!$1:$149,ROW(Bilanço!$A133),0),"")</f>
        <v>-45546000</v>
      </c>
      <c r="C133" s="2">
        <f>IFERROR(HLOOKUP(C$1,Data!$1:$149,ROW(Bilanço!$A133),0),"")</f>
        <v>-180186000</v>
      </c>
      <c r="D133" s="2">
        <f>IFERROR(HLOOKUP(D$1,Data!$1:$149,ROW(Bilanço!$A133),0),"")</f>
        <v>-337671000</v>
      </c>
      <c r="E133" s="2">
        <f>IFERROR(HLOOKUP(E$1,Data!$1:$149,ROW(Bilanço!$A133),0),"")</f>
        <v>-449427000</v>
      </c>
      <c r="F133" s="2">
        <f>IFERROR(HLOOKUP(F$1,Data!$1:$149,ROW(Bilanço!$A133),0),"")</f>
        <v>-76214000</v>
      </c>
      <c r="G133" s="2">
        <f>IFERROR(HLOOKUP(G$1,Data!$1:$149,ROW(Bilanço!$A133),0),"")</f>
        <v>-318109000</v>
      </c>
      <c r="H133" s="2">
        <f>IFERROR(HLOOKUP(H$1,Data!$1:$149,ROW(Bilanço!$A133),0),"")</f>
        <v>-458536000</v>
      </c>
      <c r="I133" s="2">
        <f>IFERROR(HLOOKUP(I$1,Data!$1:$149,ROW(Bilanço!$A133),0),"")</f>
        <v>-530130000</v>
      </c>
      <c r="J133" s="3">
        <f>IFERROR(HLOOKUP(J$1,Data!$1:$149,ROW(Bilanço!$A133),0),"")</f>
        <v>-249835000</v>
      </c>
      <c r="K133" s="3">
        <f>IFERROR(HLOOKUP(K$1,Data!$1:$149,ROW(Bilanço!$A133),0),"")</f>
        <v>-419798000</v>
      </c>
      <c r="L133" s="3">
        <f>IFERROR(HLOOKUP(L$1,Data!$1:$149,ROW(Bilanço!$A133),0),"")</f>
        <v>-574343000</v>
      </c>
      <c r="M133" s="3">
        <f>IFERROR(HLOOKUP(M$1,Data!$1:$149,ROW(Bilanço!$A133),0),"")</f>
        <v>-1575373000</v>
      </c>
      <c r="N133" s="3">
        <f>IFERROR(HLOOKUP(N$1,Data!$1:$149,ROW(Bilanço!$A133),0),"")</f>
        <v>-529374000</v>
      </c>
      <c r="O133" s="3">
        <f>IFERROR(HLOOKUP(O$1,Data!$1:$149,ROW(Bilanço!$A133),0),"")</f>
        <v>-1583170000</v>
      </c>
      <c r="P133" s="3">
        <f>IFERROR(HLOOKUP(P$1,Data!$1:$149,ROW(Bilanço!$A133),0),"")</f>
        <v>-2600017000</v>
      </c>
      <c r="Q133" s="3">
        <f>IFERROR(HLOOKUP(Q$1,Data!$1:$149,ROW(Bilanço!$A133),0),"")</f>
        <v>-2965375000</v>
      </c>
      <c r="R133" s="3">
        <f>IFERROR(HLOOKUP(R$1,Data!$1:$149,ROW(Bilanço!$A133),0),"")</f>
        <v>-514202000</v>
      </c>
      <c r="S133" s="3">
        <f>IFERROR(HLOOKUP(S$1,Data!$1:$149,ROW(Bilanço!$A133),0),"")</f>
        <v>-1460994000</v>
      </c>
      <c r="T133" s="3">
        <f>IFERROR(HLOOKUP(T$1,Data!$1:$149,ROW(Bilanço!$A133),0),"")</f>
        <v>-1931152000</v>
      </c>
      <c r="U133" s="3">
        <f>IFERROR(HLOOKUP(U$1,Data!$1:$149,ROW(Bilanço!$A133),0),"")</f>
        <v>-2254624436</v>
      </c>
      <c r="V133" s="3">
        <f>IFERROR(HLOOKUP(V$1,Data!$1:$149,ROW(Bilanço!$A133),0),"")</f>
        <v>-473824000</v>
      </c>
      <c r="W133" s="3">
        <f>IFERROR(HLOOKUP(W$1,Data!$1:$149,ROW(Bilanço!$A133),0),"")</f>
        <v>-1058503000</v>
      </c>
      <c r="X133" s="3">
        <f>IFERROR(HLOOKUP(X$1,Data!$1:$149,ROW(Bilanço!$A133),0),"")</f>
        <v>-1541634000</v>
      </c>
    </row>
    <row r="134" spans="1:24" x14ac:dyDescent="0.25">
      <c r="A134" t="str">
        <f>Data!A134</f>
        <v xml:space="preserve">  Sabit Sermaye Yatırımları</v>
      </c>
      <c r="B134" s="2">
        <f>IFERROR(HLOOKUP(B$1,Data!$1:$149,ROW(Bilanço!$A134),0),"")</f>
        <v>-23046000</v>
      </c>
      <c r="C134" s="2">
        <f>IFERROR(HLOOKUP(C$1,Data!$1:$149,ROW(Bilanço!$A134),0),"")</f>
        <v>-49386000</v>
      </c>
      <c r="D134" s="2">
        <f>IFERROR(HLOOKUP(D$1,Data!$1:$149,ROW(Bilanço!$A134),0),"")</f>
        <v>-100099000</v>
      </c>
      <c r="E134" s="2">
        <f>IFERROR(HLOOKUP(E$1,Data!$1:$149,ROW(Bilanço!$A134),0),"")</f>
        <v>-216858000</v>
      </c>
      <c r="F134" s="2">
        <f>IFERROR(HLOOKUP(F$1,Data!$1:$149,ROW(Bilanço!$A134),0),"")</f>
        <v>-28222000</v>
      </c>
      <c r="G134" s="2">
        <f>IFERROR(HLOOKUP(G$1,Data!$1:$149,ROW(Bilanço!$A134),0),"")</f>
        <v>-97708000</v>
      </c>
      <c r="H134" s="2">
        <f>IFERROR(HLOOKUP(H$1,Data!$1:$149,ROW(Bilanço!$A134),0),"")</f>
        <v>-124780000</v>
      </c>
      <c r="I134" s="2">
        <f>IFERROR(HLOOKUP(I$1,Data!$1:$149,ROW(Bilanço!$A134),0),"")</f>
        <v>-464987000</v>
      </c>
      <c r="J134" s="3">
        <f>IFERROR(HLOOKUP(J$1,Data!$1:$149,ROW(Bilanço!$A134),0),"")</f>
        <v>-74890000</v>
      </c>
      <c r="K134" s="3">
        <f>IFERROR(HLOOKUP(K$1,Data!$1:$149,ROW(Bilanço!$A134),0),"")</f>
        <v>-180176000</v>
      </c>
      <c r="L134" s="3">
        <f>IFERROR(HLOOKUP(L$1,Data!$1:$149,ROW(Bilanço!$A134),0),"")</f>
        <v>-324683000</v>
      </c>
      <c r="M134" s="3">
        <f>IFERROR(HLOOKUP(M$1,Data!$1:$149,ROW(Bilanço!$A134),0),"")</f>
        <v>-1146434000</v>
      </c>
      <c r="N134" s="3">
        <f>IFERROR(HLOOKUP(N$1,Data!$1:$149,ROW(Bilanço!$A134),0),"")</f>
        <v>-255102000</v>
      </c>
      <c r="O134" s="3">
        <f>IFERROR(HLOOKUP(O$1,Data!$1:$149,ROW(Bilanço!$A134),0),"")</f>
        <v>-514736000</v>
      </c>
      <c r="P134" s="3">
        <f>IFERROR(HLOOKUP(P$1,Data!$1:$149,ROW(Bilanço!$A134),0),"")</f>
        <v>-978139000</v>
      </c>
      <c r="Q134" s="3">
        <f>IFERROR(HLOOKUP(Q$1,Data!$1:$149,ROW(Bilanço!$A134),0),"")</f>
        <v>-1604351000</v>
      </c>
      <c r="R134" s="3">
        <f>IFERROR(HLOOKUP(R$1,Data!$1:$149,ROW(Bilanço!$A134),0),"")</f>
        <v>-372893000</v>
      </c>
      <c r="S134" s="3">
        <f>IFERROR(HLOOKUP(S$1,Data!$1:$149,ROW(Bilanço!$A134),0),"")</f>
        <v>-828502000</v>
      </c>
      <c r="T134" s="3">
        <f>IFERROR(HLOOKUP(T$1,Data!$1:$149,ROW(Bilanço!$A134),0),"")</f>
        <v>-1704862000</v>
      </c>
      <c r="U134" s="3">
        <f>IFERROR(HLOOKUP(U$1,Data!$1:$149,ROW(Bilanço!$A134),0),"")</f>
        <v>-3197591534</v>
      </c>
      <c r="V134" s="3">
        <f>IFERROR(HLOOKUP(V$1,Data!$1:$149,ROW(Bilanço!$A134),0),"")</f>
        <v>-175842000</v>
      </c>
      <c r="W134" s="3">
        <f>IFERROR(HLOOKUP(W$1,Data!$1:$149,ROW(Bilanço!$A134),0),"")</f>
        <v>-455323000</v>
      </c>
      <c r="X134" s="3">
        <f>IFERROR(HLOOKUP(X$1,Data!$1:$149,ROW(Bilanço!$A134),0),"")</f>
        <v>-1086068000</v>
      </c>
    </row>
    <row r="135" spans="1:24" x14ac:dyDescent="0.25">
      <c r="A135" t="str">
        <f>Data!A135</f>
        <v xml:space="preserve">  Diğer Yatırım Faaliyetlerinden Nakit</v>
      </c>
      <c r="B135" s="2">
        <f>IFERROR(HLOOKUP(B$1,Data!$1:$149,ROW(Bilanço!$A135),0),"")</f>
        <v>-765911000</v>
      </c>
      <c r="C135" s="2">
        <f>IFERROR(HLOOKUP(C$1,Data!$1:$149,ROW(Bilanço!$A135),0),"")</f>
        <v>161698000</v>
      </c>
      <c r="D135" s="2">
        <f>IFERROR(HLOOKUP(D$1,Data!$1:$149,ROW(Bilanço!$A135),0),"")</f>
        <v>841357000</v>
      </c>
      <c r="E135" s="2">
        <f>IFERROR(HLOOKUP(E$1,Data!$1:$149,ROW(Bilanço!$A135),0),"")</f>
        <v>-550396000</v>
      </c>
      <c r="F135" s="2">
        <f>IFERROR(HLOOKUP(F$1,Data!$1:$149,ROW(Bilanço!$A135),0),"")</f>
        <v>-1071938000</v>
      </c>
      <c r="G135" s="2">
        <f>IFERROR(HLOOKUP(G$1,Data!$1:$149,ROW(Bilanço!$A135),0),"")</f>
        <v>-1025944000</v>
      </c>
      <c r="H135" s="2">
        <f>IFERROR(HLOOKUP(H$1,Data!$1:$149,ROW(Bilanço!$A135),0),"")</f>
        <v>-1099345000</v>
      </c>
      <c r="I135" s="2">
        <f>IFERROR(HLOOKUP(I$1,Data!$1:$149,ROW(Bilanço!$A135),0),"")</f>
        <v>-1078837000</v>
      </c>
      <c r="J135" s="3">
        <f>IFERROR(HLOOKUP(J$1,Data!$1:$149,ROW(Bilanço!$A135),0),"")</f>
        <v>-242347000</v>
      </c>
      <c r="K135" s="3">
        <f>IFERROR(HLOOKUP(K$1,Data!$1:$149,ROW(Bilanço!$A135),0),"")</f>
        <v>-226711000</v>
      </c>
      <c r="L135" s="3">
        <f>IFERROR(HLOOKUP(L$1,Data!$1:$149,ROW(Bilanço!$A135),0),"")</f>
        <v>641345000</v>
      </c>
      <c r="M135" s="3">
        <f>IFERROR(HLOOKUP(M$1,Data!$1:$149,ROW(Bilanço!$A135),0),"")</f>
        <v>11483124000</v>
      </c>
      <c r="N135" s="3">
        <f>IFERROR(HLOOKUP(N$1,Data!$1:$149,ROW(Bilanço!$A135),0),"")</f>
        <v>687180000</v>
      </c>
      <c r="O135" s="3">
        <f>IFERROR(HLOOKUP(O$1,Data!$1:$149,ROW(Bilanço!$A135),0),"")</f>
        <v>176895000</v>
      </c>
      <c r="P135" s="3">
        <f>IFERROR(HLOOKUP(P$1,Data!$1:$149,ROW(Bilanço!$A135),0),"")</f>
        <v>857203000</v>
      </c>
      <c r="Q135" s="3">
        <f>IFERROR(HLOOKUP(Q$1,Data!$1:$149,ROW(Bilanço!$A135),0),"")</f>
        <v>985158000</v>
      </c>
      <c r="R135" s="3">
        <f>IFERROR(HLOOKUP(R$1,Data!$1:$149,ROW(Bilanço!$A135),0),"")</f>
        <v>123067000</v>
      </c>
      <c r="S135" s="3">
        <f>IFERROR(HLOOKUP(S$1,Data!$1:$149,ROW(Bilanço!$A135),0),"")</f>
        <v>917034000</v>
      </c>
      <c r="T135" s="3">
        <f>IFERROR(HLOOKUP(T$1,Data!$1:$149,ROW(Bilanço!$A135),0),"")</f>
        <v>1999977000</v>
      </c>
      <c r="U135" s="3">
        <f>IFERROR(HLOOKUP(U$1,Data!$1:$149,ROW(Bilanço!$A135),0),"")</f>
        <v>3628095983</v>
      </c>
      <c r="V135" s="3">
        <f>IFERROR(HLOOKUP(V$1,Data!$1:$149,ROW(Bilanço!$A135),0),"")</f>
        <v>726181000</v>
      </c>
      <c r="W135" s="3">
        <f>IFERROR(HLOOKUP(W$1,Data!$1:$149,ROW(Bilanço!$A135),0),"")</f>
        <v>2159329000</v>
      </c>
      <c r="X135" s="3">
        <f>IFERROR(HLOOKUP(X$1,Data!$1:$149,ROW(Bilanço!$A135),0),"")</f>
        <v>3825566000</v>
      </c>
    </row>
    <row r="136" spans="1:24" x14ac:dyDescent="0.25">
      <c r="A136" t="str">
        <f>Data!A136</f>
        <v xml:space="preserve"> Yatırım Faaliyetlerinden Kaynaklanan Nakit</v>
      </c>
      <c r="B136" s="2">
        <f>IFERROR(HLOOKUP(B$1,Data!$1:$149,ROW(Bilanço!$A136),0),"")</f>
        <v>-788957000</v>
      </c>
      <c r="C136" s="2">
        <f>IFERROR(HLOOKUP(C$1,Data!$1:$149,ROW(Bilanço!$A136),0),"")</f>
        <v>112312000</v>
      </c>
      <c r="D136" s="2">
        <f>IFERROR(HLOOKUP(D$1,Data!$1:$149,ROW(Bilanço!$A136),0),"")</f>
        <v>741258000</v>
      </c>
      <c r="E136" s="2">
        <f>IFERROR(HLOOKUP(E$1,Data!$1:$149,ROW(Bilanço!$A136),0),"")</f>
        <v>-767254000</v>
      </c>
      <c r="F136" s="2">
        <f>IFERROR(HLOOKUP(F$1,Data!$1:$149,ROW(Bilanço!$A136),0),"")</f>
        <v>-1100160000</v>
      </c>
      <c r="G136" s="2">
        <f>IFERROR(HLOOKUP(G$1,Data!$1:$149,ROW(Bilanço!$A136),0),"")</f>
        <v>-1123652000</v>
      </c>
      <c r="H136" s="2">
        <f>IFERROR(HLOOKUP(H$1,Data!$1:$149,ROW(Bilanço!$A136),0),"")</f>
        <v>-1224125000</v>
      </c>
      <c r="I136" s="2">
        <f>IFERROR(HLOOKUP(I$1,Data!$1:$149,ROW(Bilanço!$A136),0),"")</f>
        <v>-1543824000</v>
      </c>
      <c r="J136" s="3">
        <f>IFERROR(HLOOKUP(J$1,Data!$1:$149,ROW(Bilanço!$A136),0),"")</f>
        <v>-317237000</v>
      </c>
      <c r="K136" s="3">
        <f>IFERROR(HLOOKUP(K$1,Data!$1:$149,ROW(Bilanço!$A136),0),"")</f>
        <v>-406887000</v>
      </c>
      <c r="L136" s="3">
        <f>IFERROR(HLOOKUP(L$1,Data!$1:$149,ROW(Bilanço!$A136),0),"")</f>
        <v>316662000</v>
      </c>
      <c r="M136" s="3">
        <f>IFERROR(HLOOKUP(M$1,Data!$1:$149,ROW(Bilanço!$A136),0),"")</f>
        <v>10336690000</v>
      </c>
      <c r="N136" s="3">
        <f>IFERROR(HLOOKUP(N$1,Data!$1:$149,ROW(Bilanço!$A136),0),"")</f>
        <v>432078000</v>
      </c>
      <c r="O136" s="3">
        <f>IFERROR(HLOOKUP(O$1,Data!$1:$149,ROW(Bilanço!$A136),0),"")</f>
        <v>-337841000</v>
      </c>
      <c r="P136" s="3">
        <f>IFERROR(HLOOKUP(P$1,Data!$1:$149,ROW(Bilanço!$A136),0),"")</f>
        <v>-120936000</v>
      </c>
      <c r="Q136" s="3">
        <f>IFERROR(HLOOKUP(Q$1,Data!$1:$149,ROW(Bilanço!$A136),0),"")</f>
        <v>-619193000</v>
      </c>
      <c r="R136" s="3">
        <f>IFERROR(HLOOKUP(R$1,Data!$1:$149,ROW(Bilanço!$A136),0),"")</f>
        <v>-249826000</v>
      </c>
      <c r="S136" s="3">
        <f>IFERROR(HLOOKUP(S$1,Data!$1:$149,ROW(Bilanço!$A136),0),"")</f>
        <v>88532000</v>
      </c>
      <c r="T136" s="3">
        <f>IFERROR(HLOOKUP(T$1,Data!$1:$149,ROW(Bilanço!$A136),0),"")</f>
        <v>295115000</v>
      </c>
      <c r="U136" s="3">
        <f>IFERROR(HLOOKUP(U$1,Data!$1:$149,ROW(Bilanço!$A136),0),"")</f>
        <v>430504449</v>
      </c>
      <c r="V136" s="3">
        <f>IFERROR(HLOOKUP(V$1,Data!$1:$149,ROW(Bilanço!$A136),0),"")</f>
        <v>550339000</v>
      </c>
      <c r="W136" s="3">
        <f>IFERROR(HLOOKUP(W$1,Data!$1:$149,ROW(Bilanço!$A136),0),"")</f>
        <v>1704006000</v>
      </c>
      <c r="X136" s="3">
        <f>IFERROR(HLOOKUP(X$1,Data!$1:$149,ROW(Bilanço!$A136),0),"")</f>
        <v>2739498000</v>
      </c>
    </row>
    <row r="137" spans="1:24" x14ac:dyDescent="0.25">
      <c r="A137" t="str">
        <f>Data!A137</f>
        <v>Serbest Nakit Akım</v>
      </c>
      <c r="B137" s="2">
        <f>IFERROR(HLOOKUP(B$1,Data!$1:$149,ROW(Bilanço!$A137),0),"")</f>
        <v>-711458000</v>
      </c>
      <c r="C137" s="2">
        <f>IFERROR(HLOOKUP(C$1,Data!$1:$149,ROW(Bilanço!$A137),0),"")</f>
        <v>229378000</v>
      </c>
      <c r="D137" s="2">
        <f>IFERROR(HLOOKUP(D$1,Data!$1:$149,ROW(Bilanço!$A137),0),"")</f>
        <v>1033916000</v>
      </c>
      <c r="E137" s="2">
        <f>IFERROR(HLOOKUP(E$1,Data!$1:$149,ROW(Bilanço!$A137),0),"")</f>
        <v>-137227000</v>
      </c>
      <c r="F137" s="2">
        <f>IFERROR(HLOOKUP(F$1,Data!$1:$149,ROW(Bilanço!$A137),0),"")</f>
        <v>-1297856000</v>
      </c>
      <c r="G137" s="2">
        <f>IFERROR(HLOOKUP(G$1,Data!$1:$149,ROW(Bilanço!$A137),0),"")</f>
        <v>-1052395000</v>
      </c>
      <c r="H137" s="2">
        <f>IFERROR(HLOOKUP(H$1,Data!$1:$149,ROW(Bilanço!$A137),0),"")</f>
        <v>-914817000</v>
      </c>
      <c r="I137" s="2">
        <f>IFERROR(HLOOKUP(I$1,Data!$1:$149,ROW(Bilanço!$A137),0),"")</f>
        <v>-1516485000</v>
      </c>
      <c r="J137" s="3">
        <f>IFERROR(HLOOKUP(J$1,Data!$1:$149,ROW(Bilanço!$A137),0),"")</f>
        <v>43168000</v>
      </c>
      <c r="K137" s="3">
        <f>IFERROR(HLOOKUP(K$1,Data!$1:$149,ROW(Bilanço!$A137),0),"")</f>
        <v>332464000</v>
      </c>
      <c r="L137" s="3">
        <f>IFERROR(HLOOKUP(L$1,Data!$1:$149,ROW(Bilanço!$A137),0),"")</f>
        <v>879501000</v>
      </c>
      <c r="M137" s="3">
        <f>IFERROR(HLOOKUP(M$1,Data!$1:$149,ROW(Bilanço!$A137),0),"")</f>
        <v>14358475000</v>
      </c>
      <c r="N137" s="3">
        <f>IFERROR(HLOOKUP(N$1,Data!$1:$149,ROW(Bilanço!$A137),0),"")</f>
        <v>620777000</v>
      </c>
      <c r="O137" s="3">
        <f>IFERROR(HLOOKUP(O$1,Data!$1:$149,ROW(Bilanço!$A137),0),"")</f>
        <v>2537810000</v>
      </c>
      <c r="P137" s="3">
        <f>IFERROR(HLOOKUP(P$1,Data!$1:$149,ROW(Bilanço!$A137),0),"")</f>
        <v>5737917000</v>
      </c>
      <c r="Q137" s="3">
        <f>IFERROR(HLOOKUP(Q$1,Data!$1:$149,ROW(Bilanço!$A137),0),"")</f>
        <v>9994154000</v>
      </c>
      <c r="R137" s="3">
        <f>IFERROR(HLOOKUP(R$1,Data!$1:$149,ROW(Bilanço!$A137),0),"")</f>
        <v>-1511286000</v>
      </c>
      <c r="S137" s="3">
        <f>IFERROR(HLOOKUP(S$1,Data!$1:$149,ROW(Bilanço!$A137),0),"")</f>
        <v>3092094000</v>
      </c>
      <c r="T137" s="3">
        <f>IFERROR(HLOOKUP(T$1,Data!$1:$149,ROW(Bilanço!$A137),0),"")</f>
        <v>1961288000</v>
      </c>
      <c r="U137" s="3">
        <f>IFERROR(HLOOKUP(U$1,Data!$1:$149,ROW(Bilanço!$A137),0),"")</f>
        <v>7690437978</v>
      </c>
      <c r="V137" s="3">
        <f>IFERROR(HLOOKUP(V$1,Data!$1:$149,ROW(Bilanço!$A137),0),"")</f>
        <v>-5190979000</v>
      </c>
      <c r="W137" s="3">
        <f>IFERROR(HLOOKUP(W$1,Data!$1:$149,ROW(Bilanço!$A137),0),"")</f>
        <v>-2776636000</v>
      </c>
      <c r="X137" s="3">
        <f>IFERROR(HLOOKUP(X$1,Data!$1:$149,ROW(Bilanço!$A137),0),"")</f>
        <v>373647000</v>
      </c>
    </row>
    <row r="138" spans="1:24" x14ac:dyDescent="0.25">
      <c r="A138" t="str">
        <f>Data!A138</f>
        <v>Finansal Borçlardaki Değişim</v>
      </c>
      <c r="B138" s="2">
        <f>IFERROR(HLOOKUP(B$1,Data!$1:$149,ROW(Bilanço!$A138),0),"")</f>
        <v>-55801000</v>
      </c>
      <c r="C138" s="2">
        <f>IFERROR(HLOOKUP(C$1,Data!$1:$149,ROW(Bilanço!$A138),0),"")</f>
        <v>390558000</v>
      </c>
      <c r="D138" s="2">
        <f>IFERROR(HLOOKUP(D$1,Data!$1:$149,ROW(Bilanço!$A138),0),"")</f>
        <v>192781000</v>
      </c>
      <c r="E138" s="2">
        <f>IFERROR(HLOOKUP(E$1,Data!$1:$149,ROW(Bilanço!$A138),0),"")</f>
        <v>1862513000</v>
      </c>
      <c r="F138" s="2">
        <f>IFERROR(HLOOKUP(F$1,Data!$1:$149,ROW(Bilanço!$A138),0),"")</f>
        <v>624753000</v>
      </c>
      <c r="G138" s="2">
        <f>IFERROR(HLOOKUP(G$1,Data!$1:$149,ROW(Bilanço!$A138),0),"")</f>
        <v>536183000</v>
      </c>
      <c r="H138" s="2">
        <f>IFERROR(HLOOKUP(H$1,Data!$1:$149,ROW(Bilanço!$A138),0),"")</f>
        <v>246394000</v>
      </c>
      <c r="I138" s="2">
        <f>IFERROR(HLOOKUP(I$1,Data!$1:$149,ROW(Bilanço!$A138),0),"")</f>
        <v>-117631000</v>
      </c>
      <c r="J138" s="3">
        <f>IFERROR(HLOOKUP(J$1,Data!$1:$149,ROW(Bilanço!$A138),0),"")</f>
        <v>-229116000</v>
      </c>
      <c r="K138" s="3">
        <f>IFERROR(HLOOKUP(K$1,Data!$1:$149,ROW(Bilanço!$A138),0),"")</f>
        <v>169549000</v>
      </c>
      <c r="L138" s="3">
        <f>IFERROR(HLOOKUP(L$1,Data!$1:$149,ROW(Bilanço!$A138),0),"")</f>
        <v>-68961000</v>
      </c>
      <c r="M138" s="3">
        <f>IFERROR(HLOOKUP(M$1,Data!$1:$149,ROW(Bilanço!$A138),0),"")</f>
        <v>-2000276000</v>
      </c>
      <c r="N138" s="3">
        <f>IFERROR(HLOOKUP(N$1,Data!$1:$149,ROW(Bilanço!$A138),0),"")</f>
        <v>276619000</v>
      </c>
      <c r="O138" s="3">
        <f>IFERROR(HLOOKUP(O$1,Data!$1:$149,ROW(Bilanço!$A138),0),"")</f>
        <v>-6874901000</v>
      </c>
      <c r="P138" s="3">
        <f>IFERROR(HLOOKUP(P$1,Data!$1:$149,ROW(Bilanço!$A138),0),"")</f>
        <v>-9753497000</v>
      </c>
      <c r="Q138" s="3">
        <f>IFERROR(HLOOKUP(Q$1,Data!$1:$149,ROW(Bilanço!$A138),0),"")</f>
        <v>-9960507000</v>
      </c>
      <c r="R138" s="3">
        <f>IFERROR(HLOOKUP(R$1,Data!$1:$149,ROW(Bilanço!$A138),0),"")</f>
        <v>572826000</v>
      </c>
      <c r="S138" s="3">
        <f>IFERROR(HLOOKUP(S$1,Data!$1:$149,ROW(Bilanço!$A138),0),"")</f>
        <v>5487096000</v>
      </c>
      <c r="T138" s="3">
        <f>IFERROR(HLOOKUP(T$1,Data!$1:$149,ROW(Bilanço!$A138),0),"")</f>
        <v>14803159000</v>
      </c>
      <c r="U138" s="3">
        <f>IFERROR(HLOOKUP(U$1,Data!$1:$149,ROW(Bilanço!$A138),0),"")</f>
        <v>13802758511</v>
      </c>
      <c r="V138" s="3">
        <f>IFERROR(HLOOKUP(V$1,Data!$1:$149,ROW(Bilanço!$A138),0),"")</f>
        <v>3185491000</v>
      </c>
      <c r="W138" s="3">
        <f>IFERROR(HLOOKUP(W$1,Data!$1:$149,ROW(Bilanço!$A138),0),"")</f>
        <v>8040171000</v>
      </c>
      <c r="X138" s="3">
        <f>IFERROR(HLOOKUP(X$1,Data!$1:$149,ROW(Bilanço!$A138),0),"")</f>
        <v>8042648000</v>
      </c>
    </row>
    <row r="139" spans="1:24" x14ac:dyDescent="0.25">
      <c r="A139" t="str">
        <f>Data!A139</f>
        <v>Temettü Ödemeleri</v>
      </c>
      <c r="B139" s="2">
        <f>IFERROR(HLOOKUP(B$1,Data!$1:$149,ROW(Bilanço!$A139),0),"")</f>
        <v>0</v>
      </c>
      <c r="C139" s="2">
        <f>IFERROR(HLOOKUP(C$1,Data!$1:$149,ROW(Bilanço!$A139),0),"")</f>
        <v>0</v>
      </c>
      <c r="D139" s="2">
        <f>IFERROR(HLOOKUP(D$1,Data!$1:$149,ROW(Bilanço!$A139),0),"")</f>
        <v>0</v>
      </c>
      <c r="E139" s="2">
        <f>IFERROR(HLOOKUP(E$1,Data!$1:$149,ROW(Bilanço!$A139),0),"")</f>
        <v>-6686000</v>
      </c>
      <c r="F139" s="2">
        <f>IFERROR(HLOOKUP(F$1,Data!$1:$149,ROW(Bilanço!$A139),0),"")</f>
        <v>-66025000</v>
      </c>
      <c r="G139" s="2">
        <f>IFERROR(HLOOKUP(G$1,Data!$1:$149,ROW(Bilanço!$A139),0),"")</f>
        <v>-349292000</v>
      </c>
      <c r="H139" s="2">
        <f>IFERROR(HLOOKUP(H$1,Data!$1:$149,ROW(Bilanço!$A139),0),"")</f>
        <v>-349291000</v>
      </c>
      <c r="I139" s="2">
        <f>IFERROR(HLOOKUP(I$1,Data!$1:$149,ROW(Bilanço!$A139),0),"")</f>
        <v>-373341000</v>
      </c>
      <c r="J139" s="3">
        <f>IFERROR(HLOOKUP(J$1,Data!$1:$149,ROW(Bilanço!$A139),0),"")</f>
        <v>0</v>
      </c>
      <c r="K139" s="3">
        <f>IFERROR(HLOOKUP(K$1,Data!$1:$149,ROW(Bilanço!$A139),0),"")</f>
        <v>0</v>
      </c>
      <c r="L139" s="3">
        <f>IFERROR(HLOOKUP(L$1,Data!$1:$149,ROW(Bilanço!$A139),0),"")</f>
        <v>-119590000</v>
      </c>
      <c r="M139" s="3">
        <f>IFERROR(HLOOKUP(M$1,Data!$1:$149,ROW(Bilanço!$A139),0),"")</f>
        <v>-198768000</v>
      </c>
      <c r="N139" s="3">
        <f>IFERROR(HLOOKUP(N$1,Data!$1:$149,ROW(Bilanço!$A139),0),"")</f>
        <v>0</v>
      </c>
      <c r="O139" s="3">
        <f>IFERROR(HLOOKUP(O$1,Data!$1:$149,ROW(Bilanço!$A139),0),"")</f>
        <v>-342871000</v>
      </c>
      <c r="P139" s="3">
        <f>IFERROR(HLOOKUP(P$1,Data!$1:$149,ROW(Bilanço!$A139),0),"")</f>
        <v>-298488000</v>
      </c>
      <c r="Q139" s="3">
        <f>IFERROR(HLOOKUP(Q$1,Data!$1:$149,ROW(Bilanço!$A139),0),"")</f>
        <v>-288485000</v>
      </c>
      <c r="R139" s="3">
        <f>IFERROR(HLOOKUP(R$1,Data!$1:$149,ROW(Bilanço!$A139),0),"")</f>
        <v>0</v>
      </c>
      <c r="S139" s="3">
        <f>IFERROR(HLOOKUP(S$1,Data!$1:$149,ROW(Bilanço!$A139),0),"")</f>
        <v>-461568000</v>
      </c>
      <c r="T139" s="3">
        <f>IFERROR(HLOOKUP(T$1,Data!$1:$149,ROW(Bilanço!$A139),0),"")</f>
        <v>-455571000</v>
      </c>
      <c r="U139" s="3">
        <f>IFERROR(HLOOKUP(U$1,Data!$1:$149,ROW(Bilanço!$A139),0),"")</f>
        <v>-457530762</v>
      </c>
      <c r="V139" s="3">
        <f>IFERROR(HLOOKUP(V$1,Data!$1:$149,ROW(Bilanço!$A139),0),"")</f>
        <v>0</v>
      </c>
      <c r="W139" s="3">
        <f>IFERROR(HLOOKUP(W$1,Data!$1:$149,ROW(Bilanço!$A139),0),"")</f>
        <v>-3436324000</v>
      </c>
      <c r="X139" s="3">
        <f>IFERROR(HLOOKUP(X$1,Data!$1:$149,ROW(Bilanço!$A139),0),"")</f>
        <v>-3680249000</v>
      </c>
    </row>
    <row r="140" spans="1:24" x14ac:dyDescent="0.25">
      <c r="A140" t="str">
        <f>Data!A140</f>
        <v>Sermaye Artırımı</v>
      </c>
      <c r="B140" s="2">
        <f>IFERROR(HLOOKUP(B$1,Data!$1:$149,ROW(Bilanço!$A140),0),"")</f>
        <v>0</v>
      </c>
      <c r="C140" s="2">
        <f>IFERROR(HLOOKUP(C$1,Data!$1:$149,ROW(Bilanço!$A140),0),"")</f>
        <v>0</v>
      </c>
      <c r="D140" s="2">
        <f>IFERROR(HLOOKUP(D$1,Data!$1:$149,ROW(Bilanço!$A140),0),"")</f>
        <v>0</v>
      </c>
      <c r="E140" s="2">
        <f>IFERROR(HLOOKUP(E$1,Data!$1:$149,ROW(Bilanço!$A140),0),"")</f>
        <v>0</v>
      </c>
      <c r="F140" s="2">
        <f>IFERROR(HLOOKUP(F$1,Data!$1:$149,ROW(Bilanço!$A140),0),"")</f>
        <v>0</v>
      </c>
      <c r="G140" s="2">
        <f>IFERROR(HLOOKUP(G$1,Data!$1:$149,ROW(Bilanço!$A140),0),"")</f>
        <v>0</v>
      </c>
      <c r="H140" s="2">
        <f>IFERROR(HLOOKUP(H$1,Data!$1:$149,ROW(Bilanço!$A140),0),"")</f>
        <v>0</v>
      </c>
      <c r="I140" s="2">
        <f>IFERROR(HLOOKUP(I$1,Data!$1:$149,ROW(Bilanço!$A140),0),"")</f>
        <v>0</v>
      </c>
      <c r="J140" s="3">
        <f>IFERROR(HLOOKUP(J$1,Data!$1:$149,ROW(Bilanço!$A140),0),"")</f>
        <v>0</v>
      </c>
      <c r="K140" s="3">
        <f>IFERROR(HLOOKUP(K$1,Data!$1:$149,ROW(Bilanço!$A140),0),"")</f>
        <v>0</v>
      </c>
      <c r="L140" s="3">
        <f>IFERROR(HLOOKUP(L$1,Data!$1:$149,ROW(Bilanço!$A140),0),"")</f>
        <v>0</v>
      </c>
      <c r="M140" s="3">
        <f>IFERROR(HLOOKUP(M$1,Data!$1:$149,ROW(Bilanço!$A140),0),"")</f>
        <v>0</v>
      </c>
      <c r="N140" s="3">
        <f>IFERROR(HLOOKUP(N$1,Data!$1:$149,ROW(Bilanço!$A140),0),"")</f>
        <v>0</v>
      </c>
      <c r="O140" s="3">
        <f>IFERROR(HLOOKUP(O$1,Data!$1:$149,ROW(Bilanço!$A140),0),"")</f>
        <v>0</v>
      </c>
      <c r="P140" s="3">
        <f>IFERROR(HLOOKUP(P$1,Data!$1:$149,ROW(Bilanço!$A140),0),"")</f>
        <v>0</v>
      </c>
      <c r="Q140" s="3">
        <f>IFERROR(HLOOKUP(Q$1,Data!$1:$149,ROW(Bilanço!$A140),0),"")</f>
        <v>0</v>
      </c>
      <c r="R140" s="3">
        <f>IFERROR(HLOOKUP(R$1,Data!$1:$149,ROW(Bilanço!$A140),0),"")</f>
        <v>0</v>
      </c>
      <c r="S140" s="3">
        <f>IFERROR(HLOOKUP(S$1,Data!$1:$149,ROW(Bilanço!$A140),0),"")</f>
        <v>0</v>
      </c>
      <c r="T140" s="3">
        <f>IFERROR(HLOOKUP(T$1,Data!$1:$149,ROW(Bilanço!$A140),0),"")</f>
        <v>0</v>
      </c>
      <c r="U140" s="3">
        <f>IFERROR(HLOOKUP(U$1,Data!$1:$149,ROW(Bilanço!$A140),0),"")</f>
        <v>0</v>
      </c>
      <c r="V140" s="3">
        <f>IFERROR(HLOOKUP(V$1,Data!$1:$149,ROW(Bilanço!$A140),0),"")</f>
        <v>0</v>
      </c>
      <c r="W140" s="3">
        <f>IFERROR(HLOOKUP(W$1,Data!$1:$149,ROW(Bilanço!$A140),0),"")</f>
        <v>0</v>
      </c>
      <c r="X140" s="3">
        <f>IFERROR(HLOOKUP(X$1,Data!$1:$149,ROW(Bilanço!$A140),0),"")</f>
        <v>0</v>
      </c>
    </row>
    <row r="141" spans="1:24" x14ac:dyDescent="0.25">
      <c r="A141" t="str">
        <f>Data!A141</f>
        <v>Diğer Finansman Faaliyetlerinden Nakit</v>
      </c>
      <c r="B141" s="2">
        <f>IFERROR(HLOOKUP(B$1,Data!$1:$149,ROW(Bilanço!$A141),0),"")</f>
        <v>-40985000</v>
      </c>
      <c r="C141" s="2">
        <f>IFERROR(HLOOKUP(C$1,Data!$1:$149,ROW(Bilanço!$A141),0),"")</f>
        <v>308465000</v>
      </c>
      <c r="D141" s="2">
        <f>IFERROR(HLOOKUP(D$1,Data!$1:$149,ROW(Bilanço!$A141),0),"")</f>
        <v>266255000</v>
      </c>
      <c r="E141" s="2">
        <f>IFERROR(HLOOKUP(E$1,Data!$1:$149,ROW(Bilanço!$A141),0),"")</f>
        <v>71847000</v>
      </c>
      <c r="F141" s="2">
        <f>IFERROR(HLOOKUP(F$1,Data!$1:$149,ROW(Bilanço!$A141),0),"")</f>
        <v>-47314000</v>
      </c>
      <c r="G141" s="2">
        <f>IFERROR(HLOOKUP(G$1,Data!$1:$149,ROW(Bilanço!$A141),0),"")</f>
        <v>-421950000</v>
      </c>
      <c r="H141" s="2">
        <f>IFERROR(HLOOKUP(H$1,Data!$1:$149,ROW(Bilanço!$A141),0),"")</f>
        <v>-469045000</v>
      </c>
      <c r="I141" s="2">
        <f>IFERROR(HLOOKUP(I$1,Data!$1:$149,ROW(Bilanço!$A141),0),"")</f>
        <v>-764403000</v>
      </c>
      <c r="J141" s="3">
        <f>IFERROR(HLOOKUP(J$1,Data!$1:$149,ROW(Bilanço!$A141),0),"")</f>
        <v>-74280000</v>
      </c>
      <c r="K141" s="3">
        <f>IFERROR(HLOOKUP(K$1,Data!$1:$149,ROW(Bilanço!$A141),0),"")</f>
        <v>-809991000</v>
      </c>
      <c r="L141" s="3">
        <f>IFERROR(HLOOKUP(L$1,Data!$1:$149,ROW(Bilanço!$A141),0),"")</f>
        <v>-857858000</v>
      </c>
      <c r="M141" s="3">
        <f>IFERROR(HLOOKUP(M$1,Data!$1:$149,ROW(Bilanço!$A141),0),"")</f>
        <v>-4033243000</v>
      </c>
      <c r="N141" s="3">
        <f>IFERROR(HLOOKUP(N$1,Data!$1:$149,ROW(Bilanço!$A141),0),"")</f>
        <v>-149312000</v>
      </c>
      <c r="O141" s="3">
        <f>IFERROR(HLOOKUP(O$1,Data!$1:$149,ROW(Bilanço!$A141),0),"")</f>
        <v>-1172108000</v>
      </c>
      <c r="P141" s="3">
        <f>IFERROR(HLOOKUP(P$1,Data!$1:$149,ROW(Bilanço!$A141),0),"")</f>
        <v>-1330067000</v>
      </c>
      <c r="Q141" s="3">
        <f>IFERROR(HLOOKUP(Q$1,Data!$1:$149,ROW(Bilanço!$A141),0),"")</f>
        <v>-4711070000</v>
      </c>
      <c r="R141" s="3">
        <f>IFERROR(HLOOKUP(R$1,Data!$1:$149,ROW(Bilanço!$A141),0),"")</f>
        <v>-204277000</v>
      </c>
      <c r="S141" s="3">
        <f>IFERROR(HLOOKUP(S$1,Data!$1:$149,ROW(Bilanço!$A141),0),"")</f>
        <v>-2693591000</v>
      </c>
      <c r="T141" s="3">
        <f>IFERROR(HLOOKUP(T$1,Data!$1:$149,ROW(Bilanço!$A141),0),"")</f>
        <v>-3647415000</v>
      </c>
      <c r="U141" s="3">
        <f>IFERROR(HLOOKUP(U$1,Data!$1:$149,ROW(Bilanço!$A141),0),"")</f>
        <v>-5973409773</v>
      </c>
      <c r="V141" s="3">
        <f>IFERROR(HLOOKUP(V$1,Data!$1:$149,ROW(Bilanço!$A141),0),"")</f>
        <v>-2262233000</v>
      </c>
      <c r="W141" s="3">
        <f>IFERROR(HLOOKUP(W$1,Data!$1:$149,ROW(Bilanço!$A141),0),"")</f>
        <v>-4410798000</v>
      </c>
      <c r="X141" s="3">
        <f>IFERROR(HLOOKUP(X$1,Data!$1:$149,ROW(Bilanço!$A141),0),"")</f>
        <v>-6545604000</v>
      </c>
    </row>
    <row r="142" spans="1:24" x14ac:dyDescent="0.25">
      <c r="A142" t="str">
        <f>Data!A142</f>
        <v>Finansman Faaliyetlerden Kaynaklanan Nakit</v>
      </c>
      <c r="B142" s="2">
        <f>IFERROR(HLOOKUP(B$1,Data!$1:$149,ROW(Bilanço!$A142),0),"")</f>
        <v>-96786000</v>
      </c>
      <c r="C142" s="2">
        <f>IFERROR(HLOOKUP(C$1,Data!$1:$149,ROW(Bilanço!$A142),0),"")</f>
        <v>699023000</v>
      </c>
      <c r="D142" s="2">
        <f>IFERROR(HLOOKUP(D$1,Data!$1:$149,ROW(Bilanço!$A142),0),"")</f>
        <v>459036000</v>
      </c>
      <c r="E142" s="2">
        <f>IFERROR(HLOOKUP(E$1,Data!$1:$149,ROW(Bilanço!$A142),0),"")</f>
        <v>1927674000</v>
      </c>
      <c r="F142" s="2">
        <f>IFERROR(HLOOKUP(F$1,Data!$1:$149,ROW(Bilanço!$A142),0),"")</f>
        <v>511414000</v>
      </c>
      <c r="G142" s="2">
        <f>IFERROR(HLOOKUP(G$1,Data!$1:$149,ROW(Bilanço!$A142),0),"")</f>
        <v>-235059000</v>
      </c>
      <c r="H142" s="2">
        <f>IFERROR(HLOOKUP(H$1,Data!$1:$149,ROW(Bilanço!$A142),0),"")</f>
        <v>-571942000</v>
      </c>
      <c r="I142" s="2">
        <f>IFERROR(HLOOKUP(I$1,Data!$1:$149,ROW(Bilanço!$A142),0),"")</f>
        <v>-1255375000</v>
      </c>
      <c r="J142" s="3">
        <f>IFERROR(HLOOKUP(J$1,Data!$1:$149,ROW(Bilanço!$A142),0),"")</f>
        <v>-303396000</v>
      </c>
      <c r="K142" s="3">
        <f>IFERROR(HLOOKUP(K$1,Data!$1:$149,ROW(Bilanço!$A142),0),"")</f>
        <v>-640442000</v>
      </c>
      <c r="L142" s="3">
        <f>IFERROR(HLOOKUP(L$1,Data!$1:$149,ROW(Bilanço!$A142),0),"")</f>
        <v>-1046409000</v>
      </c>
      <c r="M142" s="3">
        <f>IFERROR(HLOOKUP(M$1,Data!$1:$149,ROW(Bilanço!$A142),0),"")</f>
        <v>-6232287000</v>
      </c>
      <c r="N142" s="3">
        <f>IFERROR(HLOOKUP(N$1,Data!$1:$149,ROW(Bilanço!$A142),0),"")</f>
        <v>127307000</v>
      </c>
      <c r="O142" s="3">
        <f>IFERROR(HLOOKUP(O$1,Data!$1:$149,ROW(Bilanço!$A142),0),"")</f>
        <v>-8389880000</v>
      </c>
      <c r="P142" s="3">
        <f>IFERROR(HLOOKUP(P$1,Data!$1:$149,ROW(Bilanço!$A142),0),"")</f>
        <v>-11382052000</v>
      </c>
      <c r="Q142" s="3">
        <f>IFERROR(HLOOKUP(Q$1,Data!$1:$149,ROW(Bilanço!$A142),0),"")</f>
        <v>-14960062000</v>
      </c>
      <c r="R142" s="3">
        <f>IFERROR(HLOOKUP(R$1,Data!$1:$149,ROW(Bilanço!$A142),0),"")</f>
        <v>368549000</v>
      </c>
      <c r="S142" s="3">
        <f>IFERROR(HLOOKUP(S$1,Data!$1:$149,ROW(Bilanço!$A142),0),"")</f>
        <v>2331937000</v>
      </c>
      <c r="T142" s="3">
        <f>IFERROR(HLOOKUP(T$1,Data!$1:$149,ROW(Bilanço!$A142),0),"")</f>
        <v>10700173000</v>
      </c>
      <c r="U142" s="3">
        <f>IFERROR(HLOOKUP(U$1,Data!$1:$149,ROW(Bilanço!$A142),0),"")</f>
        <v>7371817976</v>
      </c>
      <c r="V142" s="3">
        <f>IFERROR(HLOOKUP(V$1,Data!$1:$149,ROW(Bilanço!$A142),0),"")</f>
        <v>923258000</v>
      </c>
      <c r="W142" s="3">
        <f>IFERROR(HLOOKUP(W$1,Data!$1:$149,ROW(Bilanço!$A142),0),"")</f>
        <v>193049000</v>
      </c>
      <c r="X142" s="3">
        <f>IFERROR(HLOOKUP(X$1,Data!$1:$149,ROW(Bilanço!$A142),0),"")</f>
        <v>-2183205000</v>
      </c>
    </row>
    <row r="143" spans="1:24" x14ac:dyDescent="0.25">
      <c r="A143" t="str">
        <f>Data!A143</f>
        <v>Yab. Para Çev. Fark. Etk. Önc.Nak.Ve Nak. Benz. Net Artış/Azalış</v>
      </c>
      <c r="B143" s="2">
        <f>IFERROR(HLOOKUP(B$1,Data!$1:$149,ROW(Bilanço!$A143),0),"")</f>
        <v>-808244000</v>
      </c>
      <c r="C143" s="2">
        <f>IFERROR(HLOOKUP(C$1,Data!$1:$149,ROW(Bilanço!$A143),0),"")</f>
        <v>928401000</v>
      </c>
      <c r="D143" s="2">
        <f>IFERROR(HLOOKUP(D$1,Data!$1:$149,ROW(Bilanço!$A143),0),"")</f>
        <v>1492952000</v>
      </c>
      <c r="E143" s="2">
        <f>IFERROR(HLOOKUP(E$1,Data!$1:$149,ROW(Bilanço!$A143),0),"")</f>
        <v>1790447000</v>
      </c>
      <c r="F143" s="2">
        <f>IFERROR(HLOOKUP(F$1,Data!$1:$149,ROW(Bilanço!$A143),0),"")</f>
        <v>-786442000</v>
      </c>
      <c r="G143" s="2">
        <f>IFERROR(HLOOKUP(G$1,Data!$1:$149,ROW(Bilanço!$A143),0),"")</f>
        <v>-1287454000</v>
      </c>
      <c r="H143" s="2">
        <f>IFERROR(HLOOKUP(H$1,Data!$1:$149,ROW(Bilanço!$A143),0),"")</f>
        <v>-1486759000</v>
      </c>
      <c r="I143" s="2">
        <f>IFERROR(HLOOKUP(I$1,Data!$1:$149,ROW(Bilanço!$A143),0),"")</f>
        <v>-2771860000</v>
      </c>
      <c r="J143" s="3">
        <f>IFERROR(HLOOKUP(J$1,Data!$1:$149,ROW(Bilanço!$A143),0),"")</f>
        <v>-260228000</v>
      </c>
      <c r="K143" s="3">
        <f>IFERROR(HLOOKUP(K$1,Data!$1:$149,ROW(Bilanço!$A143),0),"")</f>
        <v>-307978000</v>
      </c>
      <c r="L143" s="3">
        <f>IFERROR(HLOOKUP(L$1,Data!$1:$149,ROW(Bilanço!$A143),0),"")</f>
        <v>-166908000</v>
      </c>
      <c r="M143" s="3">
        <f>IFERROR(HLOOKUP(M$1,Data!$1:$149,ROW(Bilanço!$A143),0),"")</f>
        <v>8126188000</v>
      </c>
      <c r="N143" s="3">
        <f>IFERROR(HLOOKUP(N$1,Data!$1:$149,ROW(Bilanço!$A143),0),"")</f>
        <v>748084000</v>
      </c>
      <c r="O143" s="3">
        <f>IFERROR(HLOOKUP(O$1,Data!$1:$149,ROW(Bilanço!$A143),0),"")</f>
        <v>-8992389000</v>
      </c>
      <c r="P143" s="3">
        <f>IFERROR(HLOOKUP(P$1,Data!$1:$149,ROW(Bilanço!$A143),0),"")</f>
        <v>-12536771000</v>
      </c>
      <c r="Q143" s="3">
        <f>IFERROR(HLOOKUP(Q$1,Data!$1:$149,ROW(Bilanço!$A143),0),"")</f>
        <v>-13620877000</v>
      </c>
      <c r="R143" s="3">
        <f>IFERROR(HLOOKUP(R$1,Data!$1:$149,ROW(Bilanço!$A143),0),"")</f>
        <v>-3567840000</v>
      </c>
      <c r="S143" s="3">
        <f>IFERROR(HLOOKUP(S$1,Data!$1:$149,ROW(Bilanço!$A143),0),"")</f>
        <v>1530084000</v>
      </c>
      <c r="T143" s="3">
        <f>IFERROR(HLOOKUP(T$1,Data!$1:$149,ROW(Bilanço!$A143),0),"")</f>
        <v>7089343000</v>
      </c>
      <c r="U143" s="3">
        <f>IFERROR(HLOOKUP(U$1,Data!$1:$149,ROW(Bilanço!$A143),0),"")</f>
        <v>8573366950</v>
      </c>
      <c r="V143" s="3">
        <f>IFERROR(HLOOKUP(V$1,Data!$1:$149,ROW(Bilanço!$A143),0),"")</f>
        <v>-6915048000</v>
      </c>
      <c r="W143" s="3">
        <f>IFERROR(HLOOKUP(W$1,Data!$1:$149,ROW(Bilanço!$A143),0),"")</f>
        <v>-6970189000</v>
      </c>
      <c r="X143" s="3">
        <f>IFERROR(HLOOKUP(X$1,Data!$1:$149,ROW(Bilanço!$A143),0),"")</f>
        <v>-8499611000</v>
      </c>
    </row>
    <row r="144" spans="1:24" x14ac:dyDescent="0.25">
      <c r="A144" t="str">
        <f>Data!A144</f>
        <v xml:space="preserve"> Yab.ı Para Çevrim Fark. Nakit Ve Nakit Benz. Üzerindeki Etkisi</v>
      </c>
      <c r="B144" s="2">
        <f>IFERROR(HLOOKUP(B$1,Data!$1:$149,ROW(Bilanço!$A144),0),"")</f>
        <v>0</v>
      </c>
      <c r="C144" s="2">
        <f>IFERROR(HLOOKUP(C$1,Data!$1:$149,ROW(Bilanço!$A144),0),"")</f>
        <v>0</v>
      </c>
      <c r="D144" s="2">
        <f>IFERROR(HLOOKUP(D$1,Data!$1:$149,ROW(Bilanço!$A144),0),"")</f>
        <v>0</v>
      </c>
      <c r="E144" s="2">
        <f>IFERROR(HLOOKUP(E$1,Data!$1:$149,ROW(Bilanço!$A144),0),"")</f>
        <v>0</v>
      </c>
      <c r="F144" s="2">
        <f>IFERROR(HLOOKUP(F$1,Data!$1:$149,ROW(Bilanço!$A144),0),"")</f>
        <v>345477000</v>
      </c>
      <c r="G144" s="2">
        <f>IFERROR(HLOOKUP(G$1,Data!$1:$149,ROW(Bilanço!$A144),0),"")</f>
        <v>501871000</v>
      </c>
      <c r="H144" s="2">
        <f>IFERROR(HLOOKUP(H$1,Data!$1:$149,ROW(Bilanço!$A144),0),"")</f>
        <v>513848000</v>
      </c>
      <c r="I144" s="2">
        <f>IFERROR(HLOOKUP(I$1,Data!$1:$149,ROW(Bilanço!$A144),0),"")</f>
        <v>1941174000</v>
      </c>
      <c r="J144" s="3">
        <f>IFERROR(HLOOKUP(J$1,Data!$1:$149,ROW(Bilanço!$A144),0),"")</f>
        <v>240507000</v>
      </c>
      <c r="K144" s="3">
        <f>IFERROR(HLOOKUP(K$1,Data!$1:$149,ROW(Bilanço!$A144),0),"")</f>
        <v>627196000</v>
      </c>
      <c r="L144" s="3">
        <f>IFERROR(HLOOKUP(L$1,Data!$1:$149,ROW(Bilanço!$A144),0),"")</f>
        <v>927485000</v>
      </c>
      <c r="M144" s="3">
        <f>IFERROR(HLOOKUP(M$1,Data!$1:$149,ROW(Bilanço!$A144),0),"")</f>
        <v>-1009967000</v>
      </c>
      <c r="N144" s="3">
        <f>IFERROR(HLOOKUP(N$1,Data!$1:$149,ROW(Bilanço!$A144),0),"")</f>
        <v>-1678507000</v>
      </c>
      <c r="O144" s="3">
        <f>IFERROR(HLOOKUP(O$1,Data!$1:$149,ROW(Bilanço!$A144),0),"")</f>
        <v>4999541000</v>
      </c>
      <c r="P144" s="3">
        <f>IFERROR(HLOOKUP(P$1,Data!$1:$149,ROW(Bilanço!$A144),0),"")</f>
        <v>6283677000</v>
      </c>
      <c r="Q144" s="3">
        <f>IFERROR(HLOOKUP(Q$1,Data!$1:$149,ROW(Bilanço!$A144),0),"")</f>
        <v>8434448000</v>
      </c>
      <c r="R144" s="3">
        <f>IFERROR(HLOOKUP(R$1,Data!$1:$149,ROW(Bilanço!$A144),0),"")</f>
        <v>2531055000</v>
      </c>
      <c r="S144" s="3">
        <f>IFERROR(HLOOKUP(S$1,Data!$1:$149,ROW(Bilanço!$A144),0),"")</f>
        <v>1419726000</v>
      </c>
      <c r="T144" s="3">
        <f>IFERROR(HLOOKUP(T$1,Data!$1:$149,ROW(Bilanço!$A144),0),"")</f>
        <v>2896763000</v>
      </c>
      <c r="U144" s="3">
        <f>IFERROR(HLOOKUP(U$1,Data!$1:$149,ROW(Bilanço!$A144),0),"")</f>
        <v>3314335123</v>
      </c>
      <c r="V144" s="3">
        <f>IFERROR(HLOOKUP(V$1,Data!$1:$149,ROW(Bilanço!$A144),0),"")</f>
        <v>1896505000</v>
      </c>
      <c r="W144" s="3">
        <f>IFERROR(HLOOKUP(W$1,Data!$1:$149,ROW(Bilanço!$A144),0),"")</f>
        <v>3666831000</v>
      </c>
      <c r="X144" s="3">
        <f>IFERROR(HLOOKUP(X$1,Data!$1:$149,ROW(Bilanço!$A144),0),"")</f>
        <v>5071670000</v>
      </c>
    </row>
    <row r="145" spans="1:24" x14ac:dyDescent="0.25">
      <c r="A145" t="str">
        <f>Data!A145</f>
        <v xml:space="preserve"> Diğer Nakit Girişi/Çıkışı</v>
      </c>
      <c r="B145" s="2">
        <f>IFERROR(HLOOKUP(B$1,Data!$1:$149,ROW(Bilanço!$A145),0),"")</f>
        <v>0</v>
      </c>
      <c r="C145" s="2">
        <f>IFERROR(HLOOKUP(C$1,Data!$1:$149,ROW(Bilanço!$A145),0),"")</f>
        <v>0</v>
      </c>
      <c r="D145" s="2">
        <f>IFERROR(HLOOKUP(D$1,Data!$1:$149,ROW(Bilanço!$A145),0),"")</f>
        <v>0</v>
      </c>
      <c r="E145" s="2">
        <f>IFERROR(HLOOKUP(E$1,Data!$1:$149,ROW(Bilanço!$A145),0),"")</f>
        <v>0</v>
      </c>
      <c r="F145" s="2">
        <f>IFERROR(HLOOKUP(F$1,Data!$1:$149,ROW(Bilanço!$A145),0),"")</f>
        <v>0</v>
      </c>
      <c r="G145" s="2">
        <f>IFERROR(HLOOKUP(G$1,Data!$1:$149,ROW(Bilanço!$A145),0),"")</f>
        <v>0</v>
      </c>
      <c r="H145" s="2">
        <f>IFERROR(HLOOKUP(H$1,Data!$1:$149,ROW(Bilanço!$A145),0),"")</f>
        <v>0</v>
      </c>
      <c r="I145" s="2">
        <f>IFERROR(HLOOKUP(I$1,Data!$1:$149,ROW(Bilanço!$A145),0),"")</f>
        <v>0</v>
      </c>
      <c r="J145" s="3">
        <f>IFERROR(HLOOKUP(J$1,Data!$1:$149,ROW(Bilanço!$A145),0),"")</f>
        <v>0</v>
      </c>
      <c r="K145" s="3">
        <f>IFERROR(HLOOKUP(K$1,Data!$1:$149,ROW(Bilanço!$A145),0),"")</f>
        <v>0</v>
      </c>
      <c r="L145" s="3">
        <f>IFERROR(HLOOKUP(L$1,Data!$1:$149,ROW(Bilanço!$A145),0),"")</f>
        <v>0</v>
      </c>
      <c r="M145" s="3">
        <f>IFERROR(HLOOKUP(M$1,Data!$1:$149,ROW(Bilanço!$A145),0),"")</f>
        <v>0</v>
      </c>
      <c r="N145" s="3">
        <f>IFERROR(HLOOKUP(N$1,Data!$1:$149,ROW(Bilanço!$A145),0),"")</f>
        <v>0</v>
      </c>
      <c r="O145" s="3">
        <f>IFERROR(HLOOKUP(O$1,Data!$1:$149,ROW(Bilanço!$A145),0),"")</f>
        <v>0</v>
      </c>
      <c r="P145" s="3">
        <f>IFERROR(HLOOKUP(P$1,Data!$1:$149,ROW(Bilanço!$A145),0),"")</f>
        <v>0</v>
      </c>
      <c r="Q145" s="3">
        <f>IFERROR(HLOOKUP(Q$1,Data!$1:$149,ROW(Bilanço!$A145),0),"")</f>
        <v>0</v>
      </c>
      <c r="R145" s="3">
        <f>IFERROR(HLOOKUP(R$1,Data!$1:$149,ROW(Bilanço!$A145),0),"")</f>
        <v>0</v>
      </c>
      <c r="S145" s="3">
        <f>IFERROR(HLOOKUP(S$1,Data!$1:$149,ROW(Bilanço!$A145),0),"")</f>
        <v>0</v>
      </c>
      <c r="T145" s="3">
        <f>IFERROR(HLOOKUP(T$1,Data!$1:$149,ROW(Bilanço!$A145),0),"")</f>
        <v>0</v>
      </c>
      <c r="U145" s="3">
        <f>IFERROR(HLOOKUP(U$1,Data!$1:$149,ROW(Bilanço!$A145),0),"")</f>
        <v>0</v>
      </c>
      <c r="V145" s="3">
        <f>IFERROR(HLOOKUP(V$1,Data!$1:$149,ROW(Bilanço!$A145),0),"")</f>
        <v>0</v>
      </c>
      <c r="W145" s="3">
        <f>IFERROR(HLOOKUP(W$1,Data!$1:$149,ROW(Bilanço!$A145),0),"")</f>
        <v>0</v>
      </c>
      <c r="X145" s="3">
        <f>IFERROR(HLOOKUP(X$1,Data!$1:$149,ROW(Bilanço!$A145),0),"")</f>
        <v>0</v>
      </c>
    </row>
    <row r="146" spans="1:24" x14ac:dyDescent="0.25">
      <c r="A146" t="str">
        <f>Data!A146</f>
        <v>Nakit ve Benzerlerindeki Değişim</v>
      </c>
      <c r="B146" s="2">
        <f>IFERROR(HLOOKUP(B$1,Data!$1:$149,ROW(Bilanço!$A146),0),"")</f>
        <v>-808244000</v>
      </c>
      <c r="C146" s="2">
        <f>IFERROR(HLOOKUP(C$1,Data!$1:$149,ROW(Bilanço!$A146),0),"")</f>
        <v>928401000</v>
      </c>
      <c r="D146" s="2">
        <f>IFERROR(HLOOKUP(D$1,Data!$1:$149,ROW(Bilanço!$A146),0),"")</f>
        <v>1492952000</v>
      </c>
      <c r="E146" s="2">
        <f>IFERROR(HLOOKUP(E$1,Data!$1:$149,ROW(Bilanço!$A146),0),"")</f>
        <v>1790447000</v>
      </c>
      <c r="F146" s="2">
        <f>IFERROR(HLOOKUP(F$1,Data!$1:$149,ROW(Bilanço!$A146),0),"")</f>
        <v>-440965000</v>
      </c>
      <c r="G146" s="2">
        <f>IFERROR(HLOOKUP(G$1,Data!$1:$149,ROW(Bilanço!$A146),0),"")</f>
        <v>-785583000</v>
      </c>
      <c r="H146" s="2">
        <f>IFERROR(HLOOKUP(H$1,Data!$1:$149,ROW(Bilanço!$A146),0),"")</f>
        <v>-972911000</v>
      </c>
      <c r="I146" s="2">
        <f>IFERROR(HLOOKUP(I$1,Data!$1:$149,ROW(Bilanço!$A146),0),"")</f>
        <v>-830686000</v>
      </c>
      <c r="J146" s="3">
        <f>IFERROR(HLOOKUP(J$1,Data!$1:$149,ROW(Bilanço!$A146),0),"")</f>
        <v>-19721000</v>
      </c>
      <c r="K146" s="3">
        <f>IFERROR(HLOOKUP(K$1,Data!$1:$149,ROW(Bilanço!$A146),0),"")</f>
        <v>319218000</v>
      </c>
      <c r="L146" s="3">
        <f>IFERROR(HLOOKUP(L$1,Data!$1:$149,ROW(Bilanço!$A146),0),"")</f>
        <v>760577000</v>
      </c>
      <c r="M146" s="3">
        <f>IFERROR(HLOOKUP(M$1,Data!$1:$149,ROW(Bilanço!$A146),0),"")</f>
        <v>7116221000</v>
      </c>
      <c r="N146" s="3">
        <f>IFERROR(HLOOKUP(N$1,Data!$1:$149,ROW(Bilanço!$A146),0),"")</f>
        <v>-930423000</v>
      </c>
      <c r="O146" s="3">
        <f>IFERROR(HLOOKUP(O$1,Data!$1:$149,ROW(Bilanço!$A146),0),"")</f>
        <v>-3992848000</v>
      </c>
      <c r="P146" s="3">
        <f>IFERROR(HLOOKUP(P$1,Data!$1:$149,ROW(Bilanço!$A146),0),"")</f>
        <v>-6253094000</v>
      </c>
      <c r="Q146" s="3">
        <f>IFERROR(HLOOKUP(Q$1,Data!$1:$149,ROW(Bilanço!$A146),0),"")</f>
        <v>-5186429000</v>
      </c>
      <c r="R146" s="3">
        <f>IFERROR(HLOOKUP(R$1,Data!$1:$149,ROW(Bilanço!$A146),0),"")</f>
        <v>-1036785000</v>
      </c>
      <c r="S146" s="3">
        <f>IFERROR(HLOOKUP(S$1,Data!$1:$149,ROW(Bilanço!$A146),0),"")</f>
        <v>2949810000</v>
      </c>
      <c r="T146" s="3">
        <f>IFERROR(HLOOKUP(T$1,Data!$1:$149,ROW(Bilanço!$A146),0),"")</f>
        <v>9986106000</v>
      </c>
      <c r="U146" s="3">
        <f>IFERROR(HLOOKUP(U$1,Data!$1:$149,ROW(Bilanço!$A146),0),"")</f>
        <v>11887702073</v>
      </c>
      <c r="V146" s="3">
        <f>IFERROR(HLOOKUP(V$1,Data!$1:$149,ROW(Bilanço!$A146),0),"")</f>
        <v>-5018543000</v>
      </c>
      <c r="W146" s="3">
        <f>IFERROR(HLOOKUP(W$1,Data!$1:$149,ROW(Bilanço!$A146),0),"")</f>
        <v>-3303358000</v>
      </c>
      <c r="X146" s="3">
        <f>IFERROR(HLOOKUP(X$1,Data!$1:$149,ROW(Bilanço!$A146),0),"")</f>
        <v>-3427941000</v>
      </c>
    </row>
    <row r="147" spans="1:24" x14ac:dyDescent="0.25">
      <c r="A147" t="str">
        <f>Data!A147</f>
        <v>Diğer Nakit ve Nakit Benzerlerindeki Artış</v>
      </c>
      <c r="B147" s="2">
        <f>IFERROR(HLOOKUP(B$1,Data!$1:$149,ROW(Bilanço!$A147),0),"")</f>
        <v>0</v>
      </c>
      <c r="C147" s="2">
        <f>IFERROR(HLOOKUP(C$1,Data!$1:$149,ROW(Bilanço!$A147),0),"")</f>
        <v>0</v>
      </c>
      <c r="D147" s="2">
        <f>IFERROR(HLOOKUP(D$1,Data!$1:$149,ROW(Bilanço!$A147),0),"")</f>
        <v>0</v>
      </c>
      <c r="E147" s="2">
        <f>IFERROR(HLOOKUP(E$1,Data!$1:$149,ROW(Bilanço!$A147),0),"")</f>
        <v>0</v>
      </c>
      <c r="F147" s="2">
        <f>IFERROR(HLOOKUP(F$1,Data!$1:$149,ROW(Bilanço!$A147),0),"")</f>
        <v>0</v>
      </c>
      <c r="G147" s="2">
        <f>IFERROR(HLOOKUP(G$1,Data!$1:$149,ROW(Bilanço!$A147),0),"")</f>
        <v>0</v>
      </c>
      <c r="H147" s="2">
        <f>IFERROR(HLOOKUP(H$1,Data!$1:$149,ROW(Bilanço!$A147),0),"")</f>
        <v>0</v>
      </c>
      <c r="I147" s="2">
        <f>IFERROR(HLOOKUP(I$1,Data!$1:$149,ROW(Bilanço!$A147),0),"")</f>
        <v>0</v>
      </c>
      <c r="J147" s="3">
        <f>IFERROR(HLOOKUP(J$1,Data!$1:$149,ROW(Bilanço!$A147),0),"")</f>
        <v>0</v>
      </c>
      <c r="K147" s="3">
        <f>IFERROR(HLOOKUP(K$1,Data!$1:$149,ROW(Bilanço!$A147),0),"")</f>
        <v>0</v>
      </c>
      <c r="L147" s="3">
        <f>IFERROR(HLOOKUP(L$1,Data!$1:$149,ROW(Bilanço!$A147),0),"")</f>
        <v>0</v>
      </c>
      <c r="M147" s="3">
        <f>IFERROR(HLOOKUP(M$1,Data!$1:$149,ROW(Bilanço!$A147),0),"")</f>
        <v>0</v>
      </c>
      <c r="N147" s="3">
        <f>IFERROR(HLOOKUP(N$1,Data!$1:$149,ROW(Bilanço!$A147),0),"")</f>
        <v>0</v>
      </c>
      <c r="O147" s="3">
        <f>IFERROR(HLOOKUP(O$1,Data!$1:$149,ROW(Bilanço!$A147),0),"")</f>
        <v>0</v>
      </c>
      <c r="P147" s="3">
        <f>IFERROR(HLOOKUP(P$1,Data!$1:$149,ROW(Bilanço!$A147),0),"")</f>
        <v>0</v>
      </c>
      <c r="Q147" s="3">
        <f>IFERROR(HLOOKUP(Q$1,Data!$1:$149,ROW(Bilanço!$A147),0),"")</f>
        <v>0</v>
      </c>
      <c r="R147" s="3">
        <f>IFERROR(HLOOKUP(R$1,Data!$1:$149,ROW(Bilanço!$A147),0),"")</f>
        <v>0</v>
      </c>
      <c r="S147" s="3">
        <f>IFERROR(HLOOKUP(S$1,Data!$1:$149,ROW(Bilanço!$A147),0),"")</f>
        <v>0</v>
      </c>
      <c r="T147" s="3">
        <f>IFERROR(HLOOKUP(T$1,Data!$1:$149,ROW(Bilanço!$A147),0),"")</f>
        <v>0</v>
      </c>
      <c r="U147" s="3">
        <f>IFERROR(HLOOKUP(U$1,Data!$1:$149,ROW(Bilanço!$A147),0),"")</f>
        <v>0</v>
      </c>
      <c r="V147" s="3">
        <f>IFERROR(HLOOKUP(V$1,Data!$1:$149,ROW(Bilanço!$A147),0),"")</f>
        <v>0</v>
      </c>
      <c r="W147" s="3">
        <f>IFERROR(HLOOKUP(W$1,Data!$1:$149,ROW(Bilanço!$A147),0),"")</f>
        <v>0</v>
      </c>
      <c r="X147" s="3">
        <f>IFERROR(HLOOKUP(X$1,Data!$1:$149,ROW(Bilanço!$A147),0),"")</f>
        <v>0</v>
      </c>
    </row>
    <row r="148" spans="1:24" x14ac:dyDescent="0.25">
      <c r="A148" t="str">
        <f>Data!A148</f>
        <v>Dönem Başı Nakit Değerler</v>
      </c>
      <c r="B148" s="2">
        <f>IFERROR(HLOOKUP(B$1,Data!$1:$149,ROW(Bilanço!$A148),0),"")</f>
        <v>2027599000</v>
      </c>
      <c r="C148" s="2">
        <f>IFERROR(HLOOKUP(C$1,Data!$1:$149,ROW(Bilanço!$A148),0),"")</f>
        <v>2027599000</v>
      </c>
      <c r="D148" s="2">
        <f>IFERROR(HLOOKUP(D$1,Data!$1:$149,ROW(Bilanço!$A148),0),"")</f>
        <v>2045073000</v>
      </c>
      <c r="E148" s="2">
        <f>IFERROR(HLOOKUP(E$1,Data!$1:$149,ROW(Bilanço!$A148),0),"")</f>
        <v>2045073000</v>
      </c>
      <c r="F148" s="2">
        <f>IFERROR(HLOOKUP(F$1,Data!$1:$149,ROW(Bilanço!$A148),0),"")</f>
        <v>3835520000</v>
      </c>
      <c r="G148" s="2">
        <f>IFERROR(HLOOKUP(G$1,Data!$1:$149,ROW(Bilanço!$A148),0),"")</f>
        <v>3835520000</v>
      </c>
      <c r="H148" s="2">
        <f>IFERROR(HLOOKUP(H$1,Data!$1:$149,ROW(Bilanço!$A148),0),"")</f>
        <v>3835520000</v>
      </c>
      <c r="I148" s="2">
        <f>IFERROR(HLOOKUP(I$1,Data!$1:$149,ROW(Bilanço!$A148),0),"")</f>
        <v>3835520000</v>
      </c>
      <c r="J148" s="3">
        <f>IFERROR(HLOOKUP(J$1,Data!$1:$149,ROW(Bilanço!$A148),0),"")</f>
        <v>3004834000</v>
      </c>
      <c r="K148" s="3">
        <f>IFERROR(HLOOKUP(K$1,Data!$1:$149,ROW(Bilanço!$A148),0),"")</f>
        <v>3004834000</v>
      </c>
      <c r="L148" s="3">
        <f>IFERROR(HLOOKUP(L$1,Data!$1:$149,ROW(Bilanço!$A148),0),"")</f>
        <v>3004834000</v>
      </c>
      <c r="M148" s="3">
        <f>IFERROR(HLOOKUP(M$1,Data!$1:$149,ROW(Bilanço!$A148),0),"")</f>
        <v>8133239000</v>
      </c>
      <c r="N148" s="3">
        <f>IFERROR(HLOOKUP(N$1,Data!$1:$149,ROW(Bilanço!$A148),0),"")</f>
        <v>17546581000</v>
      </c>
      <c r="O148" s="3">
        <f>IFERROR(HLOOKUP(O$1,Data!$1:$149,ROW(Bilanço!$A148),0),"")</f>
        <v>19021351000</v>
      </c>
      <c r="P148" s="3">
        <f>IFERROR(HLOOKUP(P$1,Data!$1:$149,ROW(Bilanço!$A148),0),"")</f>
        <v>20717968000</v>
      </c>
      <c r="Q148" s="3">
        <f>IFERROR(HLOOKUP(Q$1,Data!$1:$149,ROW(Bilanço!$A148),0),"")</f>
        <v>22016983000</v>
      </c>
      <c r="R148" s="3">
        <f>IFERROR(HLOOKUP(R$1,Data!$1:$149,ROW(Bilanço!$A148),0),"")</f>
        <v>18524173000</v>
      </c>
      <c r="S148" s="3">
        <f>IFERROR(HLOOKUP(S$1,Data!$1:$149,ROW(Bilanço!$A148),0),"")</f>
        <v>19636869000</v>
      </c>
      <c r="T148" s="3">
        <f>IFERROR(HLOOKUP(T$1,Data!$1:$149,ROW(Bilanço!$A148),0),"")</f>
        <v>21110495000</v>
      </c>
      <c r="U148" s="3">
        <f>IFERROR(HLOOKUP(U$1,Data!$1:$149,ROW(Bilanço!$A148),0),"")</f>
        <v>21110494511</v>
      </c>
      <c r="V148" s="3">
        <f>IFERROR(HLOOKUP(V$1,Data!$1:$149,ROW(Bilanço!$A148),0),"")</f>
        <v>28955471000</v>
      </c>
      <c r="W148" s="3">
        <f>IFERROR(HLOOKUP(W$1,Data!$1:$149,ROW(Bilanço!$A148),0),"")</f>
        <v>30694746000</v>
      </c>
      <c r="X148" s="3">
        <f>IFERROR(HLOOKUP(X$1,Data!$1:$149,ROW(Bilanço!$A148),0),"")</f>
        <v>32998197000</v>
      </c>
    </row>
    <row r="149" spans="1:24" x14ac:dyDescent="0.25">
      <c r="A149" t="str">
        <f>Data!A149</f>
        <v>Dönem Sonu Nakit</v>
      </c>
      <c r="B149" s="2">
        <f>IFERROR(HLOOKUP(B$1,Data!$1:$149,ROW(Bilanço!$A149),0),"")</f>
        <v>1219355000</v>
      </c>
      <c r="C149" s="2">
        <f>IFERROR(HLOOKUP(C$1,Data!$1:$149,ROW(Bilanço!$A149),0),"")</f>
        <v>2956000000</v>
      </c>
      <c r="D149" s="2">
        <f>IFERROR(HLOOKUP(D$1,Data!$1:$149,ROW(Bilanço!$A149),0),"")</f>
        <v>3538025000</v>
      </c>
      <c r="E149" s="2">
        <f>IFERROR(HLOOKUP(E$1,Data!$1:$149,ROW(Bilanço!$A149),0),"")</f>
        <v>3835520000</v>
      </c>
      <c r="F149" s="2">
        <f>IFERROR(HLOOKUP(F$1,Data!$1:$149,ROW(Bilanço!$A149),0),"")</f>
        <v>3394555000</v>
      </c>
      <c r="G149" s="2">
        <f>IFERROR(HLOOKUP(G$1,Data!$1:$149,ROW(Bilanço!$A149),0),"")</f>
        <v>3049937000</v>
      </c>
      <c r="H149" s="2">
        <f>IFERROR(HLOOKUP(H$1,Data!$1:$149,ROW(Bilanço!$A149),0),"")</f>
        <v>2862609000</v>
      </c>
      <c r="I149" s="2">
        <f>IFERROR(HLOOKUP(I$1,Data!$1:$149,ROW(Bilanço!$A149),0),"")</f>
        <v>3004834000</v>
      </c>
      <c r="J149" s="3">
        <f>IFERROR(HLOOKUP(J$1,Data!$1:$149,ROW(Bilanço!$A149),0),"")</f>
        <v>2985113000</v>
      </c>
      <c r="K149" s="3">
        <f>IFERROR(HLOOKUP(K$1,Data!$1:$149,ROW(Bilanço!$A149),0),"")</f>
        <v>3324052000</v>
      </c>
      <c r="L149" s="3">
        <f>IFERROR(HLOOKUP(L$1,Data!$1:$149,ROW(Bilanço!$A149),0),"")</f>
        <v>3765411000</v>
      </c>
      <c r="M149" s="3">
        <f>IFERROR(HLOOKUP(M$1,Data!$1:$149,ROW(Bilanço!$A149),0),"")</f>
        <v>15249460000</v>
      </c>
      <c r="N149" s="3">
        <f>IFERROR(HLOOKUP(N$1,Data!$1:$149,ROW(Bilanço!$A149),0),"")</f>
        <v>16616158000</v>
      </c>
      <c r="O149" s="3">
        <f>IFERROR(HLOOKUP(O$1,Data!$1:$149,ROW(Bilanço!$A149),0),"")</f>
        <v>15028503000</v>
      </c>
      <c r="P149" s="3">
        <f>IFERROR(HLOOKUP(P$1,Data!$1:$149,ROW(Bilanço!$A149),0),"")</f>
        <v>14464874000</v>
      </c>
      <c r="Q149" s="3">
        <f>IFERROR(HLOOKUP(Q$1,Data!$1:$149,ROW(Bilanço!$A149),0),"")</f>
        <v>16830554000</v>
      </c>
      <c r="R149" s="3">
        <f>IFERROR(HLOOKUP(R$1,Data!$1:$149,ROW(Bilanço!$A149),0),"")</f>
        <v>17487388000</v>
      </c>
      <c r="S149" s="3">
        <f>IFERROR(HLOOKUP(S$1,Data!$1:$149,ROW(Bilanço!$A149),0),"")</f>
        <v>22586679000</v>
      </c>
      <c r="T149" s="3">
        <f>IFERROR(HLOOKUP(T$1,Data!$1:$149,ROW(Bilanço!$A149),0),"")</f>
        <v>31096601000</v>
      </c>
      <c r="U149" s="3">
        <f>IFERROR(HLOOKUP(U$1,Data!$1:$149,ROW(Bilanço!$A149),0),"")</f>
        <v>32998196584</v>
      </c>
      <c r="V149" s="3">
        <f>IFERROR(HLOOKUP(V$1,Data!$1:$149,ROW(Bilanço!$A149),0),"")</f>
        <v>23936928000</v>
      </c>
      <c r="W149" s="3">
        <f>IFERROR(HLOOKUP(W$1,Data!$1:$149,ROW(Bilanço!$A149),0),"")</f>
        <v>27391388000</v>
      </c>
      <c r="X149" s="3">
        <f>IFERROR(HLOOKUP(X$1,Data!$1:$149,ROW(Bilanço!$A149),0),"")</f>
        <v>29570256000</v>
      </c>
    </row>
    <row r="150" spans="1:24" x14ac:dyDescent="0.25">
      <c r="A150" t="s">
        <v>150</v>
      </c>
      <c r="B150" s="3">
        <f>IFERROR(B83+(B84+B85+B86)+B116,"")</f>
        <v>415167000</v>
      </c>
      <c r="C150" s="3">
        <f t="shared" ref="C150:R150" si="5">IFERROR(C83+(C84+C85+C86)+C116,"")</f>
        <v>794946000</v>
      </c>
      <c r="D150" s="3">
        <f t="shared" si="5"/>
        <v>1374511000</v>
      </c>
      <c r="E150" s="3">
        <f t="shared" si="5"/>
        <v>1922060000</v>
      </c>
      <c r="F150" s="3">
        <f t="shared" si="5"/>
        <v>546384000</v>
      </c>
      <c r="G150" s="3">
        <f t="shared" si="5"/>
        <v>993008000</v>
      </c>
      <c r="H150" s="3">
        <f t="shared" si="5"/>
        <v>1495751000</v>
      </c>
      <c r="I150" s="3">
        <f t="shared" si="5"/>
        <v>2328359000</v>
      </c>
      <c r="J150" s="3">
        <f t="shared" si="5"/>
        <v>1244625000</v>
      </c>
      <c r="K150" s="3">
        <f t="shared" si="5"/>
        <v>2378996000</v>
      </c>
      <c r="L150" s="3">
        <f t="shared" si="5"/>
        <v>3632746000</v>
      </c>
      <c r="M150" s="3">
        <f t="shared" si="5"/>
        <v>6702904000</v>
      </c>
      <c r="N150" s="3">
        <f t="shared" si="5"/>
        <v>3841997000</v>
      </c>
      <c r="O150" s="3">
        <f t="shared" si="5"/>
        <v>7265239000</v>
      </c>
      <c r="P150" s="3">
        <f t="shared" si="5"/>
        <v>11002053000</v>
      </c>
      <c r="Q150" s="3">
        <f t="shared" si="5"/>
        <v>15304999000</v>
      </c>
      <c r="R150" s="3">
        <f t="shared" si="5"/>
        <v>5582526000</v>
      </c>
      <c r="S150" s="3">
        <f>IFERROR(S83+(S84+S85+S86)+S116,"")</f>
        <v>9881632000</v>
      </c>
      <c r="T150" s="3">
        <f t="shared" ref="T150:W150" si="6">IFERROR(T83+(T84+T85+T86)+T116,"")</f>
        <v>14491393000</v>
      </c>
      <c r="U150" s="3">
        <f t="shared" si="6"/>
        <v>19561942075</v>
      </c>
      <c r="V150" s="3">
        <f t="shared" si="6"/>
        <v>5484460000</v>
      </c>
      <c r="W150" s="3">
        <f t="shared" si="6"/>
        <v>9185725000</v>
      </c>
      <c r="X150" s="3">
        <f>IFERROR(X83+(X84+X85+X86)+X116,"")</f>
        <v>14382507000</v>
      </c>
    </row>
    <row r="151" spans="1:24" x14ac:dyDescent="0.25">
      <c r="A151" t="s">
        <v>153</v>
      </c>
      <c r="B151" s="5">
        <f>IFERROR(B111/B62,"")</f>
        <v>-0.28740350877192983</v>
      </c>
      <c r="C151" s="5">
        <f t="shared" ref="C151:W151" si="7">IFERROR(C111/C62,"")</f>
        <v>1.1875760233918129</v>
      </c>
      <c r="D151" s="5">
        <f t="shared" si="7"/>
        <v>1.9927865497076023</v>
      </c>
      <c r="E151" s="5">
        <f t="shared" si="7"/>
        <v>3.1619707602339182</v>
      </c>
      <c r="F151" s="5">
        <f t="shared" si="7"/>
        <v>1.2606637426900584</v>
      </c>
      <c r="G151" s="5">
        <f t="shared" si="7"/>
        <v>1.9070087719298245</v>
      </c>
      <c r="H151" s="5">
        <f t="shared" si="7"/>
        <v>1.9141929824561403</v>
      </c>
      <c r="I151" s="5">
        <f t="shared" si="7"/>
        <v>-1.3576959064327485</v>
      </c>
      <c r="J151" s="5">
        <f t="shared" si="7"/>
        <v>-1.3763304093567252</v>
      </c>
      <c r="K151" s="5">
        <f t="shared" si="7"/>
        <v>-3.2729239766081872</v>
      </c>
      <c r="L151" s="5">
        <f t="shared" si="7"/>
        <v>-3.9076549707602339</v>
      </c>
      <c r="M151" s="5">
        <f t="shared" si="7"/>
        <v>2.8795116959064329</v>
      </c>
      <c r="N151" s="5">
        <f t="shared" si="7"/>
        <v>7.0553596491228072</v>
      </c>
      <c r="O151" s="5">
        <f t="shared" si="7"/>
        <v>-0.18614035087719299</v>
      </c>
      <c r="P151" s="5">
        <f t="shared" si="7"/>
        <v>8.093520835364334</v>
      </c>
      <c r="Q151" s="5">
        <f t="shared" si="7"/>
        <v>13.210668984716039</v>
      </c>
      <c r="R151" s="5">
        <f t="shared" si="7"/>
        <v>8.1054116704037096</v>
      </c>
      <c r="S151" s="5">
        <f>IFERROR(S111/S62,"")</f>
        <v>13.201529479305451</v>
      </c>
      <c r="T151" s="5">
        <f t="shared" si="7"/>
        <v>15.890472167159523</v>
      </c>
      <c r="U151" s="5">
        <f t="shared" si="7"/>
        <v>25.136860299613296</v>
      </c>
      <c r="V151" s="5">
        <f t="shared" si="7"/>
        <v>6.5354044129594122</v>
      </c>
      <c r="W151" s="5">
        <f t="shared" si="7"/>
        <v>8.88200966214972</v>
      </c>
      <c r="X151" s="5">
        <f>IFERROR(X111/X62,"")</f>
        <v>12.439248692035227</v>
      </c>
    </row>
    <row r="152" spans="1:24" x14ac:dyDescent="0.25">
      <c r="C152" t="str">
        <f>RIGHT(C153,2)</f>
        <v>/6</v>
      </c>
      <c r="F152" t="str">
        <f>RIGHT(F153,2)</f>
        <v>/3</v>
      </c>
      <c r="X152" s="3" t="str">
        <f>IFERROR(HLOOKUP(X$1,Data!$1:$149,ROW(Bilanço!$A152),0),"")</f>
        <v/>
      </c>
    </row>
    <row r="153" spans="1:24" x14ac:dyDescent="0.25">
      <c r="A153" t="s">
        <v>166</v>
      </c>
      <c r="B153" t="str">
        <f>B2</f>
        <v>2020/3</v>
      </c>
      <c r="C153" t="str">
        <f t="shared" ref="C153:X153" si="8">C2</f>
        <v>2020/6</v>
      </c>
      <c r="D153" t="str">
        <f t="shared" si="8"/>
        <v>2020/9</v>
      </c>
      <c r="E153" t="str">
        <f t="shared" si="8"/>
        <v>2020/12</v>
      </c>
      <c r="F153" t="str">
        <f t="shared" si="8"/>
        <v>2021/3</v>
      </c>
      <c r="G153" t="str">
        <f t="shared" si="8"/>
        <v>2021/6</v>
      </c>
      <c r="H153" t="str">
        <f t="shared" si="8"/>
        <v>2021/9</v>
      </c>
      <c r="I153" t="str">
        <f t="shared" si="8"/>
        <v>2021/12</v>
      </c>
      <c r="J153" t="str">
        <f t="shared" si="8"/>
        <v>2022/3</v>
      </c>
      <c r="K153" t="str">
        <f t="shared" si="8"/>
        <v>2022/6</v>
      </c>
      <c r="L153" t="str">
        <f t="shared" si="8"/>
        <v>2022/9</v>
      </c>
      <c r="M153" t="str">
        <f t="shared" si="8"/>
        <v>2022/12</v>
      </c>
      <c r="N153" t="str">
        <f t="shared" si="8"/>
        <v>2023/3</v>
      </c>
      <c r="O153" t="str">
        <f t="shared" si="8"/>
        <v>2023/6</v>
      </c>
      <c r="P153" t="str">
        <f t="shared" si="8"/>
        <v>2023/9</v>
      </c>
      <c r="Q153" t="str">
        <f t="shared" si="8"/>
        <v>2023/12</v>
      </c>
      <c r="R153" t="str">
        <f t="shared" si="8"/>
        <v>2024/3</v>
      </c>
      <c r="S153" t="str">
        <f t="shared" si="8"/>
        <v>2024/6</v>
      </c>
      <c r="T153" t="str">
        <f t="shared" si="8"/>
        <v>2024/9</v>
      </c>
      <c r="U153" t="str">
        <f t="shared" si="8"/>
        <v>2024/12</v>
      </c>
      <c r="V153" t="str">
        <f t="shared" si="8"/>
        <v>2025/3</v>
      </c>
      <c r="W153" t="str">
        <f t="shared" si="8"/>
        <v>2025/6</v>
      </c>
      <c r="X153" t="str">
        <f t="shared" si="8"/>
        <v>2025/9</v>
      </c>
    </row>
    <row r="154" spans="1:24" x14ac:dyDescent="0.25">
      <c r="A154" t="s">
        <v>167</v>
      </c>
      <c r="C154" s="3"/>
      <c r="D154" s="3"/>
      <c r="E154" s="3"/>
      <c r="F154" s="3">
        <f>AVERAGE($E$6,F6)</f>
        <v>3174348500</v>
      </c>
      <c r="G154" s="3">
        <f t="shared" ref="G154:H154" si="9">AVERAGE($E$6,G6)</f>
        <v>3188460000</v>
      </c>
      <c r="H154" s="3">
        <f t="shared" si="9"/>
        <v>3367056500</v>
      </c>
      <c r="I154" s="3">
        <f>AVERAGE($E$6,I6)</f>
        <v>3889955500</v>
      </c>
      <c r="J154" s="3">
        <f>AVERAGE($I$6,J6)</f>
        <v>5271992000</v>
      </c>
      <c r="K154" s="3">
        <f t="shared" ref="K154:L154" si="10">AVERAGE($I$6,K6)</f>
        <v>5238766000</v>
      </c>
      <c r="L154" s="3">
        <f t="shared" si="10"/>
        <v>5865299500</v>
      </c>
      <c r="M154" s="3">
        <f>AVERAGE($I$6,M6)</f>
        <v>8430947000</v>
      </c>
      <c r="N154" s="3">
        <f>AVERAGE($M$6,N6)</f>
        <v>10849431000</v>
      </c>
      <c r="O154" s="3">
        <f t="shared" ref="O154:P154" si="11">AVERAGE($M$6,O6)</f>
        <v>11033371500</v>
      </c>
      <c r="P154" s="3">
        <f t="shared" si="11"/>
        <v>11533570000</v>
      </c>
      <c r="Q154" s="3">
        <f>AVERAGE($M$6,Q6)</f>
        <v>14797948000</v>
      </c>
      <c r="R154" s="3">
        <f>AVERAGE($Q$6,R6)</f>
        <v>16889378500</v>
      </c>
      <c r="S154" s="3">
        <f t="shared" ref="S154:U154" si="12">AVERAGE($Q$6,S6)</f>
        <v>16276557000</v>
      </c>
      <c r="T154" s="3">
        <f t="shared" si="12"/>
        <v>17931635000</v>
      </c>
      <c r="U154" s="3">
        <f t="shared" si="12"/>
        <v>22445298815.5</v>
      </c>
      <c r="V154" s="3">
        <f>AVERAGE($U$6,V6)</f>
        <v>27423816315.5</v>
      </c>
      <c r="W154" s="3">
        <f>AVERAGE($U$6,W6)</f>
        <v>26995353815.5</v>
      </c>
      <c r="X154" s="3">
        <f>AVERAGE($U$6,X6)</f>
        <v>28543507315.5</v>
      </c>
    </row>
    <row r="155" spans="1:24" x14ac:dyDescent="0.25">
      <c r="A155" t="s">
        <v>169</v>
      </c>
      <c r="C155" s="21"/>
      <c r="D155" s="21"/>
      <c r="E155" s="21"/>
      <c r="F155" s="21">
        <v>0.2</v>
      </c>
      <c r="G155" s="21">
        <v>0.2</v>
      </c>
      <c r="H155" s="21">
        <v>0.2</v>
      </c>
      <c r="I155" s="21">
        <v>0.2</v>
      </c>
      <c r="J155" s="21">
        <v>0.2</v>
      </c>
      <c r="K155" s="21">
        <v>0.2</v>
      </c>
      <c r="L155" s="21">
        <v>0.2</v>
      </c>
      <c r="M155" s="21">
        <v>0.2</v>
      </c>
      <c r="N155" s="21">
        <v>0.2</v>
      </c>
      <c r="O155" s="21">
        <v>0.2</v>
      </c>
      <c r="P155" s="21">
        <v>0.2</v>
      </c>
      <c r="Q155" s="21">
        <v>0.2</v>
      </c>
      <c r="R155" s="21">
        <v>0.2</v>
      </c>
      <c r="S155" s="21">
        <v>0.2</v>
      </c>
      <c r="T155" s="21">
        <v>0.2</v>
      </c>
      <c r="U155" s="21">
        <v>0.2</v>
      </c>
      <c r="V155" s="21">
        <v>0.2</v>
      </c>
      <c r="W155" s="21">
        <v>0.2</v>
      </c>
      <c r="X155" s="21">
        <v>0.2</v>
      </c>
    </row>
    <row r="156" spans="1:24" x14ac:dyDescent="0.25">
      <c r="A156" t="s">
        <v>168</v>
      </c>
      <c r="C156" s="3"/>
      <c r="D156" s="3"/>
      <c r="E156" s="3"/>
      <c r="F156" s="3">
        <f>F154/(1+F155)</f>
        <v>2645290416.666667</v>
      </c>
      <c r="G156" s="3">
        <f t="shared" ref="G156:N156" si="13">G154/(1+G155)</f>
        <v>2657050000</v>
      </c>
      <c r="H156" s="3">
        <f t="shared" si="13"/>
        <v>2805880416.666667</v>
      </c>
      <c r="I156" s="3">
        <f t="shared" si="13"/>
        <v>3241629583.3333335</v>
      </c>
      <c r="J156" s="3">
        <f t="shared" si="13"/>
        <v>4393326666.666667</v>
      </c>
      <c r="K156" s="3">
        <f t="shared" si="13"/>
        <v>4365638333.333334</v>
      </c>
      <c r="L156" s="3">
        <f t="shared" si="13"/>
        <v>4887749583.333334</v>
      </c>
      <c r="M156" s="3">
        <f t="shared" si="13"/>
        <v>7025789166.666667</v>
      </c>
      <c r="N156" s="3">
        <f t="shared" si="13"/>
        <v>9041192500</v>
      </c>
      <c r="O156" s="3">
        <f>O154/(1+O155)</f>
        <v>9194476250</v>
      </c>
      <c r="P156" s="3">
        <f t="shared" ref="P156:R156" si="14">P154/(1+P155)</f>
        <v>9611308333.333334</v>
      </c>
      <c r="Q156" s="3">
        <f t="shared" si="14"/>
        <v>12331623333.333334</v>
      </c>
      <c r="R156" s="3">
        <f t="shared" si="14"/>
        <v>14074482083.333334</v>
      </c>
      <c r="S156" s="3">
        <f>S154/(1+S155)</f>
        <v>13563797500</v>
      </c>
      <c r="T156" s="3">
        <f t="shared" ref="T156:V156" si="15">T154/(1+T155)</f>
        <v>14943029166.666668</v>
      </c>
      <c r="U156" s="3">
        <f t="shared" si="15"/>
        <v>18704415679.583336</v>
      </c>
      <c r="V156" s="3">
        <f t="shared" si="15"/>
        <v>22853180262.916668</v>
      </c>
      <c r="W156" s="3">
        <f>W154/(1+W155)</f>
        <v>22496128179.583336</v>
      </c>
      <c r="X156" s="3">
        <f>X154/(1+X155)</f>
        <v>23786256096.25</v>
      </c>
    </row>
    <row r="157" spans="1:24" x14ac:dyDescent="0.25">
      <c r="A157" t="s">
        <v>170</v>
      </c>
      <c r="C157" s="6"/>
      <c r="D157" s="6"/>
      <c r="E157" s="6"/>
      <c r="F157" s="6" cm="1">
        <f t="array" ref="F157">IFERROR(F74/F156,0)*_xlfn.IFS(RIGHT(F153,2)="/3",12/3,RIGHT(F153,2)="/6",12/6,RIGHT(F153,2)="/9",12/9,RIGHT(F153,2)="12",1)</f>
        <v>4.2093782708483323</v>
      </c>
      <c r="G157" s="6" cm="1">
        <f t="array" ref="G157">IFERROR(G74/G156,0)*_xlfn.IFS(RIGHT(G153,2)="/3",12/3,RIGHT(G153,2)="/6",12/6,RIGHT(G153,2)="/9",12/9,RIGHT(G153,2)="12",1)</f>
        <v>4.096892418283435</v>
      </c>
      <c r="H157" s="6" cm="1">
        <f t="array" ref="H157">IFERROR(H74/H156,0)*_xlfn.IFS(RIGHT(H153,2)="/3",12/3,RIGHT(H153,2)="/6",12/6,RIGHT(H153,2)="/9",12/9,RIGHT(H153,2)="12",1)</f>
        <v>4.0006252345334854</v>
      </c>
      <c r="I157" s="6" cm="1">
        <f t="array" ref="I157">IFERROR(I74/I156,0)*_xlfn.IFS(RIGHT(I153,2)="/3",12/3,RIGHT(I153,2)="/6",12/6,RIGHT(I153,2)="/9",12/9,RIGHT(I153,2)="12",1)</f>
        <v>3.8675239343997636</v>
      </c>
      <c r="J157" s="6" cm="1">
        <f t="array" ref="J157">IFERROR(J74/J156,0)*_xlfn.IFS(RIGHT(J153,2)="/3",12/3,RIGHT(J153,2)="/6",12/6,RIGHT(J153,2)="/9",12/9,RIGHT(J153,2)="12",1)</f>
        <v>5.3590533521295169</v>
      </c>
      <c r="K157" s="6" cm="1">
        <f t="array" ref="K157">IFERROR(K74/K156,0)*_xlfn.IFS(RIGHT(K153,2)="/3",12/3,RIGHT(K153,2)="/6",12/6,RIGHT(K153,2)="/9",12/9,RIGHT(K153,2)="12",1)</f>
        <v>5.4411561806730813</v>
      </c>
      <c r="L157" s="6" cm="1">
        <f t="array" ref="L157">IFERROR(L74/L156,0)*_xlfn.IFS(RIGHT(L153,2)="/3",12/3,RIGHT(L153,2)="/6",12/6,RIGHT(L153,2)="/9",12/9,RIGHT(L153,2)="12",1)</f>
        <v>5.2318228591736862</v>
      </c>
      <c r="M157" s="6" cm="1">
        <f t="array" ref="M157">IFERROR(M74/M156,0)*_xlfn.IFS(RIGHT(M153,2)="/3",12/3,RIGHT(M153,2)="/6",12/6,RIGHT(M153,2)="/9",12/9,RIGHT(M153,2)="12",1)</f>
        <v>7.3986290745274523</v>
      </c>
      <c r="N157" s="6" cm="1">
        <f t="array" ref="N157">IFERROR(N74/N156,0)*_xlfn.IFS(RIGHT(N153,2)="/3",12/3,RIGHT(N153,2)="/6",12/6,RIGHT(N153,2)="/9",12/9,RIGHT(N153,2)="12",1)</f>
        <v>8.3196273058006458</v>
      </c>
      <c r="O157" s="6" cm="1">
        <f t="array" ref="O157">IFERROR(O74/O156,0)*_xlfn.IFS(RIGHT(O153,2)="/3",12/3,RIGHT(O153,2)="/6",12/6,RIGHT(O153,2)="/9",12/9,RIGHT(O153,2)="12",1)</f>
        <v>8.3398457851256076</v>
      </c>
      <c r="P157" s="6" cm="1">
        <f t="array" ref="P157">IFERROR(P74/P156,0)*_xlfn.IFS(RIGHT(P153,2)="/3",12/3,RIGHT(P153,2)="/6",12/6,RIGHT(P153,2)="/9",12/9,RIGHT(P153,2)="12",1)</f>
        <v>7.7893887842185885</v>
      </c>
      <c r="Q157" s="6" cm="1">
        <f t="array" ref="Q157">IFERROR(Q74/Q156,0)*_xlfn.IFS(RIGHT(Q153,2)="/3",12/3,RIGHT(Q153,2)="/6",12/6,RIGHT(Q153,2)="/9",12/9,RIGHT(Q153,2)="12",1)</f>
        <v>6.537301036603183</v>
      </c>
      <c r="R157" s="6" cm="1">
        <f t="array" ref="R157">IFERROR(R74/R156,0)*_xlfn.IFS(RIGHT(R153,2)="/3",12/3,RIGHT(R153,2)="/6",12/6,RIGHT(R153,2)="/9",12/9,RIGHT(R153,2)="12",1)</f>
        <v>7.6932544557515836</v>
      </c>
      <c r="S157" s="6" cm="1">
        <f t="array" ref="S157">IFERROR(S74/S156,0)*_xlfn.IFS(RIGHT(S153,2)="/3",12/3,RIGHT(S153,2)="/6",12/6,RIGHT(S153,2)="/9",12/9,RIGHT(S153,2)="12",1)</f>
        <v>7.2797730871461326</v>
      </c>
      <c r="T157" s="6" cm="1">
        <f t="array" ref="T157">IFERROR(T74/T156,0)*_xlfn.IFS(RIGHT(T153,2)="/3",12/3,RIGHT(T153,2)="/6",12/6,RIGHT(T153,2)="/9",12/9,RIGHT(T153,2)="12",1)</f>
        <v>6.9000170480828986</v>
      </c>
      <c r="U157" s="6" cm="1">
        <f t="array" ref="U157">IFERROR(U74/U156,0)*_xlfn.IFS(RIGHT(U153,2)="/3",12/3,RIGHT(U153,2)="/6",12/6,RIGHT(U153,2)="/9",12/9,RIGHT(U153,2)="12",1)</f>
        <v>5.6395057285932699</v>
      </c>
      <c r="V157" s="6" cm="1">
        <f t="array" ref="V157">IFERROR(V74/V156,0)*_xlfn.IFS(RIGHT(V153,2)="/3",12/3,RIGHT(V153,2)="/6",12/6,RIGHT(V153,2)="/9",12/9,RIGHT(V153,2)="12",1)</f>
        <v>4.7192236161110817</v>
      </c>
      <c r="W157" s="6" cm="1">
        <f t="array" ref="W157">IFERROR(W74/W156,0)*_xlfn.IFS(RIGHT(W153,2)="/3",12/3,RIGHT(W153,2)="/6",12/6,RIGHT(W153,2)="/9",12/9,RIGHT(W153,2)="12",1)</f>
        <v>4.5909725076038796</v>
      </c>
      <c r="X157" s="6" cm="1">
        <f t="array" ref="X157">IFERROR(X74/X156,0)*_xlfn.IFS(RIGHT(X153,2)="/3",12/3,RIGHT(X153,2)="/6",12/6,RIGHT(X153,2)="/9",12/9,RIGHT(X153,2)="12",1)</f>
        <v>4.5362842964181764</v>
      </c>
    </row>
    <row r="158" spans="1:24" x14ac:dyDescent="0.25">
      <c r="A158" t="s">
        <v>171</v>
      </c>
      <c r="C158" s="6"/>
      <c r="D158" s="6"/>
      <c r="E158" s="6"/>
      <c r="F158" s="6">
        <f>IFERROR(365/F157,0)</f>
        <v>86.711142718575431</v>
      </c>
      <c r="G158" s="6">
        <f t="shared" ref="G158:S158" si="16">IFERROR(365/G157,0)</f>
        <v>89.091917173878841</v>
      </c>
      <c r="H158" s="6">
        <f t="shared" si="16"/>
        <v>91.235739066311922</v>
      </c>
      <c r="I158" s="6">
        <f t="shared" si="16"/>
        <v>94.375627970521577</v>
      </c>
      <c r="J158" s="6">
        <f t="shared" si="16"/>
        <v>68.109043895776978</v>
      </c>
      <c r="K158" s="6">
        <f t="shared" si="16"/>
        <v>67.081331224506187</v>
      </c>
      <c r="L158" s="6">
        <f t="shared" si="16"/>
        <v>69.76535900102094</v>
      </c>
      <c r="M158" s="6">
        <f t="shared" si="16"/>
        <v>49.333463851654493</v>
      </c>
      <c r="N158" s="6">
        <f t="shared" si="16"/>
        <v>43.872157559932184</v>
      </c>
      <c r="O158" s="6">
        <f t="shared" si="16"/>
        <v>43.76579728260559</v>
      </c>
      <c r="P158" s="6">
        <f t="shared" si="16"/>
        <v>46.858618835343684</v>
      </c>
      <c r="Q158" s="6">
        <f t="shared" si="16"/>
        <v>55.833439206228746</v>
      </c>
      <c r="R158" s="6">
        <f t="shared" si="16"/>
        <v>47.444160608404282</v>
      </c>
      <c r="S158" s="6">
        <f t="shared" si="16"/>
        <v>50.138925434980813</v>
      </c>
      <c r="T158" s="6">
        <f t="shared" ref="T158:X158" si="17">IFERROR(365/T157,0)</f>
        <v>52.898420026572488</v>
      </c>
      <c r="U158" s="6">
        <f t="shared" si="17"/>
        <v>64.721984082645193</v>
      </c>
      <c r="V158" s="6">
        <f t="shared" si="17"/>
        <v>77.34323051654448</v>
      </c>
      <c r="W158" s="6">
        <f t="shared" si="17"/>
        <v>79.503852265606525</v>
      </c>
      <c r="X158" s="6">
        <f t="shared" si="17"/>
        <v>80.462329111118947</v>
      </c>
    </row>
    <row r="160" spans="1:24" x14ac:dyDescent="0.25">
      <c r="A160" t="s">
        <v>172</v>
      </c>
      <c r="C160" s="3"/>
      <c r="D160" s="3"/>
      <c r="E160" s="3"/>
      <c r="F160" s="3">
        <f>AVERAGE($E$10,F10)</f>
        <v>1312404000</v>
      </c>
      <c r="G160" s="3">
        <f t="shared" ref="G160:I160" si="18">AVERAGE($E$10,G10)</f>
        <v>1328598500</v>
      </c>
      <c r="H160" s="3">
        <f t="shared" si="18"/>
        <v>1862280000</v>
      </c>
      <c r="I160" s="3">
        <f t="shared" si="18"/>
        <v>2457044500</v>
      </c>
      <c r="J160" s="3">
        <f>AVERAGE($I$10,J10)</f>
        <v>3481562000</v>
      </c>
      <c r="K160" s="3">
        <f t="shared" ref="K160:L160" si="19">AVERAGE($I$10,K10)</f>
        <v>3749000000</v>
      </c>
      <c r="L160" s="3">
        <f t="shared" si="19"/>
        <v>4310183000</v>
      </c>
      <c r="M160" s="3">
        <f>AVERAGE($I$10,M10)</f>
        <v>5867307500</v>
      </c>
      <c r="N160" s="3">
        <f>AVERAGE($M$10,N10)</f>
        <v>7018505500</v>
      </c>
      <c r="O160" s="3">
        <f t="shared" ref="O160:Q160" si="20">AVERAGE($M$10,O10)</f>
        <v>7535771500</v>
      </c>
      <c r="P160" s="3">
        <f t="shared" si="20"/>
        <v>7590364500</v>
      </c>
      <c r="Q160" s="3">
        <f t="shared" si="20"/>
        <v>10315797000</v>
      </c>
      <c r="R160" s="3">
        <f>AVERAGE($Q$10,R10)</f>
        <v>10557132500</v>
      </c>
      <c r="S160" s="3">
        <f t="shared" ref="S160:T160" si="21">AVERAGE($Q$10,S10)</f>
        <v>11265047500</v>
      </c>
      <c r="T160" s="3">
        <f t="shared" si="21"/>
        <v>11556971500</v>
      </c>
      <c r="U160" s="3">
        <f>AVERAGE($Q$10,U10)</f>
        <v>13477175902</v>
      </c>
      <c r="V160" s="3">
        <f>AVERAGE($U$10,V10)</f>
        <v>16969091902</v>
      </c>
      <c r="W160" s="3">
        <f>AVERAGE($U$10,W10)</f>
        <v>19205126902</v>
      </c>
      <c r="X160" s="3">
        <f>AVERAGE($U$10,X10)</f>
        <v>18942673402</v>
      </c>
    </row>
    <row r="161" spans="1:24" x14ac:dyDescent="0.25">
      <c r="A161" t="s">
        <v>173</v>
      </c>
      <c r="C161" s="22"/>
      <c r="D161" s="22"/>
      <c r="E161" s="22"/>
      <c r="F161" s="22" cm="1">
        <f t="array" ref="F161">IFERROR(-F75/F160,0)*_xlfn.IFS(RIGHT(F153,2)="/3",12/3,RIGHT(F153,2)="/6",12/6,RIGHT(F153,2)="/9",12/9,RIGHT(F153,2)="12",1)</f>
        <v>5.8561814807025883</v>
      </c>
      <c r="G161" s="22" cm="1">
        <f t="array" ref="G161">IFERROR(-G75/G160,0)*_xlfn.IFS(RIGHT(G153,2)="/3",12/3,RIGHT(G153,2)="/6",12/6,RIGHT(G153,2)="/9",12/9,RIGHT(G153,2)="12",1)</f>
        <v>5.8243750839700628</v>
      </c>
      <c r="H161" s="22" cm="1">
        <f t="array" ref="H161">IFERROR(-H75/H160,0)*_xlfn.IFS(RIGHT(H153,2)="/3",12/3,RIGHT(H153,2)="/6",12/6,RIGHT(H153,2)="/9",12/9,RIGHT(H153,2)="12",1)</f>
        <v>4.3252192652733923</v>
      </c>
      <c r="I161" s="22" cm="1">
        <f t="array" ref="I161">IFERROR(-I75/I160,0)*_xlfn.IFS(RIGHT(I153,2)="/3",12/3,RIGHT(I153,2)="/6",12/6,RIGHT(I153,2)="/9",12/9,RIGHT(I153,2)="12",1)</f>
        <v>3.6322765013006482</v>
      </c>
      <c r="J161" s="22" cm="1">
        <f t="array" ref="J161">IFERROR(-J75/J160,0)*_xlfn.IFS(RIGHT(J153,2)="/3",12/3,RIGHT(J153,2)="/6",12/6,RIGHT(J153,2)="/9",12/9,RIGHT(J153,2)="12",1)</f>
        <v>4.638065328148687</v>
      </c>
      <c r="K161" s="22" cm="1">
        <f t="array" ref="K161">IFERROR(-K75/K160,0)*_xlfn.IFS(RIGHT(K153,2)="/3",12/3,RIGHT(K153,2)="/6",12/6,RIGHT(K153,2)="/9",12/9,RIGHT(K153,2)="12",1)</f>
        <v>4.4439903974393173</v>
      </c>
      <c r="L161" s="22" cm="1">
        <f t="array" ref="L161">IFERROR(-L75/L160,0)*_xlfn.IFS(RIGHT(L153,2)="/3",12/3,RIGHT(L153,2)="/6",12/6,RIGHT(L153,2)="/9",12/9,RIGHT(L153,2)="12",1)</f>
        <v>4.2105491421903274</v>
      </c>
      <c r="M161" s="22" cm="1">
        <f t="array" ref="M161">IFERROR(-M75/M160,0)*_xlfn.IFS(RIGHT(M153,2)="/3",12/3,RIGHT(M153,2)="/6",12/6,RIGHT(M153,2)="/9",12/9,RIGHT(M153,2)="12",1)</f>
        <v>6.9287348583656128</v>
      </c>
      <c r="N161" s="22" cm="1">
        <f t="array" ref="N161">IFERROR(-N75/N160,0)*_xlfn.IFS(RIGHT(N153,2)="/3",12/3,RIGHT(N153,2)="/6",12/6,RIGHT(N153,2)="/9",12/9,RIGHT(N153,2)="12",1)</f>
        <v>7.4232914685327236</v>
      </c>
      <c r="O161" s="22" cm="1">
        <f t="array" ref="O161">IFERROR(-O75/O160,0)*_xlfn.IFS(RIGHT(O153,2)="/3",12/3,RIGHT(O153,2)="/6",12/6,RIGHT(O153,2)="/9",12/9,RIGHT(O153,2)="12",1)</f>
        <v>7.2083122477904222</v>
      </c>
      <c r="P161" s="22" cm="1">
        <f t="array" ref="P161">IFERROR(-P75/P160,0)*_xlfn.IFS(RIGHT(P153,2)="/3",12/3,RIGHT(P153,2)="/6",12/6,RIGHT(P153,2)="/9",12/9,RIGHT(P153,2)="12",1)</f>
        <v>6.9507051121633658</v>
      </c>
      <c r="Q161" s="22" cm="1">
        <f t="array" ref="Q161">IFERROR(-Q75/Q160,0)*_xlfn.IFS(RIGHT(Q153,2)="/3",12/3,RIGHT(Q153,2)="/6",12/6,RIGHT(Q153,2)="/9",12/9,RIGHT(Q153,2)="12",1)</f>
        <v>5.5507117869806857</v>
      </c>
      <c r="R161" s="22" cm="1">
        <f t="array" ref="R161">IFERROR(-R75/R160,0)*_xlfn.IFS(RIGHT(R153,2)="/3",12/3,RIGHT(R153,2)="/6",12/6,RIGHT(R153,2)="/9",12/9,RIGHT(R153,2)="12",1)</f>
        <v>6.9781751815656383</v>
      </c>
      <c r="S161" s="22" cm="1">
        <f t="array" ref="S161">IFERROR(-S75/S160,0)*_xlfn.IFS(RIGHT(S153,2)="/3",12/3,RIGHT(S153,2)="/6",12/6,RIGHT(S153,2)="/9",12/9,RIGHT(S153,2)="12",1)</f>
        <v>6.0154466281655719</v>
      </c>
      <c r="T161" s="22" cm="1">
        <f t="array" ref="T161">IFERROR(-T75/T160,0)*_xlfn.IFS(RIGHT(T153,2)="/3",12/3,RIGHT(T153,2)="/6",12/6,RIGHT(T153,2)="/9",12/9,RIGHT(T153,2)="12",1)</f>
        <v>6.2423357191804101</v>
      </c>
      <c r="U161" s="22" cm="1">
        <f t="array" ref="U161">IFERROR(-U75/U160,0)*_xlfn.IFS(RIGHT(U153,2)="/3",12/3,RIGHT(U153,2)="/6",12/6,RIGHT(U153,2)="/9",12/9,RIGHT(U153,2)="12",1)</f>
        <v>5.4939571823064268</v>
      </c>
      <c r="V161" s="22" cm="1">
        <f t="array" ref="V161">IFERROR(-V75/V160,0)*_xlfn.IFS(RIGHT(V153,2)="/3",12/3,RIGHT(V153,2)="/6",12/6,RIGHT(V153,2)="/9",12/9,RIGHT(V153,2)="12",1)</f>
        <v>4.2304809482196886</v>
      </c>
      <c r="W161" s="22" cm="1">
        <f t="array" ref="W161">IFERROR(-W75/W160,0)*_xlfn.IFS(RIGHT(W153,2)="/3",12/3,RIGHT(W153,2)="/6",12/6,RIGHT(W153,2)="/9",12/9,RIGHT(W153,2)="12",1)</f>
        <v>3.7282917402927143</v>
      </c>
      <c r="X161" s="22" cm="1">
        <f t="array" ref="X161">IFERROR(-X75/X160,0)*_xlfn.IFS(RIGHT(X153,2)="/3",12/3,RIGHT(X153,2)="/6",12/6,RIGHT(X153,2)="/9",12/9,RIGHT(X153,2)="12",1)</f>
        <v>3.9747247076566579</v>
      </c>
    </row>
    <row r="162" spans="1:24" x14ac:dyDescent="0.25">
      <c r="A162" t="s">
        <v>174</v>
      </c>
      <c r="C162" s="6"/>
      <c r="D162" s="6"/>
      <c r="E162" s="6"/>
      <c r="F162" s="6">
        <f t="shared" ref="F162" si="22">IFERROR(365/F161,0)</f>
        <v>62.327303414819987</v>
      </c>
      <c r="G162" s="6">
        <f t="shared" ref="G162:X162" si="23">IFERROR(365/G161,0)</f>
        <v>62.667667301262718</v>
      </c>
      <c r="H162" s="6">
        <f t="shared" si="23"/>
        <v>84.388785310963598</v>
      </c>
      <c r="I162" s="6">
        <f t="shared" si="23"/>
        <v>100.48794464554132</v>
      </c>
      <c r="J162" s="6">
        <f t="shared" si="23"/>
        <v>78.696606057873709</v>
      </c>
      <c r="K162" s="6">
        <f t="shared" si="23"/>
        <v>82.133390794525013</v>
      </c>
      <c r="L162" s="6">
        <f t="shared" si="23"/>
        <v>86.687030046187047</v>
      </c>
      <c r="M162" s="6">
        <f t="shared" si="23"/>
        <v>52.679169785131329</v>
      </c>
      <c r="N162" s="6">
        <f t="shared" si="23"/>
        <v>49.169563332819713</v>
      </c>
      <c r="O162" s="6">
        <f t="shared" si="23"/>
        <v>50.635986268753015</v>
      </c>
      <c r="P162" s="6">
        <f t="shared" si="23"/>
        <v>52.512657940454034</v>
      </c>
      <c r="Q162" s="6">
        <f t="shared" si="23"/>
        <v>65.757332394039153</v>
      </c>
      <c r="R162" s="6">
        <f t="shared" si="23"/>
        <v>52.305938229270396</v>
      </c>
      <c r="S162" s="6">
        <f t="shared" si="23"/>
        <v>60.677123838318856</v>
      </c>
      <c r="T162" s="6">
        <f t="shared" si="23"/>
        <v>58.471702968247726</v>
      </c>
      <c r="U162" s="6">
        <f t="shared" si="23"/>
        <v>66.436629898664179</v>
      </c>
      <c r="V162" s="6">
        <f t="shared" si="23"/>
        <v>86.278606254828489</v>
      </c>
      <c r="W162" s="6">
        <f t="shared" si="23"/>
        <v>97.900064003935285</v>
      </c>
      <c r="X162" s="6">
        <f t="shared" si="23"/>
        <v>91.830259161568378</v>
      </c>
    </row>
    <row r="164" spans="1:24" x14ac:dyDescent="0.25">
      <c r="A164" t="s">
        <v>175</v>
      </c>
      <c r="C164" s="3"/>
      <c r="D164" s="3"/>
      <c r="E164" s="3"/>
      <c r="F164" s="3">
        <f>AVERAGE($E$36,F36)</f>
        <v>1346308000</v>
      </c>
      <c r="G164" s="3">
        <f t="shared" ref="G164:H164" si="24">AVERAGE($E$36,G36)</f>
        <v>1346154500</v>
      </c>
      <c r="H164" s="3">
        <f t="shared" si="24"/>
        <v>1323291000</v>
      </c>
      <c r="I164" s="3">
        <f>AVERAGE($E$36,I36)</f>
        <v>1772915500</v>
      </c>
      <c r="J164" s="3">
        <f>AVERAGE($I$36,J36)</f>
        <v>2610007500</v>
      </c>
      <c r="K164" s="3">
        <f t="shared" ref="K164:L164" si="25">AVERAGE($I$36,K36)</f>
        <v>2770230000</v>
      </c>
      <c r="L164" s="3">
        <f t="shared" si="25"/>
        <v>3034239000</v>
      </c>
      <c r="M164" s="3">
        <f>AVERAGE($I$36,M36)</f>
        <v>4563531000</v>
      </c>
      <c r="N164" s="3">
        <f>AVERAGE($M$36,N36)</f>
        <v>5363660500</v>
      </c>
      <c r="O164" s="3">
        <f t="shared" ref="O164:P164" si="26">AVERAGE($M$36,O36)</f>
        <v>5642194000</v>
      </c>
      <c r="P164" s="3">
        <f t="shared" si="26"/>
        <v>6167666500</v>
      </c>
      <c r="Q164" s="3">
        <f>AVERAGE($M$36,Q36)</f>
        <v>8940022000</v>
      </c>
      <c r="R164" s="3">
        <f>AVERAGE($Q$36,R36)</f>
        <v>8984942000</v>
      </c>
      <c r="S164" s="3">
        <f t="shared" ref="S164:U164" si="27">AVERAGE($Q$36,S36)</f>
        <v>9138154000</v>
      </c>
      <c r="T164" s="3">
        <f t="shared" si="27"/>
        <v>9027763000</v>
      </c>
      <c r="U164" s="3">
        <f t="shared" si="27"/>
        <v>11951563214.5</v>
      </c>
      <c r="V164" s="3">
        <f>AVERAGE($U$36,V36)</f>
        <v>11370405714.5</v>
      </c>
      <c r="W164" s="3">
        <f>AVERAGE($U$36,W36)</f>
        <v>11454714214.5</v>
      </c>
      <c r="X164" s="3">
        <f>AVERAGE($U$36,X36)</f>
        <v>11302981214.5</v>
      </c>
    </row>
    <row r="165" spans="1:24" x14ac:dyDescent="0.25">
      <c r="A165" t="s">
        <v>169</v>
      </c>
      <c r="C165" s="21"/>
      <c r="D165" s="21"/>
      <c r="E165" s="21"/>
      <c r="F165" s="21">
        <v>0.2</v>
      </c>
      <c r="G165" s="21">
        <v>0.2</v>
      </c>
      <c r="H165" s="21">
        <v>0.2</v>
      </c>
      <c r="I165" s="21">
        <v>0.2</v>
      </c>
      <c r="J165" s="21">
        <v>0.2</v>
      </c>
      <c r="K165" s="21">
        <v>0.2</v>
      </c>
      <c r="L165" s="21">
        <v>0.2</v>
      </c>
      <c r="M165" s="21">
        <v>0.2</v>
      </c>
      <c r="N165" s="21">
        <v>0.2</v>
      </c>
      <c r="O165" s="21">
        <v>0.2</v>
      </c>
      <c r="P165" s="21">
        <v>0.2</v>
      </c>
      <c r="Q165" s="21">
        <v>0.2</v>
      </c>
      <c r="R165" s="21">
        <v>0.2</v>
      </c>
      <c r="S165" s="21">
        <v>0.2</v>
      </c>
      <c r="T165" s="21">
        <v>0.2</v>
      </c>
      <c r="U165" s="21">
        <v>0.2</v>
      </c>
      <c r="V165" s="21">
        <v>0.2</v>
      </c>
      <c r="W165" s="21">
        <v>0.2</v>
      </c>
      <c r="X165" s="21">
        <v>0.2</v>
      </c>
    </row>
    <row r="166" spans="1:24" x14ac:dyDescent="0.25">
      <c r="A166" t="s">
        <v>176</v>
      </c>
      <c r="C166" s="2"/>
      <c r="D166" s="2"/>
      <c r="E166" s="2"/>
      <c r="F166" s="2">
        <f t="shared" ref="F166:N166" si="28">F164/(1+F165)</f>
        <v>1121923333.3333335</v>
      </c>
      <c r="G166" s="2">
        <f t="shared" si="28"/>
        <v>1121795416.6666667</v>
      </c>
      <c r="H166" s="2">
        <f t="shared" si="28"/>
        <v>1102742500</v>
      </c>
      <c r="I166" s="2">
        <f t="shared" si="28"/>
        <v>1477429583.3333335</v>
      </c>
      <c r="J166" s="2">
        <f t="shared" si="28"/>
        <v>2175006250</v>
      </c>
      <c r="K166" s="2">
        <f t="shared" si="28"/>
        <v>2308525000</v>
      </c>
      <c r="L166" s="2">
        <f t="shared" si="28"/>
        <v>2528532500</v>
      </c>
      <c r="M166" s="2">
        <f t="shared" si="28"/>
        <v>3802942500</v>
      </c>
      <c r="N166" s="2">
        <f t="shared" si="28"/>
        <v>4469717083.333334</v>
      </c>
      <c r="O166" s="2">
        <f>O164/(1+O165)</f>
        <v>4701828333.333334</v>
      </c>
      <c r="P166" s="2">
        <f t="shared" ref="P166:X166" si="29">P164/(1+P165)</f>
        <v>5139722083.333334</v>
      </c>
      <c r="Q166" s="2">
        <f t="shared" si="29"/>
        <v>7450018333.333334</v>
      </c>
      <c r="R166" s="2">
        <f t="shared" si="29"/>
        <v>7487451666.666667</v>
      </c>
      <c r="S166" s="2">
        <f t="shared" si="29"/>
        <v>7615128333.333334</v>
      </c>
      <c r="T166" s="2">
        <f t="shared" si="29"/>
        <v>7523135833.333334</v>
      </c>
      <c r="U166" s="2">
        <f t="shared" si="29"/>
        <v>9959636012.083334</v>
      </c>
      <c r="V166" s="2">
        <f t="shared" si="29"/>
        <v>9475338095.4166679</v>
      </c>
      <c r="W166" s="2">
        <f t="shared" si="29"/>
        <v>9545595178.75</v>
      </c>
      <c r="X166" s="2">
        <f t="shared" si="29"/>
        <v>9419151012.083334</v>
      </c>
    </row>
    <row r="167" spans="1:24" x14ac:dyDescent="0.25">
      <c r="A167" t="s">
        <v>177</v>
      </c>
      <c r="C167" s="6"/>
      <c r="D167" s="6"/>
      <c r="E167" s="6"/>
      <c r="F167" s="6" cm="1">
        <f t="array" ref="F167">IFERROR(-1*(F75+SUM(F84:F86))/F166*_xlfn.IFS(RIGHT(F153,2)="/3",12/3,RIGHT(F153,2)="/6",12/6,RIGHT(F153,2)="/9",12/9,RIGHT(F153,2)="12",1),"")</f>
        <v>8.1657807871601431</v>
      </c>
      <c r="G167" s="6" cm="1">
        <f t="array" ref="G167">IFERROR(-1*(G75+SUM(G84:G86))/G166*_xlfn.IFS(RIGHT(G153,2)="/3",12/3,RIGHT(G153,2)="/6",12/6,RIGHT(G153,2)="/9",12/9,RIGHT(G153,2)="12",1),"")</f>
        <v>8.1279098350152221</v>
      </c>
      <c r="H167" s="6" cm="1">
        <f t="array" ref="H167">IFERROR(-1*(H75+SUM(H84:H86))/H166*_xlfn.IFS(RIGHT(H153,2)="/3",12/3,RIGHT(H153,2)="/6",12/6,RIGHT(H153,2)="/9",12/9,RIGHT(H153,2)="12",1),"")</f>
        <v>8.5746158630263487</v>
      </c>
      <c r="I167" s="6" cm="1">
        <f t="array" ref="I167">IFERROR(-1*(I75+SUM(I84:I86))/I166*_xlfn.IFS(RIGHT(I153,2)="/3",12/3,RIGHT(I153,2)="/6",12/6,RIGHT(I153,2)="/9",12/9,RIGHT(I153,2)="12",1),"")</f>
        <v>7.0654670231040333</v>
      </c>
      <c r="J167" s="6" cm="1">
        <f t="array" ref="J167">IFERROR(-1*(J75+SUM(J84:J86))/J166*_xlfn.IFS(RIGHT(J153,2)="/3",12/3,RIGHT(J153,2)="/6",12/6,RIGHT(J153,2)="/9",12/9,RIGHT(J153,2)="12",1),"")</f>
        <v>8.6794380475918178</v>
      </c>
      <c r="K167" s="6" cm="1">
        <f t="array" ref="K167">IFERROR(-1*(K75+SUM(K84:K86))/K166*_xlfn.IFS(RIGHT(K153,2)="/3",12/3,RIGHT(K153,2)="/6",12/6,RIGHT(K153,2)="/9",12/9,RIGHT(K153,2)="12",1),"")</f>
        <v>8.3686492457304986</v>
      </c>
      <c r="L167" s="6" cm="1">
        <f t="array" ref="L167">IFERROR(-1*(L75+SUM(L84:L86))/L166*_xlfn.IFS(RIGHT(L153,2)="/3",12/3,RIGHT(L153,2)="/6",12/6,RIGHT(L153,2)="/9",12/9,RIGHT(L153,2)="12",1),"")</f>
        <v>8.329755434558713</v>
      </c>
      <c r="M167" s="6" cm="1">
        <f t="array" ref="M167">IFERROR(-1*(M75+SUM(M84:M86))/M166*_xlfn.IFS(RIGHT(M153,2)="/3",12/3,RIGHT(M153,2)="/6",12/6,RIGHT(M153,2)="/9",12/9,RIGHT(M153,2)="12",1),"")</f>
        <v>12.213193073521358</v>
      </c>
      <c r="N167" s="6" cm="1">
        <f t="array" ref="N167">IFERROR(-1*(N75+SUM(N84:N86))/N166*_xlfn.IFS(RIGHT(N153,2)="/3",12/3,RIGHT(N153,2)="/6",12/6,RIGHT(N153,2)="/9",12/9,RIGHT(N153,2)="12",1),"")</f>
        <v>13.713330588317435</v>
      </c>
      <c r="O167" s="6" cm="1">
        <f t="array" ref="O167">IFERROR(-1*(O75+SUM(O84:O86))/O166*_xlfn.IFS(RIGHT(O153,2)="/3",12/3,RIGHT(O153,2)="/6",12/6,RIGHT(O153,2)="/9",12/9,RIGHT(O153,2)="12",1),"")</f>
        <v>13.548573764035762</v>
      </c>
      <c r="P167" s="6" cm="1">
        <f t="array" ref="P167">IFERROR(-1*(P75+SUM(P84:P86))/P166*_xlfn.IFS(RIGHT(P153,2)="/3",12/3,RIGHT(P153,2)="/6",12/6,RIGHT(P153,2)="/9",12/9,RIGHT(P153,2)="12",1),"")</f>
        <v>12.031219651711062</v>
      </c>
      <c r="Q167" s="6" cm="1">
        <f t="array" ref="Q167">IFERROR(-1*(Q75+SUM(Q84:Q86))/Q166*_xlfn.IFS(RIGHT(Q153,2)="/3",12/3,RIGHT(Q153,2)="/6",12/6,RIGHT(Q153,2)="/9",12/9,RIGHT(Q153,2)="12",1),"")</f>
        <v>8.9959692716639843</v>
      </c>
      <c r="R167" s="6" cm="1">
        <f t="array" ref="R167">IFERROR(-1*(R75+SUM(R84:R86))/R166*_xlfn.IFS(RIGHT(R153,2)="/3",12/3,RIGHT(R153,2)="/6",12/6,RIGHT(R153,2)="/9",12/9,RIGHT(R153,2)="12",1),"")</f>
        <v>11.757148883097965</v>
      </c>
      <c r="S167" s="6" cm="1">
        <f t="array" ref="S167">IFERROR(-1*(S75+SUM(S84:S86))/S166*_xlfn.IFS(RIGHT(S153,2)="/3",12/3,RIGHT(S153,2)="/6",12/6,RIGHT(S153,2)="/9",12/9,RIGHT(S153,2)="12",1),"")</f>
        <v>10.646213753893838</v>
      </c>
      <c r="T167" s="6" cm="1">
        <f t="array" ref="T167">IFERROR(-1*(T75+SUM(T84:T86))/T166*_xlfn.IFS(RIGHT(T153,2)="/3",12/3,RIGHT(T153,2)="/6",12/6,RIGHT(T153,2)="/9",12/9,RIGHT(T153,2)="12",1),"")</f>
        <v>11.426237751256872</v>
      </c>
      <c r="U167" s="6" cm="1">
        <f t="array" ref="U167">IFERROR(-1*(U75+SUM(U84:U86))/U166*_xlfn.IFS(RIGHT(U153,2)="/3",12/3,RIGHT(U153,2)="/6",12/6,RIGHT(U153,2)="/9",12/9,RIGHT(U153,2)="12",1),"")</f>
        <v>8.8562795749750904</v>
      </c>
      <c r="V167" s="6" cm="1">
        <f t="array" ref="V167">IFERROR(-1*(V75+SUM(V84:V86))/V166*_xlfn.IFS(RIGHT(V153,2)="/3",12/3,RIGHT(V153,2)="/6",12/6,RIGHT(V153,2)="/9",12/9,RIGHT(V153,2)="12",1),"")</f>
        <v>9.286780388613721</v>
      </c>
      <c r="W167" s="6" cm="1">
        <f t="array" ref="W167">IFERROR(-1*(W75+SUM(W84:W86))/W166*_xlfn.IFS(RIGHT(W153,2)="/3",12/3,RIGHT(W153,2)="/6",12/6,RIGHT(W153,2)="/9",12/9,RIGHT(W153,2)="12",1),"")</f>
        <v>9.1183047646692561</v>
      </c>
      <c r="X167" s="6" cm="1">
        <f t="array" ref="X167">IFERROR(-1*(X75+SUM(X84:X86))/X166*_xlfn.IFS(RIGHT(X153,2)="/3",12/3,RIGHT(X153,2)="/6",12/6,RIGHT(X153,2)="/9",12/9,RIGHT(X153,2)="12",1),"")</f>
        <v>9.6702830099178509</v>
      </c>
    </row>
    <row r="168" spans="1:24" x14ac:dyDescent="0.25">
      <c r="A168" t="s">
        <v>178</v>
      </c>
      <c r="C168" s="6"/>
      <c r="D168" s="6"/>
      <c r="E168" s="6"/>
      <c r="F168" s="6">
        <f t="shared" ref="F168" si="30">IFERROR(365/F167,0)</f>
        <v>44.698726247210217</v>
      </c>
      <c r="G168" s="6">
        <f t="shared" ref="G168:X168" si="31">IFERROR(365/G167,0)</f>
        <v>44.906994222250304</v>
      </c>
      <c r="H168" s="6">
        <f t="shared" si="31"/>
        <v>42.567504577537527</v>
      </c>
      <c r="I168" s="6">
        <f t="shared" si="31"/>
        <v>51.659713194676627</v>
      </c>
      <c r="J168" s="6">
        <f t="shared" si="31"/>
        <v>42.053413826863164</v>
      </c>
      <c r="K168" s="6">
        <f t="shared" si="31"/>
        <v>43.615162887393687</v>
      </c>
      <c r="L168" s="6">
        <f t="shared" si="31"/>
        <v>43.818813513501034</v>
      </c>
      <c r="M168" s="6">
        <f t="shared" si="31"/>
        <v>29.885714391212986</v>
      </c>
      <c r="N168" s="6">
        <f t="shared" si="31"/>
        <v>26.616437024492669</v>
      </c>
      <c r="O168" s="6">
        <f t="shared" si="31"/>
        <v>26.940105014513065</v>
      </c>
      <c r="P168" s="6">
        <f t="shared" si="31"/>
        <v>30.337738863249019</v>
      </c>
      <c r="Q168" s="6">
        <f t="shared" si="31"/>
        <v>40.573726852280139</v>
      </c>
      <c r="R168" s="6">
        <f t="shared" si="31"/>
        <v>31.04494156102103</v>
      </c>
      <c r="S168" s="6">
        <f t="shared" si="31"/>
        <v>34.284489156203705</v>
      </c>
      <c r="T168" s="6">
        <f t="shared" si="31"/>
        <v>31.944022866131107</v>
      </c>
      <c r="U168" s="6">
        <f t="shared" si="31"/>
        <v>41.213694408583144</v>
      </c>
      <c r="V168" s="6">
        <f t="shared" si="31"/>
        <v>39.303179867106252</v>
      </c>
      <c r="W168" s="6">
        <f t="shared" si="31"/>
        <v>40.029370526664941</v>
      </c>
      <c r="X168" s="6">
        <f t="shared" si="31"/>
        <v>37.744500303213016</v>
      </c>
    </row>
    <row r="170" spans="1:24" x14ac:dyDescent="0.25">
      <c r="A170" t="s">
        <v>179</v>
      </c>
      <c r="C170" s="22"/>
      <c r="D170" s="22"/>
      <c r="E170" s="22"/>
      <c r="F170" s="22">
        <f>F158+F162-F168</f>
        <v>104.33971988618519</v>
      </c>
      <c r="G170" s="22">
        <f t="shared" ref="G170:X170" si="32">G158+G162-G168</f>
        <v>106.85259025289126</v>
      </c>
      <c r="H170" s="22">
        <f t="shared" si="32"/>
        <v>133.05701979973799</v>
      </c>
      <c r="I170" s="22">
        <f t="shared" si="32"/>
        <v>143.20385942138626</v>
      </c>
      <c r="J170" s="22">
        <f t="shared" si="32"/>
        <v>104.75223612678752</v>
      </c>
      <c r="K170" s="22">
        <f t="shared" si="32"/>
        <v>105.59955913163751</v>
      </c>
      <c r="L170" s="22">
        <f t="shared" si="32"/>
        <v>112.63357553370696</v>
      </c>
      <c r="M170" s="22">
        <f t="shared" si="32"/>
        <v>72.126919245572836</v>
      </c>
      <c r="N170" s="22">
        <f t="shared" si="32"/>
        <v>66.425283868259228</v>
      </c>
      <c r="O170" s="22">
        <f t="shared" si="32"/>
        <v>67.46167853684554</v>
      </c>
      <c r="P170" s="22">
        <f t="shared" si="32"/>
        <v>69.033537912548709</v>
      </c>
      <c r="Q170" s="22">
        <f t="shared" si="32"/>
        <v>81.017044747987768</v>
      </c>
      <c r="R170" s="22">
        <f t="shared" si="32"/>
        <v>68.705157276653637</v>
      </c>
      <c r="S170" s="22">
        <f t="shared" si="32"/>
        <v>76.531560117095964</v>
      </c>
      <c r="T170" s="22">
        <f t="shared" si="32"/>
        <v>79.4261001286891</v>
      </c>
      <c r="U170" s="22">
        <f t="shared" si="32"/>
        <v>89.944919572726235</v>
      </c>
      <c r="V170" s="22">
        <f t="shared" si="32"/>
        <v>124.3186569042667</v>
      </c>
      <c r="W170" s="22">
        <f t="shared" si="32"/>
        <v>137.37454574287688</v>
      </c>
      <c r="X170" s="22">
        <f t="shared" si="32"/>
        <v>134.54808796947432</v>
      </c>
    </row>
    <row r="171" spans="1:24" x14ac:dyDescent="0.25">
      <c r="A171" t="s">
        <v>180</v>
      </c>
      <c r="C171" s="3"/>
      <c r="D171" s="3"/>
      <c r="E171" s="3"/>
      <c r="F171" s="3" cm="1">
        <f t="array" ref="F171">((-1*(F75+SUM(F84:F86))-F127)*F170/365)*_xlfn.IFS(RIGHT(F153,2)="/3",12/3,RIGHT(F153,2)="/6",12/6,RIGHT(F153,2)="/9",12/9,RIGHT(F153,2)="12",1)</f>
        <v>2558321886.0374117</v>
      </c>
      <c r="G171" s="3" cm="1">
        <f t="array" ref="G171">((-1*(G75+SUM(G84:G86))-G127)*G170/365)*_xlfn.IFS(RIGHT(G153,2)="/3",12/3,RIGHT(G153,2)="/6",12/6,RIGHT(G153,2)="/9",12/9,RIGHT(G153,2)="12",1)</f>
        <v>2605338990.4041619</v>
      </c>
      <c r="H171" s="3" cm="1">
        <f t="array" ref="H171">((-1*(H75+SUM(H84:H86))-H127)*H170/365)*_xlfn.IFS(RIGHT(H153,2)="/3",12/3,RIGHT(H153,2)="/6",12/6,RIGHT(H153,2)="/9",12/9,RIGHT(H153,2)="12",1)</f>
        <v>3365045325.368638</v>
      </c>
      <c r="I171" s="3" cm="1">
        <f t="array" ref="I171">((-1*(I75+SUM(I84:I86))-I127)*I170/365)*_xlfn.IFS(RIGHT(I153,2)="/3",12/3,RIGHT(I153,2)="/6",12/6,RIGHT(I153,2)="/9",12/9,RIGHT(I153,2)="12",1)</f>
        <v>4005282868.373024</v>
      </c>
      <c r="J171" s="3" cm="1">
        <f t="array" ref="J171">((-1*(J75+SUM(J84:J86))-J127)*J170/365)*_xlfn.IFS(RIGHT(J153,2)="/3",12/3,RIGHT(J153,2)="/6",12/6,RIGHT(J153,2)="/9",12/9,RIGHT(J153,2)="12",1)</f>
        <v>5328178580.7476025</v>
      </c>
      <c r="K171" s="3" cm="1">
        <f t="array" ref="K171">((-1*(K75+SUM(K84:K86))-K127)*K170/365)*_xlfn.IFS(RIGHT(K153,2)="/3",12/3,RIGHT(K153,2)="/6",12/6,RIGHT(K153,2)="/9",12/9,RIGHT(K153,2)="12",1)</f>
        <v>5495843128.789465</v>
      </c>
      <c r="L171" s="3" cm="1">
        <f t="array" ref="L171">((-1*(L75+SUM(L84:L86))-L127)*L170/365)*_xlfn.IFS(RIGHT(L153,2)="/3",12/3,RIGHT(L153,2)="/6",12/6,RIGHT(L153,2)="/9",12/9,RIGHT(L153,2)="12",1)</f>
        <v>6396407883.6388302</v>
      </c>
      <c r="M171" s="3" cm="1">
        <f t="array" ref="M171">((-1*(M75+SUM(M84:M86))-M127)*M170/365)*_xlfn.IFS(RIGHT(M153,2)="/3",12/3,RIGHT(M153,2)="/6",12/6,RIGHT(M153,2)="/9",12/9,RIGHT(M153,2)="12",1)</f>
        <v>8947355003.2451992</v>
      </c>
      <c r="N171" s="3" cm="1">
        <f t="array" ref="N171">((-1*(N75+SUM(N84:N86))-N127)*N170/365)*_xlfn.IFS(RIGHT(N153,2)="/3",12/3,RIGHT(N153,2)="/6",12/6,RIGHT(N153,2)="/9",12/9,RIGHT(N153,2)="12",1)</f>
        <v>10892174913.979483</v>
      </c>
      <c r="O171" s="3" cm="1">
        <f t="array" ref="O171">((-1*(O75+SUM(O84:O86))-O127)*O170/365)*_xlfn.IFS(RIGHT(O153,2)="/3",12/3,RIGHT(O153,2)="/6",12/6,RIGHT(O153,2)="/9",12/9,RIGHT(O153,2)="12",1)</f>
        <v>11486974656.672268</v>
      </c>
      <c r="P171" s="3" cm="1">
        <f t="array" ref="P171">((-1*(P75+SUM(P84:P86))-P127)*P170/365)*_xlfn.IFS(RIGHT(P153,2)="/3",12/3,RIGHT(P153,2)="/6",12/6,RIGHT(P153,2)="/9",12/9,RIGHT(P153,2)="12",1)</f>
        <v>11385202727.291189</v>
      </c>
      <c r="Q171" s="3" cm="1">
        <f t="array" ref="Q171">((-1*(Q75+SUM(Q84:Q86))-Q127)*Q170/365)*_xlfn.IFS(RIGHT(Q153,2)="/3",12/3,RIGHT(Q153,2)="/6",12/6,RIGHT(Q153,2)="/9",12/9,RIGHT(Q153,2)="12",1)</f>
        <v>14496620648.246634</v>
      </c>
      <c r="R171" s="3" cm="1">
        <f t="array" ref="R171">((-1*(R75+SUM(R84:R86))-R127)*R170/365)*_xlfn.IFS(RIGHT(R153,2)="/3",12/3,RIGHT(R153,2)="/6",12/6,RIGHT(R153,2)="/9",12/9,RIGHT(R153,2)="12",1)</f>
        <v>16178364415.417624</v>
      </c>
      <c r="S171" s="3" cm="1">
        <f t="array" ref="S171">((-1*(S75+SUM(S84:S86))-S127)*S170/365)*_xlfn.IFS(RIGHT(S153,2)="/3",12/3,RIGHT(S153,2)="/6",12/6,RIGHT(S153,2)="/9",12/9,RIGHT(S153,2)="12",1)</f>
        <v>16559774011.53495</v>
      </c>
      <c r="T171" s="3" cm="1">
        <f t="array" ref="T171">((-1*(T75+SUM(T84:T86))-T127)*T170/365)*_xlfn.IFS(RIGHT(T153,2)="/3",12/3,RIGHT(T153,2)="/6",12/6,RIGHT(T153,2)="/9",12/9,RIGHT(T153,2)="12",1)</f>
        <v>18232163071.810375</v>
      </c>
      <c r="U171" s="3" cm="1">
        <f t="array" ref="U171">((-1*(U75+SUM(U84:U86))-U127)*U170/365)*_xlfn.IFS(RIGHT(U153,2)="/3",12/3,RIGHT(U153,2)="/6",12/6,RIGHT(U153,2)="/9",12/9,RIGHT(U153,2)="12",1)</f>
        <v>21173210827.668549</v>
      </c>
      <c r="V171" s="3" cm="1">
        <f t="array" ref="V171">((-1*(V75+SUM(V84:V86))-V127)*V170/365)*_xlfn.IFS(RIGHT(V153,2)="/3",12/3,RIGHT(V153,2)="/6",12/6,RIGHT(V153,2)="/9",12/9,RIGHT(V153,2)="12",1)</f>
        <v>29261351621.061951</v>
      </c>
      <c r="W171" s="3" cm="1">
        <f t="array" ref="W171">((-1*(W75+SUM(W84:W86))-W127)*W170/365)*_xlfn.IFS(RIGHT(W153,2)="/3",12/3,RIGHT(W153,2)="/6",12/6,RIGHT(W153,2)="/9",12/9,RIGHT(W153,2)="12",1)</f>
        <v>31956577186.554672</v>
      </c>
      <c r="X171" s="3" cm="1">
        <f t="array" ref="X171">((-1*(X75+SUM(X84:X86))-X127)*X170/365)*_xlfn.IFS(RIGHT(X153,2)="/3",12/3,RIGHT(X153,2)="/6",12/6,RIGHT(X153,2)="/9",12/9,RIGHT(X153,2)="12",1)</f>
        <v>32706076030.584915</v>
      </c>
    </row>
    <row r="172" spans="1:24" x14ac:dyDescent="0.25">
      <c r="A172" t="s">
        <v>181</v>
      </c>
      <c r="C172" s="3"/>
      <c r="D172" s="3"/>
      <c r="E172" s="3"/>
      <c r="F172" s="3">
        <f>F3-F33</f>
        <v>12399791000</v>
      </c>
      <c r="G172" s="3">
        <f t="shared" ref="G172:V172" si="33">G3-G33</f>
        <v>12507296000</v>
      </c>
      <c r="H172" s="3">
        <f t="shared" si="33"/>
        <v>9643043000</v>
      </c>
      <c r="I172" s="3">
        <f t="shared" si="33"/>
        <v>12630718000</v>
      </c>
      <c r="J172" s="3">
        <f t="shared" si="33"/>
        <v>13697328000</v>
      </c>
      <c r="K172" s="3">
        <f t="shared" si="33"/>
        <v>7395441000</v>
      </c>
      <c r="L172" s="3">
        <f t="shared" si="33"/>
        <v>8535038000</v>
      </c>
      <c r="M172" s="3">
        <f t="shared" si="33"/>
        <v>13947436000</v>
      </c>
      <c r="N172" s="3">
        <f t="shared" si="33"/>
        <v>9723603000</v>
      </c>
      <c r="O172" s="3">
        <f t="shared" si="33"/>
        <v>17166548000</v>
      </c>
      <c r="P172" s="3">
        <f t="shared" si="33"/>
        <v>18489331000</v>
      </c>
      <c r="Q172" s="3">
        <f t="shared" si="33"/>
        <v>31098837000</v>
      </c>
      <c r="R172" s="3">
        <f t="shared" si="33"/>
        <v>26421712000</v>
      </c>
      <c r="S172" s="3">
        <f t="shared" si="33"/>
        <v>31419359000</v>
      </c>
      <c r="T172" s="3">
        <f t="shared" si="33"/>
        <v>41170022000</v>
      </c>
      <c r="U172" s="3">
        <f t="shared" si="33"/>
        <v>45989959992</v>
      </c>
      <c r="V172" s="3">
        <f t="shared" si="33"/>
        <v>43302333000</v>
      </c>
      <c r="W172" s="3">
        <f>W3-W33</f>
        <v>26209493000</v>
      </c>
      <c r="X172" s="3">
        <f>X3-X33</f>
        <v>29248106000</v>
      </c>
    </row>
    <row r="173" spans="1:24" x14ac:dyDescent="0.25">
      <c r="C173" s="23"/>
      <c r="D173" s="23"/>
      <c r="E173" s="23"/>
      <c r="F173" s="23">
        <f t="shared" ref="F173" si="34">F172-F171</f>
        <v>9841469113.9625893</v>
      </c>
      <c r="G173" s="23">
        <f t="shared" ref="G173:N173" si="35">G172-G171</f>
        <v>9901957009.5958385</v>
      </c>
      <c r="H173" s="23">
        <f t="shared" si="35"/>
        <v>6277997674.631362</v>
      </c>
      <c r="I173" s="23">
        <f t="shared" si="35"/>
        <v>8625435131.626976</v>
      </c>
      <c r="J173" s="23">
        <f t="shared" si="35"/>
        <v>8369149419.2523975</v>
      </c>
      <c r="K173" s="23">
        <f t="shared" si="35"/>
        <v>1899597871.210535</v>
      </c>
      <c r="L173" s="23">
        <f t="shared" si="35"/>
        <v>2138630116.3611698</v>
      </c>
      <c r="M173" s="23">
        <f t="shared" si="35"/>
        <v>5000080996.7548008</v>
      </c>
      <c r="N173" s="23">
        <f t="shared" si="35"/>
        <v>-1168571913.9794827</v>
      </c>
      <c r="O173" s="23">
        <f>O172-O171</f>
        <v>5679573343.3277321</v>
      </c>
      <c r="P173" s="23">
        <f t="shared" ref="P173:R173" si="36">P172-P171</f>
        <v>7104128272.7088108</v>
      </c>
      <c r="Q173" s="23">
        <f t="shared" si="36"/>
        <v>16602216351.753366</v>
      </c>
      <c r="R173" s="23">
        <f t="shared" si="36"/>
        <v>10243347584.582376</v>
      </c>
      <c r="S173" s="23">
        <f>S172-S171</f>
        <v>14859584988.46505</v>
      </c>
      <c r="T173" s="23">
        <f t="shared" ref="T173:X173" si="37">T172-T171</f>
        <v>22937858928.189625</v>
      </c>
      <c r="U173" s="23">
        <f t="shared" si="37"/>
        <v>24816749164.331451</v>
      </c>
      <c r="V173" s="23">
        <f t="shared" si="37"/>
        <v>14040981378.938049</v>
      </c>
      <c r="W173" s="23">
        <f t="shared" si="37"/>
        <v>-5747084186.5546722</v>
      </c>
      <c r="X173" s="23">
        <f t="shared" si="37"/>
        <v>-3457970030.5849152</v>
      </c>
    </row>
    <row r="175" spans="1:24" x14ac:dyDescent="0.25">
      <c r="C175" s="3"/>
    </row>
    <row r="176" spans="1:24" x14ac:dyDescent="0.25">
      <c r="C176" cm="1">
        <f t="array" aca="1" ref="C176" ca="1">INDIRECT(ADDRESS(36,2))</f>
        <v>1163014000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1DB7-B1BC-4FAF-B378-108337BD62BC}">
  <dimension ref="A1:W79"/>
  <sheetViews>
    <sheetView topLeftCell="A49" zoomScale="70" zoomScaleNormal="70" workbookViewId="0">
      <selection activeCell="U77" sqref="U77"/>
    </sheetView>
  </sheetViews>
  <sheetFormatPr defaultRowHeight="15" x14ac:dyDescent="0.25"/>
  <cols>
    <col min="1" max="1" width="65" bestFit="1" customWidth="1"/>
    <col min="2" max="2" width="18" bestFit="1" customWidth="1"/>
    <col min="3" max="3" width="15.85546875" bestFit="1" customWidth="1"/>
    <col min="4" max="5" width="16.85546875" bestFit="1" customWidth="1"/>
    <col min="6" max="12" width="15.28515625" bestFit="1" customWidth="1"/>
    <col min="13" max="15" width="15.85546875" bestFit="1" customWidth="1"/>
    <col min="16" max="18" width="16.85546875" bestFit="1" customWidth="1"/>
    <col min="19" max="19" width="15.85546875" bestFit="1" customWidth="1"/>
    <col min="20" max="23" width="16.85546875" bestFit="1" customWidth="1"/>
  </cols>
  <sheetData>
    <row r="1" spans="1:23" x14ac:dyDescent="0.25">
      <c r="B1">
        <f>IF(Bilanço!B2="2022/3",COUNT(Data!$1:$1)+1,COUNT(Data!$1:$1))</f>
        <v>23</v>
      </c>
      <c r="C1">
        <f>($B$1+1)-COLUMN(B1)</f>
        <v>22</v>
      </c>
      <c r="D1">
        <f t="shared" ref="D1:S1" si="0">($B$1+1)-COLUMN(C1)</f>
        <v>21</v>
      </c>
      <c r="E1">
        <f t="shared" si="0"/>
        <v>20</v>
      </c>
      <c r="F1">
        <f t="shared" si="0"/>
        <v>19</v>
      </c>
      <c r="G1">
        <f t="shared" si="0"/>
        <v>18</v>
      </c>
      <c r="H1">
        <f t="shared" si="0"/>
        <v>17</v>
      </c>
      <c r="I1">
        <f t="shared" si="0"/>
        <v>16</v>
      </c>
      <c r="J1">
        <f t="shared" si="0"/>
        <v>15</v>
      </c>
      <c r="K1">
        <f t="shared" si="0"/>
        <v>14</v>
      </c>
      <c r="L1">
        <f t="shared" si="0"/>
        <v>13</v>
      </c>
      <c r="M1">
        <f t="shared" si="0"/>
        <v>12</v>
      </c>
      <c r="N1">
        <f t="shared" si="0"/>
        <v>11</v>
      </c>
      <c r="O1">
        <f t="shared" si="0"/>
        <v>10</v>
      </c>
      <c r="P1">
        <f t="shared" si="0"/>
        <v>9</v>
      </c>
      <c r="Q1">
        <f t="shared" si="0"/>
        <v>8</v>
      </c>
      <c r="R1">
        <f t="shared" si="0"/>
        <v>7</v>
      </c>
      <c r="S1">
        <f t="shared" si="0"/>
        <v>6</v>
      </c>
      <c r="T1">
        <f t="shared" ref="T1" si="1">($B$1+1)-COLUMN(S1)</f>
        <v>5</v>
      </c>
      <c r="U1">
        <f t="shared" ref="U1" si="2">($B$1+1)-COLUMN(T1)</f>
        <v>4</v>
      </c>
      <c r="V1">
        <f t="shared" ref="V1:W1" si="3">($B$1+1)-COLUMN(U1)</f>
        <v>3</v>
      </c>
      <c r="W1">
        <f t="shared" si="3"/>
        <v>2</v>
      </c>
    </row>
    <row r="2" spans="1:23" x14ac:dyDescent="0.25">
      <c r="A2" t="str">
        <f>Data!A2</f>
        <v>Bilanço</v>
      </c>
      <c r="B2" t="str">
        <f>IFERROR(HLOOKUP(B$1,Data!$1:$149,ROW(Bilanço!$A2),0),"")</f>
        <v>2020/6</v>
      </c>
      <c r="C2" t="str">
        <f>IFERROR(HLOOKUP(C$1,Data!$1:$149,ROW(Bilanço!$A2),0),"")</f>
        <v>2020/9</v>
      </c>
      <c r="D2" t="str">
        <f>IFERROR(HLOOKUP(D$1,Data!$1:$149,ROW(Bilanço!$A2),0),"")</f>
        <v>2020/12</v>
      </c>
      <c r="E2" t="str">
        <f>IFERROR(HLOOKUP(E$1,Data!$1:$149,ROW(Bilanço!$A2),0),"")</f>
        <v>2021/3</v>
      </c>
      <c r="F2" t="str">
        <f>IFERROR(HLOOKUP(F$1,Data!$1:$149,ROW(Bilanço!$A2),0),"")</f>
        <v>2021/6</v>
      </c>
      <c r="G2" t="str">
        <f>IFERROR(HLOOKUP(G$1,Data!$1:$149,ROW(Bilanço!$A2),0),"")</f>
        <v>2021/9</v>
      </c>
      <c r="H2" t="str">
        <f>IFERROR(HLOOKUP(H$1,Data!$1:$149,ROW(Bilanço!$A2),0),"")</f>
        <v>2021/12</v>
      </c>
      <c r="I2" t="str">
        <f>IFERROR(HLOOKUP(I$1,Data!$1:$149,ROW(Bilanço!$A2),0),"")</f>
        <v>2022/3</v>
      </c>
      <c r="J2" t="str">
        <f>IFERROR(HLOOKUP(J$1,Data!$1:$149,ROW(Bilanço!$A2),0),"")</f>
        <v>2022/6</v>
      </c>
      <c r="K2" t="str">
        <f>IFERROR(HLOOKUP(K$1,Data!$1:$149,ROW(Bilanço!$A2),0),"")</f>
        <v>2022/9</v>
      </c>
      <c r="L2" t="str">
        <f>IFERROR(HLOOKUP(L$1,Data!$1:$149,ROW(Bilanço!$A2),0),"")</f>
        <v>2022/12</v>
      </c>
      <c r="M2" t="str">
        <f>IFERROR(HLOOKUP(M$1,Data!$1:$149,ROW(Bilanço!$A2),0),"")</f>
        <v>2023/3</v>
      </c>
      <c r="N2" t="str">
        <f>IFERROR(HLOOKUP(N$1,Data!$1:$149,ROW(Bilanço!$A2),0),"")</f>
        <v>2023/6</v>
      </c>
      <c r="O2" t="str">
        <f>IFERROR(HLOOKUP(O$1,Data!$1:$149,ROW(Bilanço!$A2),0),"")</f>
        <v>2023/9</v>
      </c>
      <c r="P2" t="str">
        <f>IFERROR(HLOOKUP(P$1,Data!$1:$149,ROW(Bilanço!$A2),0),"")</f>
        <v>2023/12</v>
      </c>
      <c r="Q2" t="str">
        <f>IFERROR(HLOOKUP(Q$1,Data!$1:$149,ROW(Bilanço!$A2),0),"")</f>
        <v>2024/3</v>
      </c>
      <c r="R2" t="str">
        <f>IFERROR(HLOOKUP(R$1,Data!$1:$149,ROW(Bilanço!$A2),0),"")</f>
        <v>2024/6</v>
      </c>
      <c r="S2" t="str">
        <f>IFERROR(HLOOKUP(S$1,Data!$1:$149,ROW(Bilanço!$A2),0),"")</f>
        <v>2024/9</v>
      </c>
      <c r="T2" t="str">
        <f>IFERROR(HLOOKUP(T$1,Data!$1:$149,ROW(Bilanço!$A2),0),"")</f>
        <v>2024/12</v>
      </c>
      <c r="U2" t="str">
        <f>IFERROR(HLOOKUP(U$1,Data!$1:$149,ROW(Bilanço!$A2),0),"")</f>
        <v>2025/3</v>
      </c>
      <c r="V2" t="str">
        <f>IFERROR(HLOOKUP(V$1,Data!$1:$149,ROW(Bilanço!$A2),0),"")</f>
        <v>2025/6</v>
      </c>
      <c r="W2" t="str">
        <f>IFERROR(HLOOKUP(W$1,Data!$1:$149,ROW(Bilanço!$A2),0),"")</f>
        <v>2025/9</v>
      </c>
    </row>
    <row r="3" spans="1:23" x14ac:dyDescent="0.25">
      <c r="A3" t="str">
        <f>Data!A74</f>
        <v>Satış Gelirleri</v>
      </c>
      <c r="B3" s="2">
        <f>IFERROR(IF($B$2="2022/3",IF(MID(B$2,6,7)="3",HLOOKUP(B$1,Bilanço!$1:$151,MATCH(Çeyreklik!$A3,Bilanço!$A:$A,0),0),HLOOKUP(B$1,Bilanço!$1:$151,MATCH(Çeyreklik!$A3,Bilanço!$A:$A,0),0)-HLOOKUP(A$1,Bilanço!$1:$151,MATCH(Çeyreklik!$A3,Bilanço!$A:$A,0),0)),IF(MID(B$2,6,7)="3",HLOOKUP(B$1,Bilanço!$1:$151,MATCH(Çeyreklik!$A3,Bilanço!$A:$A,0),0),HLOOKUP(B$1,Bilanço!$1:$151,MATCH(Çeyreklik!$A3,Bilanço!$A:$A,0),0)-HLOOKUP(Bilanço!$B$1,Bilanço!$1:$151,MATCH(Çeyreklik!$A3,Bilanço!$A:$A,0),0))),"")</f>
        <v>2144641000</v>
      </c>
      <c r="C3" s="2">
        <f>IFERROR(IF(MID(C$2,6,7)="3",HLOOKUP(C$1,Bilanço!$1:$151,MATCH(Çeyreklik!$A3,Bilanço!$A:$A,0),0),HLOOKUP(C$1,Bilanço!$1:$151,MATCH(Çeyreklik!$A3,Bilanço!$A:$A,0),0)-HLOOKUP(B$1,Bilanço!$1:$151,MATCH(Çeyreklik!$A3,Bilanço!$A:$A,0),0)),"")</f>
        <v>2455845000</v>
      </c>
      <c r="D3" s="2">
        <f>IFERROR(IF(MID(D$2,6,7)="3",HLOOKUP(D$1,Bilanço!$1:$151,MATCH(Çeyreklik!$A3,Bilanço!$A:$A,0),0),HLOOKUP(D$1,Bilanço!$1:$151,MATCH(Çeyreklik!$A3,Bilanço!$A:$A,0),0)-HLOOKUP(C$1,Bilanço!$1:$151,MATCH(Çeyreklik!$A3,Bilanço!$A:$A,0),0)),"")</f>
        <v>2739018000</v>
      </c>
      <c r="E3" s="2">
        <f>IFERROR(IF(MID(E$2,6,7)="3",HLOOKUP(E$1,Bilanço!$1:$151,MATCH(Çeyreklik!$A3,Bilanço!$A:$A,0),0),HLOOKUP(E$1,Bilanço!$1:$151,MATCH(Çeyreklik!$A3,Bilanço!$A:$A,0),0)-HLOOKUP(D$1,Bilanço!$1:$151,MATCH(Çeyreklik!$A3,Bilanço!$A:$A,0),0)),"")</f>
        <v>2783757000</v>
      </c>
      <c r="F3" s="2">
        <f>IFERROR(IF(MID(F$2,6,7)="3",HLOOKUP(F$1,Bilanço!$1:$151,MATCH(Çeyreklik!$A3,Bilanço!$A:$A,0),0),HLOOKUP(F$1,Bilanço!$1:$151,MATCH(Çeyreklik!$A3,Bilanço!$A:$A,0),0)-HLOOKUP(E$1,Bilanço!$1:$151,MATCH(Çeyreklik!$A3,Bilanço!$A:$A,0),0)),"")</f>
        <v>2659067000</v>
      </c>
      <c r="G3" s="2">
        <f>IFERROR(IF(MID(G$2,6,7)="3",HLOOKUP(G$1,Bilanço!$1:$151,MATCH(Çeyreklik!$A3,Bilanço!$A:$A,0),0),HLOOKUP(G$1,Bilanço!$1:$151,MATCH(Çeyreklik!$A3,Bilanço!$A:$A,0),0)-HLOOKUP(F$1,Bilanço!$1:$151,MATCH(Çeyreklik!$A3,Bilanço!$A:$A,0),0)),"")</f>
        <v>2976133000</v>
      </c>
      <c r="H3" s="2">
        <f>IFERROR(IF(MID(H$2,6,7)="3",HLOOKUP(H$1,Bilanço!$1:$151,MATCH(Çeyreklik!$A3,Bilanço!$A:$A,0),0),HLOOKUP(H$1,Bilanço!$1:$151,MATCH(Çeyreklik!$A3,Bilanço!$A:$A,0),0)-HLOOKUP(G$1,Bilanço!$1:$151,MATCH(Çeyreklik!$A3,Bilanço!$A:$A,0),0)),"")</f>
        <v>4118123000</v>
      </c>
      <c r="I3" s="2">
        <f>IFERROR(IF(MID(I$2,6,7)="3",HLOOKUP(I$1,Bilanço!$1:$151,MATCH(Çeyreklik!$A3,Bilanço!$A:$A,0),0),HLOOKUP(I$1,Bilanço!$1:$151,MATCH(Çeyreklik!$A3,Bilanço!$A:$A,0),0)-HLOOKUP(H$1,Bilanço!$1:$151,MATCH(Çeyreklik!$A3,Bilanço!$A:$A,0),0)),"")</f>
        <v>5886018000</v>
      </c>
      <c r="J3" s="2">
        <f>IFERROR(IF(MID(J$2,6,7)="3",HLOOKUP(J$1,Bilanço!$1:$151,MATCH(Çeyreklik!$A3,Bilanço!$A:$A,0),0),HLOOKUP(J$1,Bilanço!$1:$151,MATCH(Çeyreklik!$A3,Bilanço!$A:$A,0),0)-HLOOKUP(I$1,Bilanço!$1:$151,MATCH(Çeyreklik!$A3,Bilanço!$A:$A,0),0)),"")</f>
        <v>5991042000</v>
      </c>
      <c r="K3" s="2">
        <f>IFERROR(IF(MID(K$2,6,7)="3",HLOOKUP(K$1,Bilanço!$1:$151,MATCH(Çeyreklik!$A3,Bilanço!$A:$A,0),0),HLOOKUP(K$1,Bilanço!$1:$151,MATCH(Çeyreklik!$A3,Bilanço!$A:$A,0),0)-HLOOKUP(J$1,Bilanço!$1:$151,MATCH(Çeyreklik!$A3,Bilanço!$A:$A,0),0)),"")</f>
        <v>7301820000</v>
      </c>
      <c r="L3" s="2">
        <f>IFERROR(IF(MID(L$2,6,7)="3",HLOOKUP(L$1,Bilanço!$1:$151,MATCH(Çeyreklik!$A3,Bilanço!$A:$A,0),0),HLOOKUP(L$1,Bilanço!$1:$151,MATCH(Çeyreklik!$A3,Bilanço!$A:$A,0),0)-HLOOKUP(K$1,Bilanço!$1:$151,MATCH(Çeyreklik!$A3,Bilanço!$A:$A,0),0)),"")</f>
        <v>32802328000</v>
      </c>
      <c r="M3" s="2">
        <f>IFERROR(IF(MID(M$2,6,7)="3",HLOOKUP(M$1,Bilanço!$1:$151,MATCH(Çeyreklik!$A3,Bilanço!$A:$A,0),0),HLOOKUP(M$1,Bilanço!$1:$151,MATCH(Çeyreklik!$A3,Bilanço!$A:$A,0),0)-HLOOKUP(L$1,Bilanço!$1:$151,MATCH(Çeyreklik!$A3,Bilanço!$A:$A,0),0)),"")</f>
        <v>18804838000</v>
      </c>
      <c r="N3" s="2">
        <f>IFERROR(IF(MID(N$2,6,7)="3",HLOOKUP(N$1,Bilanço!$1:$151,MATCH(Çeyreklik!$A3,Bilanço!$A:$A,0),0),HLOOKUP(N$1,Bilanço!$1:$151,MATCH(Çeyreklik!$A3,Bilanço!$A:$A,0),0)-HLOOKUP(M$1,Bilanço!$1:$151,MATCH(Çeyreklik!$A3,Bilanço!$A:$A,0),0)),"")</f>
        <v>19535419000</v>
      </c>
      <c r="O3" s="2">
        <f>IFERROR(IF(MID(O$2,6,7)="3",HLOOKUP(O$1,Bilanço!$1:$151,MATCH(Çeyreklik!$A3,Bilanço!$A:$A,0),0),HLOOKUP(O$1,Bilanço!$1:$151,MATCH(Çeyreklik!$A3,Bilanço!$A:$A,0),0)-HLOOKUP(N$1,Bilanço!$1:$151,MATCH(Çeyreklik!$A3,Bilanço!$A:$A,0),0)),"")</f>
        <v>17809406000</v>
      </c>
      <c r="P3" s="2">
        <f>IFERROR(IF(MID(P$2,6,7)="3",HLOOKUP(P$1,Bilanço!$1:$151,MATCH(Çeyreklik!$A3,Bilanço!$A:$A,0),0),HLOOKUP(P$1,Bilanço!$1:$151,MATCH(Çeyreklik!$A3,Bilanço!$A:$A,0),0)-HLOOKUP(O$1,Bilanço!$1:$151,MATCH(Çeyreklik!$A3,Bilanço!$A:$A,0),0)),"")</f>
        <v>24465871000</v>
      </c>
      <c r="Q3" s="2">
        <f>IFERROR(IF(MID(Q$2,6,7)="3",HLOOKUP(Q$1,Bilanço!$1:$151,MATCH(Çeyreklik!$A3,Bilanço!$A:$A,0),0),HLOOKUP(Q$1,Bilanço!$1:$151,MATCH(Çeyreklik!$A3,Bilanço!$A:$A,0),0)-HLOOKUP(P$1,Bilanço!$1:$151,MATCH(Çeyreklik!$A3,Bilanço!$A:$A,0),0)),"")</f>
        <v>27069643000</v>
      </c>
      <c r="R3" s="2">
        <f>IFERROR(IF(MID(R$2,6,7)="3",HLOOKUP(R$1,Bilanço!$1:$151,MATCH(Çeyreklik!$A3,Bilanço!$A:$A,0),0),HLOOKUP(R$1,Bilanço!$1:$151,MATCH(Çeyreklik!$A3,Bilanço!$A:$A,0),0)-HLOOKUP(Q$1,Bilanço!$1:$151,MATCH(Çeyreklik!$A3,Bilanço!$A:$A,0),0)),"")</f>
        <v>22301041000</v>
      </c>
      <c r="S3" s="2">
        <f>IFERROR(IF(MID(S$2,6,7)="3",HLOOKUP(S$1,Bilanço!$1:$151,MATCH(Çeyreklik!$A3,Bilanço!$A:$A,0),0),HLOOKUP(S$1,Bilanço!$1:$151,MATCH(Çeyreklik!$A3,Bilanço!$A:$A,0),0)-HLOOKUP(R$1,Bilanço!$1:$151,MATCH(Çeyreklik!$A3,Bilanço!$A:$A,0),0)),"")</f>
        <v>27959683000</v>
      </c>
      <c r="T3" s="2">
        <f>IFERROR(IF(MID(T$2,6,7)="3",HLOOKUP(T$1,Bilanço!$1:$151,MATCH(Çeyreklik!$A3,Bilanço!$A:$A,0),0),HLOOKUP(T$1,Bilanço!$1:$151,MATCH(Çeyreklik!$A3,Bilanço!$A:$A,0),0)-HLOOKUP(S$1,Bilanço!$1:$151,MATCH(Çeyreklik!$A3,Bilanço!$A:$A,0),0)),"")</f>
        <v>28153292375</v>
      </c>
      <c r="U3" s="2">
        <f>IFERROR(IF(MID(U$2,6,7)="3",HLOOKUP(U$1,Bilanço!$1:$151,MATCH(Çeyreklik!$A3,Bilanço!$A:$A,0),0),HLOOKUP(U$1,Bilanço!$1:$151,MATCH(Çeyreklik!$A3,Bilanço!$A:$A,0),0)-HLOOKUP(T$1,Bilanço!$1:$151,MATCH(Çeyreklik!$A3,Bilanço!$A:$A,0),0)),"")</f>
        <v>26962317000</v>
      </c>
      <c r="V3" s="2">
        <f>IFERROR(IF(MID(V$2,6,7)="3",HLOOKUP(V$1,Bilanço!$1:$151,MATCH(Çeyreklik!$A3,Bilanço!$A:$A,0),0),HLOOKUP(V$1,Bilanço!$1:$151,MATCH(Çeyreklik!$A3,Bilanço!$A:$A,0),0)-HLOOKUP(U$1,Bilanço!$1:$151,MATCH(Çeyreklik!$A3,Bilanço!$A:$A,0),0)),"")</f>
        <v>24677236000</v>
      </c>
      <c r="W3" s="2">
        <f>IFERROR(IF(MID(W$2,6,7)="3",HLOOKUP(W$1,Bilanço!$1:$151,MATCH(Çeyreklik!$A3,Bilanço!$A:$A,0),0),HLOOKUP(W$1,Bilanço!$1:$151,MATCH(Çeyreklik!$A3,Bilanço!$A:$A,0),0)-HLOOKUP(V$1,Bilanço!$1:$151,MATCH(Çeyreklik!$A3,Bilanço!$A:$A,0),0)),"")</f>
        <v>29286362000</v>
      </c>
    </row>
    <row r="4" spans="1:23" x14ac:dyDescent="0.25">
      <c r="A4" t="str">
        <f>Data!A75</f>
        <v>Satışların Maliyeti (-)</v>
      </c>
      <c r="B4" s="2">
        <f>IFERROR(IF($B$2="2022/3",IF(MID(B$2,6,7)="3",HLOOKUP(B$1,Bilanço!$1:$151,MATCH(Çeyreklik!$A4,Bilanço!$A:$A,0),0),HLOOKUP(B$1,Bilanço!$1:$151,MATCH(Çeyreklik!$A4,Bilanço!$A:$A,0),0)-HLOOKUP(A$1,Bilanço!$1:$151,MATCH(Çeyreklik!$A4,Bilanço!$A:$A,0),0)),IF(MID(B$2,6,7)="3",HLOOKUP(B$1,Bilanço!$1:$151,MATCH(Çeyreklik!$A4,Bilanço!$A:$A,0),0),HLOOKUP(B$1,Bilanço!$1:$151,MATCH(Çeyreklik!$A4,Bilanço!$A:$A,0),0)-HLOOKUP(Bilanço!$B$1,Bilanço!$1:$151,MATCH(Çeyreklik!$A4,Bilanço!$A:$A,0),0))),"")</f>
        <v>-1557506000</v>
      </c>
      <c r="C4" s="2">
        <f>IFERROR(IF(MID(C$2,6,7)="3",HLOOKUP(C$1,Bilanço!$1:$151,MATCH(Çeyreklik!$A4,Bilanço!$A:$A,0),0),HLOOKUP(C$1,Bilanço!$1:$151,MATCH(Çeyreklik!$A4,Bilanço!$A:$A,0),0)-HLOOKUP(B$1,Bilanço!$1:$151,MATCH(Çeyreklik!$A4,Bilanço!$A:$A,0),0)),"")</f>
        <v>-1646929000</v>
      </c>
      <c r="D4" s="2">
        <f>IFERROR(IF(MID(D$2,6,7)="3",HLOOKUP(D$1,Bilanço!$1:$151,MATCH(Çeyreklik!$A4,Bilanço!$A:$A,0),0),HLOOKUP(D$1,Bilanço!$1:$151,MATCH(Çeyreklik!$A4,Bilanço!$A:$A,0),0)-HLOOKUP(C$1,Bilanço!$1:$151,MATCH(Çeyreklik!$A4,Bilanço!$A:$A,0),0)),"")</f>
        <v>-1914092000</v>
      </c>
      <c r="E4" s="2">
        <f>IFERROR(IF(MID(E$2,6,7)="3",HLOOKUP(E$1,Bilanço!$1:$151,MATCH(Çeyreklik!$A4,Bilanço!$A:$A,0),0),HLOOKUP(E$1,Bilanço!$1:$151,MATCH(Çeyreklik!$A4,Bilanço!$A:$A,0),0)-HLOOKUP(D$1,Bilanço!$1:$151,MATCH(Çeyreklik!$A4,Bilanço!$A:$A,0),0)),"")</f>
        <v>-1921419000</v>
      </c>
      <c r="F4" s="2">
        <f>IFERROR(IF(MID(F$2,6,7)="3",HLOOKUP(F$1,Bilanço!$1:$151,MATCH(Çeyreklik!$A4,Bilanço!$A:$A,0),0),HLOOKUP(F$1,Bilanço!$1:$151,MATCH(Çeyreklik!$A4,Bilanço!$A:$A,0),0)-HLOOKUP(E$1,Bilanço!$1:$151,MATCH(Çeyreklik!$A4,Bilanço!$A:$A,0),0)),"")</f>
        <v>-1947709000</v>
      </c>
      <c r="G4" s="2">
        <f>IFERROR(IF(MID(G$2,6,7)="3",HLOOKUP(G$1,Bilanço!$1:$151,MATCH(Çeyreklik!$A4,Bilanço!$A:$A,0),0),HLOOKUP(G$1,Bilanço!$1:$151,MATCH(Çeyreklik!$A4,Bilanço!$A:$A,0),0)-HLOOKUP(F$1,Bilanço!$1:$151,MATCH(Çeyreklik!$A4,Bilanço!$A:$A,0),0)),"")</f>
        <v>-2171949000</v>
      </c>
      <c r="H4" s="2">
        <f>IFERROR(IF(MID(H$2,6,7)="3",HLOOKUP(H$1,Bilanço!$1:$151,MATCH(Çeyreklik!$A4,Bilanço!$A:$A,0),0),HLOOKUP(H$1,Bilanço!$1:$151,MATCH(Çeyreklik!$A4,Bilanço!$A:$A,0),0)-HLOOKUP(G$1,Bilanço!$1:$151,MATCH(Çeyreklik!$A4,Bilanço!$A:$A,0),0)),"")</f>
        <v>-2883588000</v>
      </c>
      <c r="I4" s="2">
        <f>IFERROR(IF(MID(I$2,6,7)="3",HLOOKUP(I$1,Bilanço!$1:$151,MATCH(Çeyreklik!$A4,Bilanço!$A:$A,0),0),HLOOKUP(I$1,Bilanço!$1:$151,MATCH(Çeyreklik!$A4,Bilanço!$A:$A,0),0)-HLOOKUP(H$1,Bilanço!$1:$151,MATCH(Çeyreklik!$A4,Bilanço!$A:$A,0),0)),"")</f>
        <v>-4036928000</v>
      </c>
      <c r="J4" s="2">
        <f>IFERROR(IF(MID(J$2,6,7)="3",HLOOKUP(J$1,Bilanço!$1:$151,MATCH(Çeyreklik!$A4,Bilanço!$A:$A,0),0),HLOOKUP(J$1,Bilanço!$1:$151,MATCH(Çeyreklik!$A4,Bilanço!$A:$A,0),0)-HLOOKUP(I$1,Bilanço!$1:$151,MATCH(Çeyreklik!$A4,Bilanço!$A:$A,0),0)),"")</f>
        <v>-4293332000</v>
      </c>
      <c r="K4" s="2">
        <f>IFERROR(IF(MID(K$2,6,7)="3",HLOOKUP(K$1,Bilanço!$1:$151,MATCH(Çeyreklik!$A4,Bilanço!$A:$A,0),0),HLOOKUP(K$1,Bilanço!$1:$151,MATCH(Çeyreklik!$A4,Bilanço!$A:$A,0),0)-HLOOKUP(J$1,Bilanço!$1:$151,MATCH(Çeyreklik!$A4,Bilanço!$A:$A,0),0)),"")</f>
        <v>-5280918000</v>
      </c>
      <c r="L4" s="2">
        <f>IFERROR(IF(MID(L$2,6,7)="3",HLOOKUP(L$1,Bilanço!$1:$151,MATCH(Çeyreklik!$A4,Bilanço!$A:$A,0),0),HLOOKUP(L$1,Bilanço!$1:$151,MATCH(Çeyreklik!$A4,Bilanço!$A:$A,0),0)-HLOOKUP(K$1,Bilanço!$1:$151,MATCH(Çeyreklik!$A4,Bilanço!$A:$A,0),0)),"")</f>
        <v>-27041840000</v>
      </c>
      <c r="M4" s="2">
        <f>IFERROR(IF(MID(M$2,6,7)="3",HLOOKUP(M$1,Bilanço!$1:$151,MATCH(Çeyreklik!$A4,Bilanço!$A:$A,0),0),HLOOKUP(M$1,Bilanço!$1:$151,MATCH(Çeyreklik!$A4,Bilanço!$A:$A,0),0)-HLOOKUP(L$1,Bilanço!$1:$151,MATCH(Çeyreklik!$A4,Bilanço!$A:$A,0),0)),"")</f>
        <v>-13025103000</v>
      </c>
      <c r="N4" s="2">
        <f>IFERROR(IF(MID(N$2,6,7)="3",HLOOKUP(N$1,Bilanço!$1:$151,MATCH(Çeyreklik!$A4,Bilanço!$A:$A,0),0),HLOOKUP(N$1,Bilanço!$1:$151,MATCH(Çeyreklik!$A4,Bilanço!$A:$A,0),0)-HLOOKUP(M$1,Bilanço!$1:$151,MATCH(Çeyreklik!$A4,Bilanço!$A:$A,0),0)),"")</f>
        <v>-14134994000</v>
      </c>
      <c r="O4" s="2">
        <f>IFERROR(IF(MID(O$2,6,7)="3",HLOOKUP(O$1,Bilanço!$1:$151,MATCH(Çeyreklik!$A4,Bilanço!$A:$A,0),0),HLOOKUP(O$1,Bilanço!$1:$151,MATCH(Çeyreklik!$A4,Bilanço!$A:$A,0),0)-HLOOKUP(N$1,Bilanço!$1:$151,MATCH(Çeyreklik!$A4,Bilanço!$A:$A,0),0)),"")</f>
        <v>-12408692000</v>
      </c>
      <c r="P4" s="2">
        <f>IFERROR(IF(MID(P$2,6,7)="3",HLOOKUP(P$1,Bilanço!$1:$151,MATCH(Çeyreklik!$A4,Bilanço!$A:$A,0),0),HLOOKUP(P$1,Bilanço!$1:$151,MATCH(Çeyreklik!$A4,Bilanço!$A:$A,0),0)-HLOOKUP(O$1,Bilanço!$1:$151,MATCH(Çeyreklik!$A4,Bilanço!$A:$A,0),0)),"")</f>
        <v>-17691227000</v>
      </c>
      <c r="Q4" s="2">
        <f>IFERROR(IF(MID(Q$2,6,7)="3",HLOOKUP(Q$1,Bilanço!$1:$151,MATCH(Çeyreklik!$A4,Bilanço!$A:$A,0),0),HLOOKUP(Q$1,Bilanço!$1:$151,MATCH(Çeyreklik!$A4,Bilanço!$A:$A,0),0)-HLOOKUP(P$1,Bilanço!$1:$151,MATCH(Çeyreklik!$A4,Bilanço!$A:$A,0),0)),"")</f>
        <v>-18417380000</v>
      </c>
      <c r="R4" s="2">
        <f>IFERROR(IF(MID(R$2,6,7)="3",HLOOKUP(R$1,Bilanço!$1:$151,MATCH(Çeyreklik!$A4,Bilanço!$A:$A,0),0),HLOOKUP(R$1,Bilanço!$1:$151,MATCH(Çeyreklik!$A4,Bilanço!$A:$A,0),0)-HLOOKUP(Q$1,Bilanço!$1:$151,MATCH(Çeyreklik!$A4,Bilanço!$A:$A,0),0)),"")</f>
        <v>-15464766000</v>
      </c>
      <c r="S4" s="2">
        <f>IFERROR(IF(MID(S$2,6,7)="3",HLOOKUP(S$1,Bilanço!$1:$151,MATCH(Çeyreklik!$A4,Bilanço!$A:$A,0),0),HLOOKUP(S$1,Bilanço!$1:$151,MATCH(Çeyreklik!$A4,Bilanço!$A:$A,0),0)-HLOOKUP(R$1,Bilanço!$1:$151,MATCH(Çeyreklik!$A4,Bilanço!$A:$A,0),0)),"")</f>
        <v>-20224726000</v>
      </c>
      <c r="T4" s="2">
        <f>IFERROR(IF(MID(T$2,6,7)="3",HLOOKUP(T$1,Bilanço!$1:$151,MATCH(Çeyreklik!$A4,Bilanço!$A:$A,0),0),HLOOKUP(T$1,Bilanço!$1:$151,MATCH(Çeyreklik!$A4,Bilanço!$A:$A,0),0)-HLOOKUP(S$1,Bilanço!$1:$151,MATCH(Çeyreklik!$A4,Bilanço!$A:$A,0),0)),"")</f>
        <v>-19936155344</v>
      </c>
      <c r="U4" s="2">
        <f>IFERROR(IF(MID(U$2,6,7)="3",HLOOKUP(U$1,Bilanço!$1:$151,MATCH(Çeyreklik!$A4,Bilanço!$A:$A,0),0),HLOOKUP(U$1,Bilanço!$1:$151,MATCH(Çeyreklik!$A4,Bilanço!$A:$A,0),0)-HLOOKUP(T$1,Bilanço!$1:$151,MATCH(Çeyreklik!$A4,Bilanço!$A:$A,0),0)),"")</f>
        <v>-17946855000</v>
      </c>
      <c r="V4" s="2">
        <f>IFERROR(IF(MID(V$2,6,7)="3",HLOOKUP(V$1,Bilanço!$1:$151,MATCH(Çeyreklik!$A4,Bilanço!$A:$A,0),0),HLOOKUP(V$1,Bilanço!$1:$151,MATCH(Çeyreklik!$A4,Bilanço!$A:$A,0),0)-HLOOKUP(U$1,Bilanço!$1:$151,MATCH(Çeyreklik!$A4,Bilanço!$A:$A,0),0)),"")</f>
        <v>-17854303000</v>
      </c>
      <c r="W4" s="2">
        <f>IFERROR(IF(MID(W$2,6,7)="3",HLOOKUP(W$1,Bilanço!$1:$151,MATCH(Çeyreklik!$A4,Bilanço!$A:$A,0),0),HLOOKUP(W$1,Bilanço!$1:$151,MATCH(Çeyreklik!$A4,Bilanço!$A:$A,0),0)-HLOOKUP(V$1,Bilanço!$1:$151,MATCH(Çeyreklik!$A4,Bilanço!$A:$A,0),0)),"")</f>
        <v>-20667776000</v>
      </c>
    </row>
    <row r="5" spans="1:23" x14ac:dyDescent="0.25">
      <c r="A5" t="str">
        <f>Data!A76</f>
        <v>Ticari Faaliyetlerden Diğer Kar (Zarar)</v>
      </c>
      <c r="B5" s="2">
        <f>IFERROR(IF($B$2="2022/3",IF(MID(B$2,6,7)="3",HLOOKUP(B$1,Bilanço!$1:$151,MATCH(Çeyreklik!$A5,Bilanço!$A:$A,0),0),HLOOKUP(B$1,Bilanço!$1:$151,MATCH(Çeyreklik!$A5,Bilanço!$A:$A,0),0)-HLOOKUP(A$1,Bilanço!$1:$151,MATCH(Çeyreklik!$A5,Bilanço!$A:$A,0),0)),IF(MID(B$2,6,7)="3",HLOOKUP(B$1,Bilanço!$1:$151,MATCH(Çeyreklik!$A5,Bilanço!$A:$A,0),0),HLOOKUP(B$1,Bilanço!$1:$151,MATCH(Çeyreklik!$A5,Bilanço!$A:$A,0),0)-HLOOKUP(Bilanço!$B$1,Bilanço!$1:$151,MATCH(Çeyreklik!$A5,Bilanço!$A:$A,0),0))),"")</f>
        <v>0</v>
      </c>
      <c r="C5" s="2">
        <f>IFERROR(IF(MID(C$2,6,7)="3",HLOOKUP(C$1,Bilanço!$1:$151,MATCH(Çeyreklik!$A5,Bilanço!$A:$A,0),0),HLOOKUP(C$1,Bilanço!$1:$151,MATCH(Çeyreklik!$A5,Bilanço!$A:$A,0),0)-HLOOKUP(B$1,Bilanço!$1:$151,MATCH(Çeyreklik!$A5,Bilanço!$A:$A,0),0)),"")</f>
        <v>0</v>
      </c>
      <c r="D5" s="2">
        <f>IFERROR(IF(MID(D$2,6,7)="3",HLOOKUP(D$1,Bilanço!$1:$151,MATCH(Çeyreklik!$A5,Bilanço!$A:$A,0),0),HLOOKUP(D$1,Bilanço!$1:$151,MATCH(Çeyreklik!$A5,Bilanço!$A:$A,0),0)-HLOOKUP(C$1,Bilanço!$1:$151,MATCH(Çeyreklik!$A5,Bilanço!$A:$A,0),0)),"")</f>
        <v>0</v>
      </c>
      <c r="E5" s="2">
        <f>IFERROR(IF(MID(E$2,6,7)="3",HLOOKUP(E$1,Bilanço!$1:$151,MATCH(Çeyreklik!$A5,Bilanço!$A:$A,0),0),HLOOKUP(E$1,Bilanço!$1:$151,MATCH(Çeyreklik!$A5,Bilanço!$A:$A,0),0)-HLOOKUP(D$1,Bilanço!$1:$151,MATCH(Çeyreklik!$A5,Bilanço!$A:$A,0),0)),"")</f>
        <v>0</v>
      </c>
      <c r="F5" s="2">
        <f>IFERROR(IF(MID(F$2,6,7)="3",HLOOKUP(F$1,Bilanço!$1:$151,MATCH(Çeyreklik!$A5,Bilanço!$A:$A,0),0),HLOOKUP(F$1,Bilanço!$1:$151,MATCH(Çeyreklik!$A5,Bilanço!$A:$A,0),0)-HLOOKUP(E$1,Bilanço!$1:$151,MATCH(Çeyreklik!$A5,Bilanço!$A:$A,0),0)),"")</f>
        <v>0</v>
      </c>
      <c r="G5" s="2">
        <f>IFERROR(IF(MID(G$2,6,7)="3",HLOOKUP(G$1,Bilanço!$1:$151,MATCH(Çeyreklik!$A5,Bilanço!$A:$A,0),0),HLOOKUP(G$1,Bilanço!$1:$151,MATCH(Çeyreklik!$A5,Bilanço!$A:$A,0),0)-HLOOKUP(F$1,Bilanço!$1:$151,MATCH(Çeyreklik!$A5,Bilanço!$A:$A,0),0)),"")</f>
        <v>0</v>
      </c>
      <c r="H5" s="2">
        <f>IFERROR(IF(MID(H$2,6,7)="3",HLOOKUP(H$1,Bilanço!$1:$151,MATCH(Çeyreklik!$A5,Bilanço!$A:$A,0),0),HLOOKUP(H$1,Bilanço!$1:$151,MATCH(Çeyreklik!$A5,Bilanço!$A:$A,0),0)-HLOOKUP(G$1,Bilanço!$1:$151,MATCH(Çeyreklik!$A5,Bilanço!$A:$A,0),0)),"")</f>
        <v>0</v>
      </c>
      <c r="I5" s="2">
        <f>IFERROR(IF(MID(I$2,6,7)="3",HLOOKUP(I$1,Bilanço!$1:$151,MATCH(Çeyreklik!$A5,Bilanço!$A:$A,0),0),HLOOKUP(I$1,Bilanço!$1:$151,MATCH(Çeyreklik!$A5,Bilanço!$A:$A,0),0)-HLOOKUP(H$1,Bilanço!$1:$151,MATCH(Çeyreklik!$A5,Bilanço!$A:$A,0),0)),"")</f>
        <v>0</v>
      </c>
      <c r="J5" s="2">
        <f>IFERROR(IF(MID(J$2,6,7)="3",HLOOKUP(J$1,Bilanço!$1:$151,MATCH(Çeyreklik!$A5,Bilanço!$A:$A,0),0),HLOOKUP(J$1,Bilanço!$1:$151,MATCH(Çeyreklik!$A5,Bilanço!$A:$A,0),0)-HLOOKUP(I$1,Bilanço!$1:$151,MATCH(Çeyreklik!$A5,Bilanço!$A:$A,0),0)),"")</f>
        <v>0</v>
      </c>
      <c r="K5" s="2">
        <f>IFERROR(IF(MID(K$2,6,7)="3",HLOOKUP(K$1,Bilanço!$1:$151,MATCH(Çeyreklik!$A5,Bilanço!$A:$A,0),0),HLOOKUP(K$1,Bilanço!$1:$151,MATCH(Çeyreklik!$A5,Bilanço!$A:$A,0),0)-HLOOKUP(J$1,Bilanço!$1:$151,MATCH(Çeyreklik!$A5,Bilanço!$A:$A,0),0)),"")</f>
        <v>0</v>
      </c>
      <c r="L5" s="2">
        <f>IFERROR(IF(MID(L$2,6,7)="3",HLOOKUP(L$1,Bilanço!$1:$151,MATCH(Çeyreklik!$A5,Bilanço!$A:$A,0),0),HLOOKUP(L$1,Bilanço!$1:$151,MATCH(Çeyreklik!$A5,Bilanço!$A:$A,0),0)-HLOOKUP(K$1,Bilanço!$1:$151,MATCH(Çeyreklik!$A5,Bilanço!$A:$A,0),0)),"")</f>
        <v>0</v>
      </c>
      <c r="M5" s="2">
        <f>IFERROR(IF(MID(M$2,6,7)="3",HLOOKUP(M$1,Bilanço!$1:$151,MATCH(Çeyreklik!$A5,Bilanço!$A:$A,0),0),HLOOKUP(M$1,Bilanço!$1:$151,MATCH(Çeyreklik!$A5,Bilanço!$A:$A,0),0)-HLOOKUP(L$1,Bilanço!$1:$151,MATCH(Çeyreklik!$A5,Bilanço!$A:$A,0),0)),"")</f>
        <v>0</v>
      </c>
      <c r="N5" s="2">
        <f>IFERROR(IF(MID(N$2,6,7)="3",HLOOKUP(N$1,Bilanço!$1:$151,MATCH(Çeyreklik!$A5,Bilanço!$A:$A,0),0),HLOOKUP(N$1,Bilanço!$1:$151,MATCH(Çeyreklik!$A5,Bilanço!$A:$A,0),0)-HLOOKUP(M$1,Bilanço!$1:$151,MATCH(Çeyreklik!$A5,Bilanço!$A:$A,0),0)),"")</f>
        <v>0</v>
      </c>
      <c r="O5" s="2">
        <f>IFERROR(IF(MID(O$2,6,7)="3",HLOOKUP(O$1,Bilanço!$1:$151,MATCH(Çeyreklik!$A5,Bilanço!$A:$A,0),0),HLOOKUP(O$1,Bilanço!$1:$151,MATCH(Çeyreklik!$A5,Bilanço!$A:$A,0),0)-HLOOKUP(N$1,Bilanço!$1:$151,MATCH(Çeyreklik!$A5,Bilanço!$A:$A,0),0)),"")</f>
        <v>0</v>
      </c>
      <c r="P5" s="2">
        <f>IFERROR(IF(MID(P$2,6,7)="3",HLOOKUP(P$1,Bilanço!$1:$151,MATCH(Çeyreklik!$A5,Bilanço!$A:$A,0),0),HLOOKUP(P$1,Bilanço!$1:$151,MATCH(Çeyreklik!$A5,Bilanço!$A:$A,0),0)-HLOOKUP(O$1,Bilanço!$1:$151,MATCH(Çeyreklik!$A5,Bilanço!$A:$A,0),0)),"")</f>
        <v>0</v>
      </c>
      <c r="Q5" s="2">
        <f>IFERROR(IF(MID(Q$2,6,7)="3",HLOOKUP(Q$1,Bilanço!$1:$151,MATCH(Çeyreklik!$A5,Bilanço!$A:$A,0),0),HLOOKUP(Q$1,Bilanço!$1:$151,MATCH(Çeyreklik!$A5,Bilanço!$A:$A,0),0)-HLOOKUP(P$1,Bilanço!$1:$151,MATCH(Çeyreklik!$A5,Bilanço!$A:$A,0),0)),"")</f>
        <v>0</v>
      </c>
      <c r="R5" s="2">
        <f>IFERROR(IF(MID(R$2,6,7)="3",HLOOKUP(R$1,Bilanço!$1:$151,MATCH(Çeyreklik!$A5,Bilanço!$A:$A,0),0),HLOOKUP(R$1,Bilanço!$1:$151,MATCH(Çeyreklik!$A5,Bilanço!$A:$A,0),0)-HLOOKUP(Q$1,Bilanço!$1:$151,MATCH(Çeyreklik!$A5,Bilanço!$A:$A,0),0)),"")</f>
        <v>0</v>
      </c>
      <c r="S5" s="2">
        <f>IFERROR(IF(MID(S$2,6,7)="3",HLOOKUP(S$1,Bilanço!$1:$151,MATCH(Çeyreklik!$A5,Bilanço!$A:$A,0),0),HLOOKUP(S$1,Bilanço!$1:$151,MATCH(Çeyreklik!$A5,Bilanço!$A:$A,0),0)-HLOOKUP(R$1,Bilanço!$1:$151,MATCH(Çeyreklik!$A5,Bilanço!$A:$A,0),0)),"")</f>
        <v>0</v>
      </c>
      <c r="T5" s="2">
        <f>IFERROR(IF(MID(T$2,6,7)="3",HLOOKUP(T$1,Bilanço!$1:$151,MATCH(Çeyreklik!$A5,Bilanço!$A:$A,0),0),HLOOKUP(T$1,Bilanço!$1:$151,MATCH(Çeyreklik!$A5,Bilanço!$A:$A,0),0)-HLOOKUP(S$1,Bilanço!$1:$151,MATCH(Çeyreklik!$A5,Bilanço!$A:$A,0),0)),"")</f>
        <v>0</v>
      </c>
      <c r="U5" s="2">
        <f>IFERROR(IF(MID(U$2,6,7)="3",HLOOKUP(U$1,Bilanço!$1:$151,MATCH(Çeyreklik!$A5,Bilanço!$A:$A,0),0),HLOOKUP(U$1,Bilanço!$1:$151,MATCH(Çeyreklik!$A5,Bilanço!$A:$A,0),0)-HLOOKUP(T$1,Bilanço!$1:$151,MATCH(Çeyreklik!$A5,Bilanço!$A:$A,0),0)),"")</f>
        <v>0</v>
      </c>
      <c r="V5" s="2">
        <f>IFERROR(IF(MID(V$2,6,7)="3",HLOOKUP(V$1,Bilanço!$1:$151,MATCH(Çeyreklik!$A5,Bilanço!$A:$A,0),0),HLOOKUP(V$1,Bilanço!$1:$151,MATCH(Çeyreklik!$A5,Bilanço!$A:$A,0),0)-HLOOKUP(U$1,Bilanço!$1:$151,MATCH(Çeyreklik!$A5,Bilanço!$A:$A,0),0)),"")</f>
        <v>0</v>
      </c>
      <c r="W5" s="2">
        <f>IFERROR(IF(MID(W$2,6,7)="3",HLOOKUP(W$1,Bilanço!$1:$151,MATCH(Çeyreklik!$A5,Bilanço!$A:$A,0),0),HLOOKUP(W$1,Bilanço!$1:$151,MATCH(Çeyreklik!$A5,Bilanço!$A:$A,0),0)-HLOOKUP(V$1,Bilanço!$1:$151,MATCH(Çeyreklik!$A5,Bilanço!$A:$A,0),0)),"")</f>
        <v>0</v>
      </c>
    </row>
    <row r="6" spans="1:23" x14ac:dyDescent="0.25">
      <c r="A6" t="str">
        <f>Data!A77</f>
        <v>Ticari Faaliyetlerden Brüt Kar (Zarar)</v>
      </c>
      <c r="B6" s="2">
        <f>IFERROR(IF($B$2="2022/3",IF(MID(B$2,6,7)="3",HLOOKUP(B$1,Bilanço!$1:$151,MATCH(Çeyreklik!$A6,Bilanço!$A:$A,0),0),HLOOKUP(B$1,Bilanço!$1:$151,MATCH(Çeyreklik!$A6,Bilanço!$A:$A,0),0)-HLOOKUP(A$1,Bilanço!$1:$151,MATCH(Çeyreklik!$A6,Bilanço!$A:$A,0),0)),IF(MID(B$2,6,7)="3",HLOOKUP(B$1,Bilanço!$1:$151,MATCH(Çeyreklik!$A6,Bilanço!$A:$A,0),0),HLOOKUP(B$1,Bilanço!$1:$151,MATCH(Çeyreklik!$A6,Bilanço!$A:$A,0),0)-HLOOKUP(Bilanço!$B$1,Bilanço!$1:$151,MATCH(Çeyreklik!$A6,Bilanço!$A:$A,0),0))),"")</f>
        <v>587135000</v>
      </c>
      <c r="C6" s="2">
        <f>IFERROR(IF(MID(C$2,6,7)="3",HLOOKUP(C$1,Bilanço!$1:$151,MATCH(Çeyreklik!$A6,Bilanço!$A:$A,0),0),HLOOKUP(C$1,Bilanço!$1:$151,MATCH(Çeyreklik!$A6,Bilanço!$A:$A,0),0)-HLOOKUP(B$1,Bilanço!$1:$151,MATCH(Çeyreklik!$A6,Bilanço!$A:$A,0),0)),"")</f>
        <v>808916000</v>
      </c>
      <c r="D6" s="2">
        <f>IFERROR(IF(MID(D$2,6,7)="3",HLOOKUP(D$1,Bilanço!$1:$151,MATCH(Çeyreklik!$A6,Bilanço!$A:$A,0),0),HLOOKUP(D$1,Bilanço!$1:$151,MATCH(Çeyreklik!$A6,Bilanço!$A:$A,0),0)-HLOOKUP(C$1,Bilanço!$1:$151,MATCH(Çeyreklik!$A6,Bilanço!$A:$A,0),0)),"")</f>
        <v>824926000</v>
      </c>
      <c r="E6" s="2">
        <f>IFERROR(IF(MID(E$2,6,7)="3",HLOOKUP(E$1,Bilanço!$1:$151,MATCH(Çeyreklik!$A6,Bilanço!$A:$A,0),0),HLOOKUP(E$1,Bilanço!$1:$151,MATCH(Çeyreklik!$A6,Bilanço!$A:$A,0),0)-HLOOKUP(D$1,Bilanço!$1:$151,MATCH(Çeyreklik!$A6,Bilanço!$A:$A,0),0)),"")</f>
        <v>862338000</v>
      </c>
      <c r="F6" s="2">
        <f>IFERROR(IF(MID(F$2,6,7)="3",HLOOKUP(F$1,Bilanço!$1:$151,MATCH(Çeyreklik!$A6,Bilanço!$A:$A,0),0),HLOOKUP(F$1,Bilanço!$1:$151,MATCH(Çeyreklik!$A6,Bilanço!$A:$A,0),0)-HLOOKUP(E$1,Bilanço!$1:$151,MATCH(Çeyreklik!$A6,Bilanço!$A:$A,0),0)),"")</f>
        <v>711358000</v>
      </c>
      <c r="G6" s="2">
        <f>IFERROR(IF(MID(G$2,6,7)="3",HLOOKUP(G$1,Bilanço!$1:$151,MATCH(Çeyreklik!$A6,Bilanço!$A:$A,0),0),HLOOKUP(G$1,Bilanço!$1:$151,MATCH(Çeyreklik!$A6,Bilanço!$A:$A,0),0)-HLOOKUP(F$1,Bilanço!$1:$151,MATCH(Çeyreklik!$A6,Bilanço!$A:$A,0),0)),"")</f>
        <v>804184000</v>
      </c>
      <c r="H6" s="2">
        <f>IFERROR(IF(MID(H$2,6,7)="3",HLOOKUP(H$1,Bilanço!$1:$151,MATCH(Çeyreklik!$A6,Bilanço!$A:$A,0),0),HLOOKUP(H$1,Bilanço!$1:$151,MATCH(Çeyreklik!$A6,Bilanço!$A:$A,0),0)-HLOOKUP(G$1,Bilanço!$1:$151,MATCH(Çeyreklik!$A6,Bilanço!$A:$A,0),0)),"")</f>
        <v>1234535000</v>
      </c>
      <c r="I6" s="2">
        <f>IFERROR(IF(MID(I$2,6,7)="3",HLOOKUP(I$1,Bilanço!$1:$151,MATCH(Çeyreklik!$A6,Bilanço!$A:$A,0),0),HLOOKUP(I$1,Bilanço!$1:$151,MATCH(Çeyreklik!$A6,Bilanço!$A:$A,0),0)-HLOOKUP(H$1,Bilanço!$1:$151,MATCH(Çeyreklik!$A6,Bilanço!$A:$A,0),0)),"")</f>
        <v>1849090000</v>
      </c>
      <c r="J6" s="2">
        <f>IFERROR(IF(MID(J$2,6,7)="3",HLOOKUP(J$1,Bilanço!$1:$151,MATCH(Çeyreklik!$A6,Bilanço!$A:$A,0),0),HLOOKUP(J$1,Bilanço!$1:$151,MATCH(Çeyreklik!$A6,Bilanço!$A:$A,0),0)-HLOOKUP(I$1,Bilanço!$1:$151,MATCH(Çeyreklik!$A6,Bilanço!$A:$A,0),0)),"")</f>
        <v>1697710000</v>
      </c>
      <c r="K6" s="2">
        <f>IFERROR(IF(MID(K$2,6,7)="3",HLOOKUP(K$1,Bilanço!$1:$151,MATCH(Çeyreklik!$A6,Bilanço!$A:$A,0),0),HLOOKUP(K$1,Bilanço!$1:$151,MATCH(Çeyreklik!$A6,Bilanço!$A:$A,0),0)-HLOOKUP(J$1,Bilanço!$1:$151,MATCH(Çeyreklik!$A6,Bilanço!$A:$A,0),0)),"")</f>
        <v>2020902000</v>
      </c>
      <c r="L6" s="2">
        <f>IFERROR(IF(MID(L$2,6,7)="3",HLOOKUP(L$1,Bilanço!$1:$151,MATCH(Çeyreklik!$A6,Bilanço!$A:$A,0),0),HLOOKUP(L$1,Bilanço!$1:$151,MATCH(Çeyreklik!$A6,Bilanço!$A:$A,0),0)-HLOOKUP(K$1,Bilanço!$1:$151,MATCH(Çeyreklik!$A6,Bilanço!$A:$A,0),0)),"")</f>
        <v>5760488000</v>
      </c>
      <c r="M6" s="2">
        <f>IFERROR(IF(MID(M$2,6,7)="3",HLOOKUP(M$1,Bilanço!$1:$151,MATCH(Çeyreklik!$A6,Bilanço!$A:$A,0),0),HLOOKUP(M$1,Bilanço!$1:$151,MATCH(Çeyreklik!$A6,Bilanço!$A:$A,0),0)-HLOOKUP(L$1,Bilanço!$1:$151,MATCH(Çeyreklik!$A6,Bilanço!$A:$A,0),0)),"")</f>
        <v>5779735000</v>
      </c>
      <c r="N6" s="2">
        <f>IFERROR(IF(MID(N$2,6,7)="3",HLOOKUP(N$1,Bilanço!$1:$151,MATCH(Çeyreklik!$A6,Bilanço!$A:$A,0),0),HLOOKUP(N$1,Bilanço!$1:$151,MATCH(Çeyreklik!$A6,Bilanço!$A:$A,0),0)-HLOOKUP(M$1,Bilanço!$1:$151,MATCH(Çeyreklik!$A6,Bilanço!$A:$A,0),0)),"")</f>
        <v>5400425000</v>
      </c>
      <c r="O6" s="2">
        <f>IFERROR(IF(MID(O$2,6,7)="3",HLOOKUP(O$1,Bilanço!$1:$151,MATCH(Çeyreklik!$A6,Bilanço!$A:$A,0),0),HLOOKUP(O$1,Bilanço!$1:$151,MATCH(Çeyreklik!$A6,Bilanço!$A:$A,0),0)-HLOOKUP(N$1,Bilanço!$1:$151,MATCH(Çeyreklik!$A6,Bilanço!$A:$A,0),0)),"")</f>
        <v>5400714000</v>
      </c>
      <c r="P6" s="2">
        <f>IFERROR(IF(MID(P$2,6,7)="3",HLOOKUP(P$1,Bilanço!$1:$151,MATCH(Çeyreklik!$A6,Bilanço!$A:$A,0),0),HLOOKUP(P$1,Bilanço!$1:$151,MATCH(Çeyreklik!$A6,Bilanço!$A:$A,0),0)-HLOOKUP(O$1,Bilanço!$1:$151,MATCH(Çeyreklik!$A6,Bilanço!$A:$A,0),0)),"")</f>
        <v>6774644000</v>
      </c>
      <c r="Q6" s="2">
        <f>IFERROR(IF(MID(Q$2,6,7)="3",HLOOKUP(Q$1,Bilanço!$1:$151,MATCH(Çeyreklik!$A6,Bilanço!$A:$A,0),0),HLOOKUP(Q$1,Bilanço!$1:$151,MATCH(Çeyreklik!$A6,Bilanço!$A:$A,0),0)-HLOOKUP(P$1,Bilanço!$1:$151,MATCH(Çeyreklik!$A6,Bilanço!$A:$A,0),0)),"")</f>
        <v>8652263000</v>
      </c>
      <c r="R6" s="2">
        <f>IFERROR(IF(MID(R$2,6,7)="3",HLOOKUP(R$1,Bilanço!$1:$151,MATCH(Çeyreklik!$A6,Bilanço!$A:$A,0),0),HLOOKUP(R$1,Bilanço!$1:$151,MATCH(Çeyreklik!$A6,Bilanço!$A:$A,0),0)-HLOOKUP(Q$1,Bilanço!$1:$151,MATCH(Çeyreklik!$A6,Bilanço!$A:$A,0),0)),"")</f>
        <v>6836275000</v>
      </c>
      <c r="S6" s="2">
        <f>IFERROR(IF(MID(S$2,6,7)="3",HLOOKUP(S$1,Bilanço!$1:$151,MATCH(Çeyreklik!$A6,Bilanço!$A:$A,0),0),HLOOKUP(S$1,Bilanço!$1:$151,MATCH(Çeyreklik!$A6,Bilanço!$A:$A,0),0)-HLOOKUP(R$1,Bilanço!$1:$151,MATCH(Çeyreklik!$A6,Bilanço!$A:$A,0),0)),"")</f>
        <v>7734957000</v>
      </c>
      <c r="T6" s="2">
        <f>IFERROR(IF(MID(T$2,6,7)="3",HLOOKUP(T$1,Bilanço!$1:$151,MATCH(Çeyreklik!$A6,Bilanço!$A:$A,0),0),HLOOKUP(T$1,Bilanço!$1:$151,MATCH(Çeyreklik!$A6,Bilanço!$A:$A,0),0)-HLOOKUP(S$1,Bilanço!$1:$151,MATCH(Çeyreklik!$A6,Bilanço!$A:$A,0),0)),"")</f>
        <v>8217137031</v>
      </c>
      <c r="U6" s="2">
        <f>IFERROR(IF(MID(U$2,6,7)="3",HLOOKUP(U$1,Bilanço!$1:$151,MATCH(Çeyreklik!$A6,Bilanço!$A:$A,0),0),HLOOKUP(U$1,Bilanço!$1:$151,MATCH(Çeyreklik!$A6,Bilanço!$A:$A,0),0)-HLOOKUP(T$1,Bilanço!$1:$151,MATCH(Çeyreklik!$A6,Bilanço!$A:$A,0),0)),"")</f>
        <v>9015462000</v>
      </c>
      <c r="V6" s="2">
        <f>IFERROR(IF(MID(V$2,6,7)="3",HLOOKUP(V$1,Bilanço!$1:$151,MATCH(Çeyreklik!$A6,Bilanço!$A:$A,0),0),HLOOKUP(V$1,Bilanço!$1:$151,MATCH(Çeyreklik!$A6,Bilanço!$A:$A,0),0)-HLOOKUP(U$1,Bilanço!$1:$151,MATCH(Çeyreklik!$A6,Bilanço!$A:$A,0),0)),"")</f>
        <v>6822933000</v>
      </c>
      <c r="W6" s="2">
        <f>IFERROR(IF(MID(W$2,6,7)="3",HLOOKUP(W$1,Bilanço!$1:$151,MATCH(Çeyreklik!$A6,Bilanço!$A:$A,0),0),HLOOKUP(W$1,Bilanço!$1:$151,MATCH(Çeyreklik!$A6,Bilanço!$A:$A,0),0)-HLOOKUP(V$1,Bilanço!$1:$151,MATCH(Çeyreklik!$A6,Bilanço!$A:$A,0),0)),"")</f>
        <v>8618586000</v>
      </c>
    </row>
    <row r="7" spans="1:23" x14ac:dyDescent="0.25">
      <c r="A7" t="str">
        <f>Data!A78</f>
        <v>Faiz, Ücret, Prim, Komisyon ve Diğer Gelirler</v>
      </c>
      <c r="B7" s="2">
        <f>IFERROR(IF($B$2="2022/3",IF(MID(B$2,6,7)="3",HLOOKUP(B$1,Bilanço!$1:$151,MATCH(Çeyreklik!$A7,Bilanço!$A:$A,0),0),HLOOKUP(B$1,Bilanço!$1:$151,MATCH(Çeyreklik!$A7,Bilanço!$A:$A,0),0)-HLOOKUP(A$1,Bilanço!$1:$151,MATCH(Çeyreklik!$A7,Bilanço!$A:$A,0),0)),IF(MID(B$2,6,7)="3",HLOOKUP(B$1,Bilanço!$1:$151,MATCH(Çeyreklik!$A7,Bilanço!$A:$A,0),0),HLOOKUP(B$1,Bilanço!$1:$151,MATCH(Çeyreklik!$A7,Bilanço!$A:$A,0),0)-HLOOKUP(Bilanço!$B$1,Bilanço!$1:$151,MATCH(Çeyreklik!$A7,Bilanço!$A:$A,0),0))),"")</f>
        <v>0</v>
      </c>
      <c r="C7" s="2">
        <f>IFERROR(IF(MID(C$2,6,7)="3",HLOOKUP(C$1,Bilanço!$1:$151,MATCH(Çeyreklik!$A7,Bilanço!$A:$A,0),0),HLOOKUP(C$1,Bilanço!$1:$151,MATCH(Çeyreklik!$A7,Bilanço!$A:$A,0),0)-HLOOKUP(B$1,Bilanço!$1:$151,MATCH(Çeyreklik!$A7,Bilanço!$A:$A,0),0)),"")</f>
        <v>0</v>
      </c>
      <c r="D7" s="2">
        <f>IFERROR(IF(MID(D$2,6,7)="3",HLOOKUP(D$1,Bilanço!$1:$151,MATCH(Çeyreklik!$A7,Bilanço!$A:$A,0),0),HLOOKUP(D$1,Bilanço!$1:$151,MATCH(Çeyreklik!$A7,Bilanço!$A:$A,0),0)-HLOOKUP(C$1,Bilanço!$1:$151,MATCH(Çeyreklik!$A7,Bilanço!$A:$A,0),0)),"")</f>
        <v>0</v>
      </c>
      <c r="E7" s="2">
        <f>IFERROR(IF(MID(E$2,6,7)="3",HLOOKUP(E$1,Bilanço!$1:$151,MATCH(Çeyreklik!$A7,Bilanço!$A:$A,0),0),HLOOKUP(E$1,Bilanço!$1:$151,MATCH(Çeyreklik!$A7,Bilanço!$A:$A,0),0)-HLOOKUP(D$1,Bilanço!$1:$151,MATCH(Çeyreklik!$A7,Bilanço!$A:$A,0),0)),"")</f>
        <v>0</v>
      </c>
      <c r="F7" s="2">
        <f>IFERROR(IF(MID(F$2,6,7)="3",HLOOKUP(F$1,Bilanço!$1:$151,MATCH(Çeyreklik!$A7,Bilanço!$A:$A,0),0),HLOOKUP(F$1,Bilanço!$1:$151,MATCH(Çeyreklik!$A7,Bilanço!$A:$A,0),0)-HLOOKUP(E$1,Bilanço!$1:$151,MATCH(Çeyreklik!$A7,Bilanço!$A:$A,0),0)),"")</f>
        <v>0</v>
      </c>
      <c r="G7" s="2">
        <f>IFERROR(IF(MID(G$2,6,7)="3",HLOOKUP(G$1,Bilanço!$1:$151,MATCH(Çeyreklik!$A7,Bilanço!$A:$A,0),0),HLOOKUP(G$1,Bilanço!$1:$151,MATCH(Çeyreklik!$A7,Bilanço!$A:$A,0),0)-HLOOKUP(F$1,Bilanço!$1:$151,MATCH(Çeyreklik!$A7,Bilanço!$A:$A,0),0)),"")</f>
        <v>0</v>
      </c>
      <c r="H7" s="2">
        <f>IFERROR(IF(MID(H$2,6,7)="3",HLOOKUP(H$1,Bilanço!$1:$151,MATCH(Çeyreklik!$A7,Bilanço!$A:$A,0),0),HLOOKUP(H$1,Bilanço!$1:$151,MATCH(Çeyreklik!$A7,Bilanço!$A:$A,0),0)-HLOOKUP(G$1,Bilanço!$1:$151,MATCH(Çeyreklik!$A7,Bilanço!$A:$A,0),0)),"")</f>
        <v>0</v>
      </c>
      <c r="I7" s="2">
        <f>IFERROR(IF(MID(I$2,6,7)="3",HLOOKUP(I$1,Bilanço!$1:$151,MATCH(Çeyreklik!$A7,Bilanço!$A:$A,0),0),HLOOKUP(I$1,Bilanço!$1:$151,MATCH(Çeyreklik!$A7,Bilanço!$A:$A,0),0)-HLOOKUP(H$1,Bilanço!$1:$151,MATCH(Çeyreklik!$A7,Bilanço!$A:$A,0),0)),"")</f>
        <v>0</v>
      </c>
      <c r="J7" s="2">
        <f>IFERROR(IF(MID(J$2,6,7)="3",HLOOKUP(J$1,Bilanço!$1:$151,MATCH(Çeyreklik!$A7,Bilanço!$A:$A,0),0),HLOOKUP(J$1,Bilanço!$1:$151,MATCH(Çeyreklik!$A7,Bilanço!$A:$A,0),0)-HLOOKUP(I$1,Bilanço!$1:$151,MATCH(Çeyreklik!$A7,Bilanço!$A:$A,0),0)),"")</f>
        <v>0</v>
      </c>
      <c r="K7" s="2">
        <f>IFERROR(IF(MID(K$2,6,7)="3",HLOOKUP(K$1,Bilanço!$1:$151,MATCH(Çeyreklik!$A7,Bilanço!$A:$A,0),0),HLOOKUP(K$1,Bilanço!$1:$151,MATCH(Çeyreklik!$A7,Bilanço!$A:$A,0),0)-HLOOKUP(J$1,Bilanço!$1:$151,MATCH(Çeyreklik!$A7,Bilanço!$A:$A,0),0)),"")</f>
        <v>0</v>
      </c>
      <c r="L7" s="2">
        <f>IFERROR(IF(MID(L$2,6,7)="3",HLOOKUP(L$1,Bilanço!$1:$151,MATCH(Çeyreklik!$A7,Bilanço!$A:$A,0),0),HLOOKUP(L$1,Bilanço!$1:$151,MATCH(Çeyreklik!$A7,Bilanço!$A:$A,0),0)-HLOOKUP(K$1,Bilanço!$1:$151,MATCH(Çeyreklik!$A7,Bilanço!$A:$A,0),0)),"")</f>
        <v>0</v>
      </c>
      <c r="M7" s="2">
        <f>IFERROR(IF(MID(M$2,6,7)="3",HLOOKUP(M$1,Bilanço!$1:$151,MATCH(Çeyreklik!$A7,Bilanço!$A:$A,0),0),HLOOKUP(M$1,Bilanço!$1:$151,MATCH(Çeyreklik!$A7,Bilanço!$A:$A,0),0)-HLOOKUP(L$1,Bilanço!$1:$151,MATCH(Çeyreklik!$A7,Bilanço!$A:$A,0),0)),"")</f>
        <v>0</v>
      </c>
      <c r="N7" s="2">
        <f>IFERROR(IF(MID(N$2,6,7)="3",HLOOKUP(N$1,Bilanço!$1:$151,MATCH(Çeyreklik!$A7,Bilanço!$A:$A,0),0),HLOOKUP(N$1,Bilanço!$1:$151,MATCH(Çeyreklik!$A7,Bilanço!$A:$A,0),0)-HLOOKUP(M$1,Bilanço!$1:$151,MATCH(Çeyreklik!$A7,Bilanço!$A:$A,0),0)),"")</f>
        <v>0</v>
      </c>
      <c r="O7" s="2">
        <f>IFERROR(IF(MID(O$2,6,7)="3",HLOOKUP(O$1,Bilanço!$1:$151,MATCH(Çeyreklik!$A7,Bilanço!$A:$A,0),0),HLOOKUP(O$1,Bilanço!$1:$151,MATCH(Çeyreklik!$A7,Bilanço!$A:$A,0),0)-HLOOKUP(N$1,Bilanço!$1:$151,MATCH(Çeyreklik!$A7,Bilanço!$A:$A,0),0)),"")</f>
        <v>0</v>
      </c>
      <c r="P7" s="2">
        <f>IFERROR(IF(MID(P$2,6,7)="3",HLOOKUP(P$1,Bilanço!$1:$151,MATCH(Çeyreklik!$A7,Bilanço!$A:$A,0),0),HLOOKUP(P$1,Bilanço!$1:$151,MATCH(Çeyreklik!$A7,Bilanço!$A:$A,0),0)-HLOOKUP(O$1,Bilanço!$1:$151,MATCH(Çeyreklik!$A7,Bilanço!$A:$A,0),0)),"")</f>
        <v>0</v>
      </c>
      <c r="Q7" s="2">
        <f>IFERROR(IF(MID(Q$2,6,7)="3",HLOOKUP(Q$1,Bilanço!$1:$151,MATCH(Çeyreklik!$A7,Bilanço!$A:$A,0),0),HLOOKUP(Q$1,Bilanço!$1:$151,MATCH(Çeyreklik!$A7,Bilanço!$A:$A,0),0)-HLOOKUP(P$1,Bilanço!$1:$151,MATCH(Çeyreklik!$A7,Bilanço!$A:$A,0),0)),"")</f>
        <v>0</v>
      </c>
      <c r="R7" s="2">
        <f>IFERROR(IF(MID(R$2,6,7)="3",HLOOKUP(R$1,Bilanço!$1:$151,MATCH(Çeyreklik!$A7,Bilanço!$A:$A,0),0),HLOOKUP(R$1,Bilanço!$1:$151,MATCH(Çeyreklik!$A7,Bilanço!$A:$A,0),0)-HLOOKUP(Q$1,Bilanço!$1:$151,MATCH(Çeyreklik!$A7,Bilanço!$A:$A,0),0)),"")</f>
        <v>0</v>
      </c>
      <c r="S7" s="2">
        <f>IFERROR(IF(MID(S$2,6,7)="3",HLOOKUP(S$1,Bilanço!$1:$151,MATCH(Çeyreklik!$A7,Bilanço!$A:$A,0),0),HLOOKUP(S$1,Bilanço!$1:$151,MATCH(Çeyreklik!$A7,Bilanço!$A:$A,0),0)-HLOOKUP(R$1,Bilanço!$1:$151,MATCH(Çeyreklik!$A7,Bilanço!$A:$A,0),0)),"")</f>
        <v>0</v>
      </c>
      <c r="T7" s="2">
        <f>IFERROR(IF(MID(T$2,6,7)="3",HLOOKUP(T$1,Bilanço!$1:$151,MATCH(Çeyreklik!$A7,Bilanço!$A:$A,0),0),HLOOKUP(T$1,Bilanço!$1:$151,MATCH(Çeyreklik!$A7,Bilanço!$A:$A,0),0)-HLOOKUP(S$1,Bilanço!$1:$151,MATCH(Çeyreklik!$A7,Bilanço!$A:$A,0),0)),"")</f>
        <v>0</v>
      </c>
      <c r="U7" s="2">
        <f>IFERROR(IF(MID(U$2,6,7)="3",HLOOKUP(U$1,Bilanço!$1:$151,MATCH(Çeyreklik!$A7,Bilanço!$A:$A,0),0),HLOOKUP(U$1,Bilanço!$1:$151,MATCH(Çeyreklik!$A7,Bilanço!$A:$A,0),0)-HLOOKUP(T$1,Bilanço!$1:$151,MATCH(Çeyreklik!$A7,Bilanço!$A:$A,0),0)),"")</f>
        <v>0</v>
      </c>
      <c r="V7" s="2">
        <f>IFERROR(IF(MID(V$2,6,7)="3",HLOOKUP(V$1,Bilanço!$1:$151,MATCH(Çeyreklik!$A7,Bilanço!$A:$A,0),0),HLOOKUP(V$1,Bilanço!$1:$151,MATCH(Çeyreklik!$A7,Bilanço!$A:$A,0),0)-HLOOKUP(U$1,Bilanço!$1:$151,MATCH(Çeyreklik!$A7,Bilanço!$A:$A,0),0)),"")</f>
        <v>0</v>
      </c>
      <c r="W7" s="2">
        <f>IFERROR(IF(MID(W$2,6,7)="3",HLOOKUP(W$1,Bilanço!$1:$151,MATCH(Çeyreklik!$A7,Bilanço!$A:$A,0),0),HLOOKUP(W$1,Bilanço!$1:$151,MATCH(Çeyreklik!$A7,Bilanço!$A:$A,0),0)-HLOOKUP(V$1,Bilanço!$1:$151,MATCH(Çeyreklik!$A7,Bilanço!$A:$A,0),0)),"")</f>
        <v>0</v>
      </c>
    </row>
    <row r="8" spans="1:23" x14ac:dyDescent="0.25">
      <c r="A8" t="str">
        <f>Data!A79</f>
        <v>Faiz, Ücret, Prim, Komisyon ve Diğer Giderler (-)</v>
      </c>
      <c r="B8" s="2">
        <f>IFERROR(IF($B$2="2022/3",IF(MID(B$2,6,7)="3",HLOOKUP(B$1,Bilanço!$1:$151,MATCH(Çeyreklik!$A8,Bilanço!$A:$A,0),0),HLOOKUP(B$1,Bilanço!$1:$151,MATCH(Çeyreklik!$A8,Bilanço!$A:$A,0),0)-HLOOKUP(A$1,Bilanço!$1:$151,MATCH(Çeyreklik!$A8,Bilanço!$A:$A,0),0)),IF(MID(B$2,6,7)="3",HLOOKUP(B$1,Bilanço!$1:$151,MATCH(Çeyreklik!$A8,Bilanço!$A:$A,0),0),HLOOKUP(B$1,Bilanço!$1:$151,MATCH(Çeyreklik!$A8,Bilanço!$A:$A,0),0)-HLOOKUP(Bilanço!$B$1,Bilanço!$1:$151,MATCH(Çeyreklik!$A8,Bilanço!$A:$A,0),0))),"")</f>
        <v>0</v>
      </c>
      <c r="C8" s="2">
        <f>IFERROR(IF(MID(C$2,6,7)="3",HLOOKUP(C$1,Bilanço!$1:$151,MATCH(Çeyreklik!$A8,Bilanço!$A:$A,0),0),HLOOKUP(C$1,Bilanço!$1:$151,MATCH(Çeyreklik!$A8,Bilanço!$A:$A,0),0)-HLOOKUP(B$1,Bilanço!$1:$151,MATCH(Çeyreklik!$A8,Bilanço!$A:$A,0),0)),"")</f>
        <v>0</v>
      </c>
      <c r="D8" s="2">
        <f>IFERROR(IF(MID(D$2,6,7)="3",HLOOKUP(D$1,Bilanço!$1:$151,MATCH(Çeyreklik!$A8,Bilanço!$A:$A,0),0),HLOOKUP(D$1,Bilanço!$1:$151,MATCH(Çeyreklik!$A8,Bilanço!$A:$A,0),0)-HLOOKUP(C$1,Bilanço!$1:$151,MATCH(Çeyreklik!$A8,Bilanço!$A:$A,0),0)),"")</f>
        <v>0</v>
      </c>
      <c r="E8" s="2">
        <f>IFERROR(IF(MID(E$2,6,7)="3",HLOOKUP(E$1,Bilanço!$1:$151,MATCH(Çeyreklik!$A8,Bilanço!$A:$A,0),0),HLOOKUP(E$1,Bilanço!$1:$151,MATCH(Çeyreklik!$A8,Bilanço!$A:$A,0),0)-HLOOKUP(D$1,Bilanço!$1:$151,MATCH(Çeyreklik!$A8,Bilanço!$A:$A,0),0)),"")</f>
        <v>0</v>
      </c>
      <c r="F8" s="2">
        <f>IFERROR(IF(MID(F$2,6,7)="3",HLOOKUP(F$1,Bilanço!$1:$151,MATCH(Çeyreklik!$A8,Bilanço!$A:$A,0),0),HLOOKUP(F$1,Bilanço!$1:$151,MATCH(Çeyreklik!$A8,Bilanço!$A:$A,0),0)-HLOOKUP(E$1,Bilanço!$1:$151,MATCH(Çeyreklik!$A8,Bilanço!$A:$A,0),0)),"")</f>
        <v>0</v>
      </c>
      <c r="G8" s="2">
        <f>IFERROR(IF(MID(G$2,6,7)="3",HLOOKUP(G$1,Bilanço!$1:$151,MATCH(Çeyreklik!$A8,Bilanço!$A:$A,0),0),HLOOKUP(G$1,Bilanço!$1:$151,MATCH(Çeyreklik!$A8,Bilanço!$A:$A,0),0)-HLOOKUP(F$1,Bilanço!$1:$151,MATCH(Çeyreklik!$A8,Bilanço!$A:$A,0),0)),"")</f>
        <v>0</v>
      </c>
      <c r="H8" s="2">
        <f>IFERROR(IF(MID(H$2,6,7)="3",HLOOKUP(H$1,Bilanço!$1:$151,MATCH(Çeyreklik!$A8,Bilanço!$A:$A,0),0),HLOOKUP(H$1,Bilanço!$1:$151,MATCH(Çeyreklik!$A8,Bilanço!$A:$A,0),0)-HLOOKUP(G$1,Bilanço!$1:$151,MATCH(Çeyreklik!$A8,Bilanço!$A:$A,0),0)),"")</f>
        <v>0</v>
      </c>
      <c r="I8" s="2">
        <f>IFERROR(IF(MID(I$2,6,7)="3",HLOOKUP(I$1,Bilanço!$1:$151,MATCH(Çeyreklik!$A8,Bilanço!$A:$A,0),0),HLOOKUP(I$1,Bilanço!$1:$151,MATCH(Çeyreklik!$A8,Bilanço!$A:$A,0),0)-HLOOKUP(H$1,Bilanço!$1:$151,MATCH(Çeyreklik!$A8,Bilanço!$A:$A,0),0)),"")</f>
        <v>0</v>
      </c>
      <c r="J8" s="2">
        <f>IFERROR(IF(MID(J$2,6,7)="3",HLOOKUP(J$1,Bilanço!$1:$151,MATCH(Çeyreklik!$A8,Bilanço!$A:$A,0),0),HLOOKUP(J$1,Bilanço!$1:$151,MATCH(Çeyreklik!$A8,Bilanço!$A:$A,0),0)-HLOOKUP(I$1,Bilanço!$1:$151,MATCH(Çeyreklik!$A8,Bilanço!$A:$A,0),0)),"")</f>
        <v>0</v>
      </c>
      <c r="K8" s="2">
        <f>IFERROR(IF(MID(K$2,6,7)="3",HLOOKUP(K$1,Bilanço!$1:$151,MATCH(Çeyreklik!$A8,Bilanço!$A:$A,0),0),HLOOKUP(K$1,Bilanço!$1:$151,MATCH(Çeyreklik!$A8,Bilanço!$A:$A,0),0)-HLOOKUP(J$1,Bilanço!$1:$151,MATCH(Çeyreklik!$A8,Bilanço!$A:$A,0),0)),"")</f>
        <v>0</v>
      </c>
      <c r="L8" s="2">
        <f>IFERROR(IF(MID(L$2,6,7)="3",HLOOKUP(L$1,Bilanço!$1:$151,MATCH(Çeyreklik!$A8,Bilanço!$A:$A,0),0),HLOOKUP(L$1,Bilanço!$1:$151,MATCH(Çeyreklik!$A8,Bilanço!$A:$A,0),0)-HLOOKUP(K$1,Bilanço!$1:$151,MATCH(Çeyreklik!$A8,Bilanço!$A:$A,0),0)),"")</f>
        <v>0</v>
      </c>
      <c r="M8" s="2">
        <f>IFERROR(IF(MID(M$2,6,7)="3",HLOOKUP(M$1,Bilanço!$1:$151,MATCH(Çeyreklik!$A8,Bilanço!$A:$A,0),0),HLOOKUP(M$1,Bilanço!$1:$151,MATCH(Çeyreklik!$A8,Bilanço!$A:$A,0),0)-HLOOKUP(L$1,Bilanço!$1:$151,MATCH(Çeyreklik!$A8,Bilanço!$A:$A,0),0)),"")</f>
        <v>0</v>
      </c>
      <c r="N8" s="2">
        <f>IFERROR(IF(MID(N$2,6,7)="3",HLOOKUP(N$1,Bilanço!$1:$151,MATCH(Çeyreklik!$A8,Bilanço!$A:$A,0),0),HLOOKUP(N$1,Bilanço!$1:$151,MATCH(Çeyreklik!$A8,Bilanço!$A:$A,0),0)-HLOOKUP(M$1,Bilanço!$1:$151,MATCH(Çeyreklik!$A8,Bilanço!$A:$A,0),0)),"")</f>
        <v>0</v>
      </c>
      <c r="O8" s="2">
        <f>IFERROR(IF(MID(O$2,6,7)="3",HLOOKUP(O$1,Bilanço!$1:$151,MATCH(Çeyreklik!$A8,Bilanço!$A:$A,0),0),HLOOKUP(O$1,Bilanço!$1:$151,MATCH(Çeyreklik!$A8,Bilanço!$A:$A,0),0)-HLOOKUP(N$1,Bilanço!$1:$151,MATCH(Çeyreklik!$A8,Bilanço!$A:$A,0),0)),"")</f>
        <v>0</v>
      </c>
      <c r="P8" s="2">
        <f>IFERROR(IF(MID(P$2,6,7)="3",HLOOKUP(P$1,Bilanço!$1:$151,MATCH(Çeyreklik!$A8,Bilanço!$A:$A,0),0),HLOOKUP(P$1,Bilanço!$1:$151,MATCH(Çeyreklik!$A8,Bilanço!$A:$A,0),0)-HLOOKUP(O$1,Bilanço!$1:$151,MATCH(Çeyreklik!$A8,Bilanço!$A:$A,0),0)),"")</f>
        <v>0</v>
      </c>
      <c r="Q8" s="2">
        <f>IFERROR(IF(MID(Q$2,6,7)="3",HLOOKUP(Q$1,Bilanço!$1:$151,MATCH(Çeyreklik!$A8,Bilanço!$A:$A,0),0),HLOOKUP(Q$1,Bilanço!$1:$151,MATCH(Çeyreklik!$A8,Bilanço!$A:$A,0),0)-HLOOKUP(P$1,Bilanço!$1:$151,MATCH(Çeyreklik!$A8,Bilanço!$A:$A,0),0)),"")</f>
        <v>0</v>
      </c>
      <c r="R8" s="2">
        <f>IFERROR(IF(MID(R$2,6,7)="3",HLOOKUP(R$1,Bilanço!$1:$151,MATCH(Çeyreklik!$A8,Bilanço!$A:$A,0),0),HLOOKUP(R$1,Bilanço!$1:$151,MATCH(Çeyreklik!$A8,Bilanço!$A:$A,0),0)-HLOOKUP(Q$1,Bilanço!$1:$151,MATCH(Çeyreklik!$A8,Bilanço!$A:$A,0),0)),"")</f>
        <v>0</v>
      </c>
      <c r="S8" s="2">
        <f>IFERROR(IF(MID(S$2,6,7)="3",HLOOKUP(S$1,Bilanço!$1:$151,MATCH(Çeyreklik!$A8,Bilanço!$A:$A,0),0),HLOOKUP(S$1,Bilanço!$1:$151,MATCH(Çeyreklik!$A8,Bilanço!$A:$A,0),0)-HLOOKUP(R$1,Bilanço!$1:$151,MATCH(Çeyreklik!$A8,Bilanço!$A:$A,0),0)),"")</f>
        <v>0</v>
      </c>
      <c r="T8" s="2">
        <f>IFERROR(IF(MID(T$2,6,7)="3",HLOOKUP(T$1,Bilanço!$1:$151,MATCH(Çeyreklik!$A8,Bilanço!$A:$A,0),0),HLOOKUP(T$1,Bilanço!$1:$151,MATCH(Çeyreklik!$A8,Bilanço!$A:$A,0),0)-HLOOKUP(S$1,Bilanço!$1:$151,MATCH(Çeyreklik!$A8,Bilanço!$A:$A,0),0)),"")</f>
        <v>0</v>
      </c>
      <c r="U8" s="2">
        <f>IFERROR(IF(MID(U$2,6,7)="3",HLOOKUP(U$1,Bilanço!$1:$151,MATCH(Çeyreklik!$A8,Bilanço!$A:$A,0),0),HLOOKUP(U$1,Bilanço!$1:$151,MATCH(Çeyreklik!$A8,Bilanço!$A:$A,0),0)-HLOOKUP(T$1,Bilanço!$1:$151,MATCH(Çeyreklik!$A8,Bilanço!$A:$A,0),0)),"")</f>
        <v>0</v>
      </c>
      <c r="V8" s="2">
        <f>IFERROR(IF(MID(V$2,6,7)="3",HLOOKUP(V$1,Bilanço!$1:$151,MATCH(Çeyreklik!$A8,Bilanço!$A:$A,0),0),HLOOKUP(V$1,Bilanço!$1:$151,MATCH(Çeyreklik!$A8,Bilanço!$A:$A,0),0)-HLOOKUP(U$1,Bilanço!$1:$151,MATCH(Çeyreklik!$A8,Bilanço!$A:$A,0),0)),"")</f>
        <v>0</v>
      </c>
      <c r="W8" s="2">
        <f>IFERROR(IF(MID(W$2,6,7)="3",HLOOKUP(W$1,Bilanço!$1:$151,MATCH(Çeyreklik!$A8,Bilanço!$A:$A,0),0),HLOOKUP(W$1,Bilanço!$1:$151,MATCH(Çeyreklik!$A8,Bilanço!$A:$A,0),0)-HLOOKUP(V$1,Bilanço!$1:$151,MATCH(Çeyreklik!$A8,Bilanço!$A:$A,0),0)),"")</f>
        <v>0</v>
      </c>
    </row>
    <row r="9" spans="1:23" x14ac:dyDescent="0.25">
      <c r="A9" t="str">
        <f>Data!A80</f>
        <v>Finans Sektörü Faaliyetlerinden Diğer Kar (Zarar)</v>
      </c>
      <c r="B9" s="2">
        <f>IFERROR(IF($B$2="2022/3",IF(MID(B$2,6,7)="3",HLOOKUP(B$1,Bilanço!$1:$151,MATCH(Çeyreklik!$A9,Bilanço!$A:$A,0),0),HLOOKUP(B$1,Bilanço!$1:$151,MATCH(Çeyreklik!$A9,Bilanço!$A:$A,0),0)-HLOOKUP(A$1,Bilanço!$1:$151,MATCH(Çeyreklik!$A9,Bilanço!$A:$A,0),0)),IF(MID(B$2,6,7)="3",HLOOKUP(B$1,Bilanço!$1:$151,MATCH(Çeyreklik!$A9,Bilanço!$A:$A,0),0),HLOOKUP(B$1,Bilanço!$1:$151,MATCH(Çeyreklik!$A9,Bilanço!$A:$A,0),0)-HLOOKUP(Bilanço!$B$1,Bilanço!$1:$151,MATCH(Çeyreklik!$A9,Bilanço!$A:$A,0),0))),"")</f>
        <v>0</v>
      </c>
      <c r="C9" s="2">
        <f>IFERROR(IF(MID(C$2,6,7)="3",HLOOKUP(C$1,Bilanço!$1:$151,MATCH(Çeyreklik!$A9,Bilanço!$A:$A,0),0),HLOOKUP(C$1,Bilanço!$1:$151,MATCH(Çeyreklik!$A9,Bilanço!$A:$A,0),0)-HLOOKUP(B$1,Bilanço!$1:$151,MATCH(Çeyreklik!$A9,Bilanço!$A:$A,0),0)),"")</f>
        <v>0</v>
      </c>
      <c r="D9" s="2">
        <f>IFERROR(IF(MID(D$2,6,7)="3",HLOOKUP(D$1,Bilanço!$1:$151,MATCH(Çeyreklik!$A9,Bilanço!$A:$A,0),0),HLOOKUP(D$1,Bilanço!$1:$151,MATCH(Çeyreklik!$A9,Bilanço!$A:$A,0),0)-HLOOKUP(C$1,Bilanço!$1:$151,MATCH(Çeyreklik!$A9,Bilanço!$A:$A,0),0)),"")</f>
        <v>0</v>
      </c>
      <c r="E9" s="2">
        <f>IFERROR(IF(MID(E$2,6,7)="3",HLOOKUP(E$1,Bilanço!$1:$151,MATCH(Çeyreklik!$A9,Bilanço!$A:$A,0),0),HLOOKUP(E$1,Bilanço!$1:$151,MATCH(Çeyreklik!$A9,Bilanço!$A:$A,0),0)-HLOOKUP(D$1,Bilanço!$1:$151,MATCH(Çeyreklik!$A9,Bilanço!$A:$A,0),0)),"")</f>
        <v>0</v>
      </c>
      <c r="F9" s="2">
        <f>IFERROR(IF(MID(F$2,6,7)="3",HLOOKUP(F$1,Bilanço!$1:$151,MATCH(Çeyreklik!$A9,Bilanço!$A:$A,0),0),HLOOKUP(F$1,Bilanço!$1:$151,MATCH(Çeyreklik!$A9,Bilanço!$A:$A,0),0)-HLOOKUP(E$1,Bilanço!$1:$151,MATCH(Çeyreklik!$A9,Bilanço!$A:$A,0),0)),"")</f>
        <v>0</v>
      </c>
      <c r="G9" s="2">
        <f>IFERROR(IF(MID(G$2,6,7)="3",HLOOKUP(G$1,Bilanço!$1:$151,MATCH(Çeyreklik!$A9,Bilanço!$A:$A,0),0),HLOOKUP(G$1,Bilanço!$1:$151,MATCH(Çeyreklik!$A9,Bilanço!$A:$A,0),0)-HLOOKUP(F$1,Bilanço!$1:$151,MATCH(Çeyreklik!$A9,Bilanço!$A:$A,0),0)),"")</f>
        <v>0</v>
      </c>
      <c r="H9" s="2">
        <f>IFERROR(IF(MID(H$2,6,7)="3",HLOOKUP(H$1,Bilanço!$1:$151,MATCH(Çeyreklik!$A9,Bilanço!$A:$A,0),0),HLOOKUP(H$1,Bilanço!$1:$151,MATCH(Çeyreklik!$A9,Bilanço!$A:$A,0),0)-HLOOKUP(G$1,Bilanço!$1:$151,MATCH(Çeyreklik!$A9,Bilanço!$A:$A,0),0)),"")</f>
        <v>0</v>
      </c>
      <c r="I9" s="2">
        <f>IFERROR(IF(MID(I$2,6,7)="3",HLOOKUP(I$1,Bilanço!$1:$151,MATCH(Çeyreklik!$A9,Bilanço!$A:$A,0),0),HLOOKUP(I$1,Bilanço!$1:$151,MATCH(Çeyreklik!$A9,Bilanço!$A:$A,0),0)-HLOOKUP(H$1,Bilanço!$1:$151,MATCH(Çeyreklik!$A9,Bilanço!$A:$A,0),0)),"")</f>
        <v>0</v>
      </c>
      <c r="J9" s="2">
        <f>IFERROR(IF(MID(J$2,6,7)="3",HLOOKUP(J$1,Bilanço!$1:$151,MATCH(Çeyreklik!$A9,Bilanço!$A:$A,0),0),HLOOKUP(J$1,Bilanço!$1:$151,MATCH(Çeyreklik!$A9,Bilanço!$A:$A,0),0)-HLOOKUP(I$1,Bilanço!$1:$151,MATCH(Çeyreklik!$A9,Bilanço!$A:$A,0),0)),"")</f>
        <v>0</v>
      </c>
      <c r="K9" s="2">
        <f>IFERROR(IF(MID(K$2,6,7)="3",HLOOKUP(K$1,Bilanço!$1:$151,MATCH(Çeyreklik!$A9,Bilanço!$A:$A,0),0),HLOOKUP(K$1,Bilanço!$1:$151,MATCH(Çeyreklik!$A9,Bilanço!$A:$A,0),0)-HLOOKUP(J$1,Bilanço!$1:$151,MATCH(Çeyreklik!$A9,Bilanço!$A:$A,0),0)),"")</f>
        <v>0</v>
      </c>
      <c r="L9" s="2">
        <f>IFERROR(IF(MID(L$2,6,7)="3",HLOOKUP(L$1,Bilanço!$1:$151,MATCH(Çeyreklik!$A9,Bilanço!$A:$A,0),0),HLOOKUP(L$1,Bilanço!$1:$151,MATCH(Çeyreklik!$A9,Bilanço!$A:$A,0),0)-HLOOKUP(K$1,Bilanço!$1:$151,MATCH(Çeyreklik!$A9,Bilanço!$A:$A,0),0)),"")</f>
        <v>0</v>
      </c>
      <c r="M9" s="2">
        <f>IFERROR(IF(MID(M$2,6,7)="3",HLOOKUP(M$1,Bilanço!$1:$151,MATCH(Çeyreklik!$A9,Bilanço!$A:$A,0),0),HLOOKUP(M$1,Bilanço!$1:$151,MATCH(Çeyreklik!$A9,Bilanço!$A:$A,0),0)-HLOOKUP(L$1,Bilanço!$1:$151,MATCH(Çeyreklik!$A9,Bilanço!$A:$A,0),0)),"")</f>
        <v>0</v>
      </c>
      <c r="N9" s="2">
        <f>IFERROR(IF(MID(N$2,6,7)="3",HLOOKUP(N$1,Bilanço!$1:$151,MATCH(Çeyreklik!$A9,Bilanço!$A:$A,0),0),HLOOKUP(N$1,Bilanço!$1:$151,MATCH(Çeyreklik!$A9,Bilanço!$A:$A,0),0)-HLOOKUP(M$1,Bilanço!$1:$151,MATCH(Çeyreklik!$A9,Bilanço!$A:$A,0),0)),"")</f>
        <v>0</v>
      </c>
      <c r="O9" s="2">
        <f>IFERROR(IF(MID(O$2,6,7)="3",HLOOKUP(O$1,Bilanço!$1:$151,MATCH(Çeyreklik!$A9,Bilanço!$A:$A,0),0),HLOOKUP(O$1,Bilanço!$1:$151,MATCH(Çeyreklik!$A9,Bilanço!$A:$A,0),0)-HLOOKUP(N$1,Bilanço!$1:$151,MATCH(Çeyreklik!$A9,Bilanço!$A:$A,0),0)),"")</f>
        <v>0</v>
      </c>
      <c r="P9" s="2">
        <f>IFERROR(IF(MID(P$2,6,7)="3",HLOOKUP(P$1,Bilanço!$1:$151,MATCH(Çeyreklik!$A9,Bilanço!$A:$A,0),0),HLOOKUP(P$1,Bilanço!$1:$151,MATCH(Çeyreklik!$A9,Bilanço!$A:$A,0),0)-HLOOKUP(O$1,Bilanço!$1:$151,MATCH(Çeyreklik!$A9,Bilanço!$A:$A,0),0)),"")</f>
        <v>0</v>
      </c>
      <c r="Q9" s="2">
        <f>IFERROR(IF(MID(Q$2,6,7)="3",HLOOKUP(Q$1,Bilanço!$1:$151,MATCH(Çeyreklik!$A9,Bilanço!$A:$A,0),0),HLOOKUP(Q$1,Bilanço!$1:$151,MATCH(Çeyreklik!$A9,Bilanço!$A:$A,0),0)-HLOOKUP(P$1,Bilanço!$1:$151,MATCH(Çeyreklik!$A9,Bilanço!$A:$A,0),0)),"")</f>
        <v>0</v>
      </c>
      <c r="R9" s="2">
        <f>IFERROR(IF(MID(R$2,6,7)="3",HLOOKUP(R$1,Bilanço!$1:$151,MATCH(Çeyreklik!$A9,Bilanço!$A:$A,0),0),HLOOKUP(R$1,Bilanço!$1:$151,MATCH(Çeyreklik!$A9,Bilanço!$A:$A,0),0)-HLOOKUP(Q$1,Bilanço!$1:$151,MATCH(Çeyreklik!$A9,Bilanço!$A:$A,0),0)),"")</f>
        <v>0</v>
      </c>
      <c r="S9" s="2">
        <f>IFERROR(IF(MID(S$2,6,7)="3",HLOOKUP(S$1,Bilanço!$1:$151,MATCH(Çeyreklik!$A9,Bilanço!$A:$A,0),0),HLOOKUP(S$1,Bilanço!$1:$151,MATCH(Çeyreklik!$A9,Bilanço!$A:$A,0),0)-HLOOKUP(R$1,Bilanço!$1:$151,MATCH(Çeyreklik!$A9,Bilanço!$A:$A,0),0)),"")</f>
        <v>0</v>
      </c>
      <c r="T9" s="2">
        <f>IFERROR(IF(MID(T$2,6,7)="3",HLOOKUP(T$1,Bilanço!$1:$151,MATCH(Çeyreklik!$A9,Bilanço!$A:$A,0),0),HLOOKUP(T$1,Bilanço!$1:$151,MATCH(Çeyreklik!$A9,Bilanço!$A:$A,0),0)-HLOOKUP(S$1,Bilanço!$1:$151,MATCH(Çeyreklik!$A9,Bilanço!$A:$A,0),0)),"")</f>
        <v>0</v>
      </c>
      <c r="U9" s="2">
        <f>IFERROR(IF(MID(U$2,6,7)="3",HLOOKUP(U$1,Bilanço!$1:$151,MATCH(Çeyreklik!$A9,Bilanço!$A:$A,0),0),HLOOKUP(U$1,Bilanço!$1:$151,MATCH(Çeyreklik!$A9,Bilanço!$A:$A,0),0)-HLOOKUP(T$1,Bilanço!$1:$151,MATCH(Çeyreklik!$A9,Bilanço!$A:$A,0),0)),"")</f>
        <v>0</v>
      </c>
      <c r="V9" s="2">
        <f>IFERROR(IF(MID(V$2,6,7)="3",HLOOKUP(V$1,Bilanço!$1:$151,MATCH(Çeyreklik!$A9,Bilanço!$A:$A,0),0),HLOOKUP(V$1,Bilanço!$1:$151,MATCH(Çeyreklik!$A9,Bilanço!$A:$A,0),0)-HLOOKUP(U$1,Bilanço!$1:$151,MATCH(Çeyreklik!$A9,Bilanço!$A:$A,0),0)),"")</f>
        <v>0</v>
      </c>
      <c r="W9" s="2">
        <f>IFERROR(IF(MID(W$2,6,7)="3",HLOOKUP(W$1,Bilanço!$1:$151,MATCH(Çeyreklik!$A9,Bilanço!$A:$A,0),0),HLOOKUP(W$1,Bilanço!$1:$151,MATCH(Çeyreklik!$A9,Bilanço!$A:$A,0),0)-HLOOKUP(V$1,Bilanço!$1:$151,MATCH(Çeyreklik!$A9,Bilanço!$A:$A,0),0)),"")</f>
        <v>0</v>
      </c>
    </row>
    <row r="10" spans="1:23" x14ac:dyDescent="0.25">
      <c r="A10" t="str">
        <f>Data!A81</f>
        <v>Finans Sektörü Faaliyetlerinden Brüt Kar (Zarar)</v>
      </c>
      <c r="B10" s="2">
        <f>IFERROR(IF($B$2="2022/3",IF(MID(B$2,6,7)="3",HLOOKUP(B$1,Bilanço!$1:$151,MATCH(Çeyreklik!$A10,Bilanço!$A:$A,0),0),HLOOKUP(B$1,Bilanço!$1:$151,MATCH(Çeyreklik!$A10,Bilanço!$A:$A,0),0)-HLOOKUP(A$1,Bilanço!$1:$151,MATCH(Çeyreklik!$A10,Bilanço!$A:$A,0),0)),IF(MID(B$2,6,7)="3",HLOOKUP(B$1,Bilanço!$1:$151,MATCH(Çeyreklik!$A10,Bilanço!$A:$A,0),0),HLOOKUP(B$1,Bilanço!$1:$151,MATCH(Çeyreklik!$A10,Bilanço!$A:$A,0),0)-HLOOKUP(Bilanço!$B$1,Bilanço!$1:$151,MATCH(Çeyreklik!$A10,Bilanço!$A:$A,0),0))),"")</f>
        <v>0</v>
      </c>
      <c r="C10" s="2">
        <f>IFERROR(IF(MID(C$2,6,7)="3",HLOOKUP(C$1,Bilanço!$1:$151,MATCH(Çeyreklik!$A10,Bilanço!$A:$A,0),0),HLOOKUP(C$1,Bilanço!$1:$151,MATCH(Çeyreklik!$A10,Bilanço!$A:$A,0),0)-HLOOKUP(B$1,Bilanço!$1:$151,MATCH(Çeyreklik!$A10,Bilanço!$A:$A,0),0)),"")</f>
        <v>0</v>
      </c>
      <c r="D10" s="2">
        <f>IFERROR(IF(MID(D$2,6,7)="3",HLOOKUP(D$1,Bilanço!$1:$151,MATCH(Çeyreklik!$A10,Bilanço!$A:$A,0),0),HLOOKUP(D$1,Bilanço!$1:$151,MATCH(Çeyreklik!$A10,Bilanço!$A:$A,0),0)-HLOOKUP(C$1,Bilanço!$1:$151,MATCH(Çeyreklik!$A10,Bilanço!$A:$A,0),0)),"")</f>
        <v>0</v>
      </c>
      <c r="E10" s="2">
        <f>IFERROR(IF(MID(E$2,6,7)="3",HLOOKUP(E$1,Bilanço!$1:$151,MATCH(Çeyreklik!$A10,Bilanço!$A:$A,0),0),HLOOKUP(E$1,Bilanço!$1:$151,MATCH(Çeyreklik!$A10,Bilanço!$A:$A,0),0)-HLOOKUP(D$1,Bilanço!$1:$151,MATCH(Çeyreklik!$A10,Bilanço!$A:$A,0),0)),"")</f>
        <v>0</v>
      </c>
      <c r="F10" s="2">
        <f>IFERROR(IF(MID(F$2,6,7)="3",HLOOKUP(F$1,Bilanço!$1:$151,MATCH(Çeyreklik!$A10,Bilanço!$A:$A,0),0),HLOOKUP(F$1,Bilanço!$1:$151,MATCH(Çeyreklik!$A10,Bilanço!$A:$A,0),0)-HLOOKUP(E$1,Bilanço!$1:$151,MATCH(Çeyreklik!$A10,Bilanço!$A:$A,0),0)),"")</f>
        <v>0</v>
      </c>
      <c r="G10" s="2">
        <f>IFERROR(IF(MID(G$2,6,7)="3",HLOOKUP(G$1,Bilanço!$1:$151,MATCH(Çeyreklik!$A10,Bilanço!$A:$A,0),0),HLOOKUP(G$1,Bilanço!$1:$151,MATCH(Çeyreklik!$A10,Bilanço!$A:$A,0),0)-HLOOKUP(F$1,Bilanço!$1:$151,MATCH(Çeyreklik!$A10,Bilanço!$A:$A,0),0)),"")</f>
        <v>0</v>
      </c>
      <c r="H10" s="2">
        <f>IFERROR(IF(MID(H$2,6,7)="3",HLOOKUP(H$1,Bilanço!$1:$151,MATCH(Çeyreklik!$A10,Bilanço!$A:$A,0),0),HLOOKUP(H$1,Bilanço!$1:$151,MATCH(Çeyreklik!$A10,Bilanço!$A:$A,0),0)-HLOOKUP(G$1,Bilanço!$1:$151,MATCH(Çeyreklik!$A10,Bilanço!$A:$A,0),0)),"")</f>
        <v>0</v>
      </c>
      <c r="I10" s="2">
        <f>IFERROR(IF(MID(I$2,6,7)="3",HLOOKUP(I$1,Bilanço!$1:$151,MATCH(Çeyreklik!$A10,Bilanço!$A:$A,0),0),HLOOKUP(I$1,Bilanço!$1:$151,MATCH(Çeyreklik!$A10,Bilanço!$A:$A,0),0)-HLOOKUP(H$1,Bilanço!$1:$151,MATCH(Çeyreklik!$A10,Bilanço!$A:$A,0),0)),"")</f>
        <v>0</v>
      </c>
      <c r="J10" s="2">
        <f>IFERROR(IF(MID(J$2,6,7)="3",HLOOKUP(J$1,Bilanço!$1:$151,MATCH(Çeyreklik!$A10,Bilanço!$A:$A,0),0),HLOOKUP(J$1,Bilanço!$1:$151,MATCH(Çeyreklik!$A10,Bilanço!$A:$A,0),0)-HLOOKUP(I$1,Bilanço!$1:$151,MATCH(Çeyreklik!$A10,Bilanço!$A:$A,0),0)),"")</f>
        <v>0</v>
      </c>
      <c r="K10" s="2">
        <f>IFERROR(IF(MID(K$2,6,7)="3",HLOOKUP(K$1,Bilanço!$1:$151,MATCH(Çeyreklik!$A10,Bilanço!$A:$A,0),0),HLOOKUP(K$1,Bilanço!$1:$151,MATCH(Çeyreklik!$A10,Bilanço!$A:$A,0),0)-HLOOKUP(J$1,Bilanço!$1:$151,MATCH(Çeyreklik!$A10,Bilanço!$A:$A,0),0)),"")</f>
        <v>0</v>
      </c>
      <c r="L10" s="2">
        <f>IFERROR(IF(MID(L$2,6,7)="3",HLOOKUP(L$1,Bilanço!$1:$151,MATCH(Çeyreklik!$A10,Bilanço!$A:$A,0),0),HLOOKUP(L$1,Bilanço!$1:$151,MATCH(Çeyreklik!$A10,Bilanço!$A:$A,0),0)-HLOOKUP(K$1,Bilanço!$1:$151,MATCH(Çeyreklik!$A10,Bilanço!$A:$A,0),0)),"")</f>
        <v>0</v>
      </c>
      <c r="M10" s="2">
        <f>IFERROR(IF(MID(M$2,6,7)="3",HLOOKUP(M$1,Bilanço!$1:$151,MATCH(Çeyreklik!$A10,Bilanço!$A:$A,0),0),HLOOKUP(M$1,Bilanço!$1:$151,MATCH(Çeyreklik!$A10,Bilanço!$A:$A,0),0)-HLOOKUP(L$1,Bilanço!$1:$151,MATCH(Çeyreklik!$A10,Bilanço!$A:$A,0),0)),"")</f>
        <v>0</v>
      </c>
      <c r="N10" s="2">
        <f>IFERROR(IF(MID(N$2,6,7)="3",HLOOKUP(N$1,Bilanço!$1:$151,MATCH(Çeyreklik!$A10,Bilanço!$A:$A,0),0),HLOOKUP(N$1,Bilanço!$1:$151,MATCH(Çeyreklik!$A10,Bilanço!$A:$A,0),0)-HLOOKUP(M$1,Bilanço!$1:$151,MATCH(Çeyreklik!$A10,Bilanço!$A:$A,0),0)),"")</f>
        <v>0</v>
      </c>
      <c r="O10" s="2">
        <f>IFERROR(IF(MID(O$2,6,7)="3",HLOOKUP(O$1,Bilanço!$1:$151,MATCH(Çeyreklik!$A10,Bilanço!$A:$A,0),0),HLOOKUP(O$1,Bilanço!$1:$151,MATCH(Çeyreklik!$A10,Bilanço!$A:$A,0),0)-HLOOKUP(N$1,Bilanço!$1:$151,MATCH(Çeyreklik!$A10,Bilanço!$A:$A,0),0)),"")</f>
        <v>0</v>
      </c>
      <c r="P10" s="2">
        <f>IFERROR(IF(MID(P$2,6,7)="3",HLOOKUP(P$1,Bilanço!$1:$151,MATCH(Çeyreklik!$A10,Bilanço!$A:$A,0),0),HLOOKUP(P$1,Bilanço!$1:$151,MATCH(Çeyreklik!$A10,Bilanço!$A:$A,0),0)-HLOOKUP(O$1,Bilanço!$1:$151,MATCH(Çeyreklik!$A10,Bilanço!$A:$A,0),0)),"")</f>
        <v>0</v>
      </c>
      <c r="Q10" s="2">
        <f>IFERROR(IF(MID(Q$2,6,7)="3",HLOOKUP(Q$1,Bilanço!$1:$151,MATCH(Çeyreklik!$A10,Bilanço!$A:$A,0),0),HLOOKUP(Q$1,Bilanço!$1:$151,MATCH(Çeyreklik!$A10,Bilanço!$A:$A,0),0)-HLOOKUP(P$1,Bilanço!$1:$151,MATCH(Çeyreklik!$A10,Bilanço!$A:$A,0),0)),"")</f>
        <v>0</v>
      </c>
      <c r="R10" s="2">
        <f>IFERROR(IF(MID(R$2,6,7)="3",HLOOKUP(R$1,Bilanço!$1:$151,MATCH(Çeyreklik!$A10,Bilanço!$A:$A,0),0),HLOOKUP(R$1,Bilanço!$1:$151,MATCH(Çeyreklik!$A10,Bilanço!$A:$A,0),0)-HLOOKUP(Q$1,Bilanço!$1:$151,MATCH(Çeyreklik!$A10,Bilanço!$A:$A,0),0)),"")</f>
        <v>0</v>
      </c>
      <c r="S10" s="2">
        <f>IFERROR(IF(MID(S$2,6,7)="3",HLOOKUP(S$1,Bilanço!$1:$151,MATCH(Çeyreklik!$A10,Bilanço!$A:$A,0),0),HLOOKUP(S$1,Bilanço!$1:$151,MATCH(Çeyreklik!$A10,Bilanço!$A:$A,0),0)-HLOOKUP(R$1,Bilanço!$1:$151,MATCH(Çeyreklik!$A10,Bilanço!$A:$A,0),0)),"")</f>
        <v>0</v>
      </c>
      <c r="T10" s="2">
        <f>IFERROR(IF(MID(T$2,6,7)="3",HLOOKUP(T$1,Bilanço!$1:$151,MATCH(Çeyreklik!$A10,Bilanço!$A:$A,0),0),HLOOKUP(T$1,Bilanço!$1:$151,MATCH(Çeyreklik!$A10,Bilanço!$A:$A,0),0)-HLOOKUP(S$1,Bilanço!$1:$151,MATCH(Çeyreklik!$A10,Bilanço!$A:$A,0),0)),"")</f>
        <v>0</v>
      </c>
      <c r="U10" s="2">
        <f>IFERROR(IF(MID(U$2,6,7)="3",HLOOKUP(U$1,Bilanço!$1:$151,MATCH(Çeyreklik!$A10,Bilanço!$A:$A,0),0),HLOOKUP(U$1,Bilanço!$1:$151,MATCH(Çeyreklik!$A10,Bilanço!$A:$A,0),0)-HLOOKUP(T$1,Bilanço!$1:$151,MATCH(Çeyreklik!$A10,Bilanço!$A:$A,0),0)),"")</f>
        <v>0</v>
      </c>
      <c r="V10" s="2">
        <f>IFERROR(IF(MID(V$2,6,7)="3",HLOOKUP(V$1,Bilanço!$1:$151,MATCH(Çeyreklik!$A10,Bilanço!$A:$A,0),0),HLOOKUP(V$1,Bilanço!$1:$151,MATCH(Çeyreklik!$A10,Bilanço!$A:$A,0),0)-HLOOKUP(U$1,Bilanço!$1:$151,MATCH(Çeyreklik!$A10,Bilanço!$A:$A,0),0)),"")</f>
        <v>0</v>
      </c>
      <c r="W10" s="2">
        <f>IFERROR(IF(MID(W$2,6,7)="3",HLOOKUP(W$1,Bilanço!$1:$151,MATCH(Çeyreklik!$A10,Bilanço!$A:$A,0),0),HLOOKUP(W$1,Bilanço!$1:$151,MATCH(Çeyreklik!$A10,Bilanço!$A:$A,0),0)-HLOOKUP(V$1,Bilanço!$1:$151,MATCH(Çeyreklik!$A10,Bilanço!$A:$A,0),0)),"")</f>
        <v>0</v>
      </c>
    </row>
    <row r="11" spans="1:23" x14ac:dyDescent="0.25">
      <c r="A11" t="str">
        <f>Data!A82</f>
        <v>Diğer Gelir ve Giderler</v>
      </c>
      <c r="B11" s="2">
        <f>IFERROR(IF($B$2="2022/3",IF(MID(B$2,6,7)="3",HLOOKUP(B$1,Bilanço!$1:$151,MATCH(Çeyreklik!$A11,Bilanço!$A:$A,0),0),HLOOKUP(B$1,Bilanço!$1:$151,MATCH(Çeyreklik!$A11,Bilanço!$A:$A,0),0)-HLOOKUP(A$1,Bilanço!$1:$151,MATCH(Çeyreklik!$A11,Bilanço!$A:$A,0),0)),IF(MID(B$2,6,7)="3",HLOOKUP(B$1,Bilanço!$1:$151,MATCH(Çeyreklik!$A11,Bilanço!$A:$A,0),0),HLOOKUP(B$1,Bilanço!$1:$151,MATCH(Çeyreklik!$A11,Bilanço!$A:$A,0),0)-HLOOKUP(Bilanço!$B$1,Bilanço!$1:$151,MATCH(Çeyreklik!$A11,Bilanço!$A:$A,0),0))),"")</f>
        <v>0</v>
      </c>
      <c r="C11" s="2">
        <f>IFERROR(IF(MID(C$2,6,7)="3",HLOOKUP(C$1,Bilanço!$1:$151,MATCH(Çeyreklik!$A11,Bilanço!$A:$A,0),0),HLOOKUP(C$1,Bilanço!$1:$151,MATCH(Çeyreklik!$A11,Bilanço!$A:$A,0),0)-HLOOKUP(B$1,Bilanço!$1:$151,MATCH(Çeyreklik!$A11,Bilanço!$A:$A,0),0)),"")</f>
        <v>0</v>
      </c>
      <c r="D11" s="2">
        <f>IFERROR(IF(MID(D$2,6,7)="3",HLOOKUP(D$1,Bilanço!$1:$151,MATCH(Çeyreklik!$A11,Bilanço!$A:$A,0),0),HLOOKUP(D$1,Bilanço!$1:$151,MATCH(Çeyreklik!$A11,Bilanço!$A:$A,0),0)-HLOOKUP(C$1,Bilanço!$1:$151,MATCH(Çeyreklik!$A11,Bilanço!$A:$A,0),0)),"")</f>
        <v>0</v>
      </c>
      <c r="E11" s="2">
        <f>IFERROR(IF(MID(E$2,6,7)="3",HLOOKUP(E$1,Bilanço!$1:$151,MATCH(Çeyreklik!$A11,Bilanço!$A:$A,0),0),HLOOKUP(E$1,Bilanço!$1:$151,MATCH(Çeyreklik!$A11,Bilanço!$A:$A,0),0)-HLOOKUP(D$1,Bilanço!$1:$151,MATCH(Çeyreklik!$A11,Bilanço!$A:$A,0),0)),"")</f>
        <v>0</v>
      </c>
      <c r="F11" s="2">
        <f>IFERROR(IF(MID(F$2,6,7)="3",HLOOKUP(F$1,Bilanço!$1:$151,MATCH(Çeyreklik!$A11,Bilanço!$A:$A,0),0),HLOOKUP(F$1,Bilanço!$1:$151,MATCH(Çeyreklik!$A11,Bilanço!$A:$A,0),0)-HLOOKUP(E$1,Bilanço!$1:$151,MATCH(Çeyreklik!$A11,Bilanço!$A:$A,0),0)),"")</f>
        <v>0</v>
      </c>
      <c r="G11" s="2">
        <f>IFERROR(IF(MID(G$2,6,7)="3",HLOOKUP(G$1,Bilanço!$1:$151,MATCH(Çeyreklik!$A11,Bilanço!$A:$A,0),0),HLOOKUP(G$1,Bilanço!$1:$151,MATCH(Çeyreklik!$A11,Bilanço!$A:$A,0),0)-HLOOKUP(F$1,Bilanço!$1:$151,MATCH(Çeyreklik!$A11,Bilanço!$A:$A,0),0)),"")</f>
        <v>0</v>
      </c>
      <c r="H11" s="2">
        <f>IFERROR(IF(MID(H$2,6,7)="3",HLOOKUP(H$1,Bilanço!$1:$151,MATCH(Çeyreklik!$A11,Bilanço!$A:$A,0),0),HLOOKUP(H$1,Bilanço!$1:$151,MATCH(Çeyreklik!$A11,Bilanço!$A:$A,0),0)-HLOOKUP(G$1,Bilanço!$1:$151,MATCH(Çeyreklik!$A11,Bilanço!$A:$A,0),0)),"")</f>
        <v>0</v>
      </c>
      <c r="I11" s="2">
        <f>IFERROR(IF(MID(I$2,6,7)="3",HLOOKUP(I$1,Bilanço!$1:$151,MATCH(Çeyreklik!$A11,Bilanço!$A:$A,0),0),HLOOKUP(I$1,Bilanço!$1:$151,MATCH(Çeyreklik!$A11,Bilanço!$A:$A,0),0)-HLOOKUP(H$1,Bilanço!$1:$151,MATCH(Çeyreklik!$A11,Bilanço!$A:$A,0),0)),"")</f>
        <v>0</v>
      </c>
      <c r="J11" s="2">
        <f>IFERROR(IF(MID(J$2,6,7)="3",HLOOKUP(J$1,Bilanço!$1:$151,MATCH(Çeyreklik!$A11,Bilanço!$A:$A,0),0),HLOOKUP(J$1,Bilanço!$1:$151,MATCH(Çeyreklik!$A11,Bilanço!$A:$A,0),0)-HLOOKUP(I$1,Bilanço!$1:$151,MATCH(Çeyreklik!$A11,Bilanço!$A:$A,0),0)),"")</f>
        <v>0</v>
      </c>
      <c r="K11" s="2">
        <f>IFERROR(IF(MID(K$2,6,7)="3",HLOOKUP(K$1,Bilanço!$1:$151,MATCH(Çeyreklik!$A11,Bilanço!$A:$A,0),0),HLOOKUP(K$1,Bilanço!$1:$151,MATCH(Çeyreklik!$A11,Bilanço!$A:$A,0),0)-HLOOKUP(J$1,Bilanço!$1:$151,MATCH(Çeyreklik!$A11,Bilanço!$A:$A,0),0)),"")</f>
        <v>0</v>
      </c>
      <c r="L11" s="2">
        <f>IFERROR(IF(MID(L$2,6,7)="3",HLOOKUP(L$1,Bilanço!$1:$151,MATCH(Çeyreklik!$A11,Bilanço!$A:$A,0),0),HLOOKUP(L$1,Bilanço!$1:$151,MATCH(Çeyreklik!$A11,Bilanço!$A:$A,0),0)-HLOOKUP(K$1,Bilanço!$1:$151,MATCH(Çeyreklik!$A11,Bilanço!$A:$A,0),0)),"")</f>
        <v>0</v>
      </c>
      <c r="M11" s="2">
        <f>IFERROR(IF(MID(M$2,6,7)="3",HLOOKUP(M$1,Bilanço!$1:$151,MATCH(Çeyreklik!$A11,Bilanço!$A:$A,0),0),HLOOKUP(M$1,Bilanço!$1:$151,MATCH(Çeyreklik!$A11,Bilanço!$A:$A,0),0)-HLOOKUP(L$1,Bilanço!$1:$151,MATCH(Çeyreklik!$A11,Bilanço!$A:$A,0),0)),"")</f>
        <v>0</v>
      </c>
      <c r="N11" s="2">
        <f>IFERROR(IF(MID(N$2,6,7)="3",HLOOKUP(N$1,Bilanço!$1:$151,MATCH(Çeyreklik!$A11,Bilanço!$A:$A,0),0),HLOOKUP(N$1,Bilanço!$1:$151,MATCH(Çeyreklik!$A11,Bilanço!$A:$A,0),0)-HLOOKUP(M$1,Bilanço!$1:$151,MATCH(Çeyreklik!$A11,Bilanço!$A:$A,0),0)),"")</f>
        <v>0</v>
      </c>
      <c r="O11" s="2">
        <f>IFERROR(IF(MID(O$2,6,7)="3",HLOOKUP(O$1,Bilanço!$1:$151,MATCH(Çeyreklik!$A11,Bilanço!$A:$A,0),0),HLOOKUP(O$1,Bilanço!$1:$151,MATCH(Çeyreklik!$A11,Bilanço!$A:$A,0),0)-HLOOKUP(N$1,Bilanço!$1:$151,MATCH(Çeyreklik!$A11,Bilanço!$A:$A,0),0)),"")</f>
        <v>0</v>
      </c>
      <c r="P11" s="2">
        <f>IFERROR(IF(MID(P$2,6,7)="3",HLOOKUP(P$1,Bilanço!$1:$151,MATCH(Çeyreklik!$A11,Bilanço!$A:$A,0),0),HLOOKUP(P$1,Bilanço!$1:$151,MATCH(Çeyreklik!$A11,Bilanço!$A:$A,0),0)-HLOOKUP(O$1,Bilanço!$1:$151,MATCH(Çeyreklik!$A11,Bilanço!$A:$A,0),0)),"")</f>
        <v>0</v>
      </c>
      <c r="Q11" s="2">
        <f>IFERROR(IF(MID(Q$2,6,7)="3",HLOOKUP(Q$1,Bilanço!$1:$151,MATCH(Çeyreklik!$A11,Bilanço!$A:$A,0),0),HLOOKUP(Q$1,Bilanço!$1:$151,MATCH(Çeyreklik!$A11,Bilanço!$A:$A,0),0)-HLOOKUP(P$1,Bilanço!$1:$151,MATCH(Çeyreklik!$A11,Bilanço!$A:$A,0),0)),"")</f>
        <v>0</v>
      </c>
      <c r="R11" s="2">
        <f>IFERROR(IF(MID(R$2,6,7)="3",HLOOKUP(R$1,Bilanço!$1:$151,MATCH(Çeyreklik!$A11,Bilanço!$A:$A,0),0),HLOOKUP(R$1,Bilanço!$1:$151,MATCH(Çeyreklik!$A11,Bilanço!$A:$A,0),0)-HLOOKUP(Q$1,Bilanço!$1:$151,MATCH(Çeyreklik!$A11,Bilanço!$A:$A,0),0)),"")</f>
        <v>0</v>
      </c>
      <c r="S11" s="2">
        <f>IFERROR(IF(MID(S$2,6,7)="3",HLOOKUP(S$1,Bilanço!$1:$151,MATCH(Çeyreklik!$A11,Bilanço!$A:$A,0),0),HLOOKUP(S$1,Bilanço!$1:$151,MATCH(Çeyreklik!$A11,Bilanço!$A:$A,0),0)-HLOOKUP(R$1,Bilanço!$1:$151,MATCH(Çeyreklik!$A11,Bilanço!$A:$A,0),0)),"")</f>
        <v>0</v>
      </c>
      <c r="T11" s="2">
        <f>IFERROR(IF(MID(T$2,6,7)="3",HLOOKUP(T$1,Bilanço!$1:$151,MATCH(Çeyreklik!$A11,Bilanço!$A:$A,0),0),HLOOKUP(T$1,Bilanço!$1:$151,MATCH(Çeyreklik!$A11,Bilanço!$A:$A,0),0)-HLOOKUP(S$1,Bilanço!$1:$151,MATCH(Çeyreklik!$A11,Bilanço!$A:$A,0),0)),"")</f>
        <v>0</v>
      </c>
      <c r="U11" s="2">
        <f>IFERROR(IF(MID(U$2,6,7)="3",HLOOKUP(U$1,Bilanço!$1:$151,MATCH(Çeyreklik!$A11,Bilanço!$A:$A,0),0),HLOOKUP(U$1,Bilanço!$1:$151,MATCH(Çeyreklik!$A11,Bilanço!$A:$A,0),0)-HLOOKUP(T$1,Bilanço!$1:$151,MATCH(Çeyreklik!$A11,Bilanço!$A:$A,0),0)),"")</f>
        <v>0</v>
      </c>
      <c r="V11" s="2">
        <f>IFERROR(IF(MID(V$2,6,7)="3",HLOOKUP(V$1,Bilanço!$1:$151,MATCH(Çeyreklik!$A11,Bilanço!$A:$A,0),0),HLOOKUP(V$1,Bilanço!$1:$151,MATCH(Çeyreklik!$A11,Bilanço!$A:$A,0),0)-HLOOKUP(U$1,Bilanço!$1:$151,MATCH(Çeyreklik!$A11,Bilanço!$A:$A,0),0)),"")</f>
        <v>0</v>
      </c>
      <c r="W11" s="2">
        <f>IFERROR(IF(MID(W$2,6,7)="3",HLOOKUP(W$1,Bilanço!$1:$151,MATCH(Çeyreklik!$A11,Bilanço!$A:$A,0),0),HLOOKUP(W$1,Bilanço!$1:$151,MATCH(Çeyreklik!$A11,Bilanço!$A:$A,0),0)-HLOOKUP(V$1,Bilanço!$1:$151,MATCH(Çeyreklik!$A11,Bilanço!$A:$A,0),0)),"")</f>
        <v>0</v>
      </c>
    </row>
    <row r="12" spans="1:23" x14ac:dyDescent="0.25">
      <c r="A12" t="str">
        <f>Data!A83</f>
        <v>BRÜT KAR (ZARAR)</v>
      </c>
      <c r="B12" s="2">
        <f>IFERROR(IF($B$2="2022/3",IF(MID(B$2,6,7)="3",HLOOKUP(B$1,Bilanço!$1:$151,MATCH(Çeyreklik!$A12,Bilanço!$A:$A,0),0),HLOOKUP(B$1,Bilanço!$1:$151,MATCH(Çeyreklik!$A12,Bilanço!$A:$A,0),0)-HLOOKUP(A$1,Bilanço!$1:$151,MATCH(Çeyreklik!$A12,Bilanço!$A:$A,0),0)),IF(MID(B$2,6,7)="3",HLOOKUP(B$1,Bilanço!$1:$151,MATCH(Çeyreklik!$A12,Bilanço!$A:$A,0),0),HLOOKUP(B$1,Bilanço!$1:$151,MATCH(Çeyreklik!$A12,Bilanço!$A:$A,0),0)-HLOOKUP(Bilanço!$B$1,Bilanço!$1:$151,MATCH(Çeyreklik!$A12,Bilanço!$A:$A,0),0))),"")</f>
        <v>587135000</v>
      </c>
      <c r="C12" s="2">
        <f>IFERROR(IF(MID(C$2,6,7)="3",HLOOKUP(C$1,Bilanço!$1:$151,MATCH(Çeyreklik!$A12,Bilanço!$A:$A,0),0),HLOOKUP(C$1,Bilanço!$1:$151,MATCH(Çeyreklik!$A12,Bilanço!$A:$A,0),0)-HLOOKUP(B$1,Bilanço!$1:$151,MATCH(Çeyreklik!$A12,Bilanço!$A:$A,0),0)),"")</f>
        <v>808916000</v>
      </c>
      <c r="D12" s="2">
        <f>IFERROR(IF(MID(D$2,6,7)="3",HLOOKUP(D$1,Bilanço!$1:$151,MATCH(Çeyreklik!$A12,Bilanço!$A:$A,0),0),HLOOKUP(D$1,Bilanço!$1:$151,MATCH(Çeyreklik!$A12,Bilanço!$A:$A,0),0)-HLOOKUP(C$1,Bilanço!$1:$151,MATCH(Çeyreklik!$A12,Bilanço!$A:$A,0),0)),"")</f>
        <v>824926000</v>
      </c>
      <c r="E12" s="2">
        <f>IFERROR(IF(MID(E$2,6,7)="3",HLOOKUP(E$1,Bilanço!$1:$151,MATCH(Çeyreklik!$A12,Bilanço!$A:$A,0),0),HLOOKUP(E$1,Bilanço!$1:$151,MATCH(Çeyreklik!$A12,Bilanço!$A:$A,0),0)-HLOOKUP(D$1,Bilanço!$1:$151,MATCH(Çeyreklik!$A12,Bilanço!$A:$A,0),0)),"")</f>
        <v>862338000</v>
      </c>
      <c r="F12" s="2">
        <f>IFERROR(IF(MID(F$2,6,7)="3",HLOOKUP(F$1,Bilanço!$1:$151,MATCH(Çeyreklik!$A12,Bilanço!$A:$A,0),0),HLOOKUP(F$1,Bilanço!$1:$151,MATCH(Çeyreklik!$A12,Bilanço!$A:$A,0),0)-HLOOKUP(E$1,Bilanço!$1:$151,MATCH(Çeyreklik!$A12,Bilanço!$A:$A,0),0)),"")</f>
        <v>711358000</v>
      </c>
      <c r="G12" s="2">
        <f>IFERROR(IF(MID(G$2,6,7)="3",HLOOKUP(G$1,Bilanço!$1:$151,MATCH(Çeyreklik!$A12,Bilanço!$A:$A,0),0),HLOOKUP(G$1,Bilanço!$1:$151,MATCH(Çeyreklik!$A12,Bilanço!$A:$A,0),0)-HLOOKUP(F$1,Bilanço!$1:$151,MATCH(Çeyreklik!$A12,Bilanço!$A:$A,0),0)),"")</f>
        <v>804184000</v>
      </c>
      <c r="H12" s="2">
        <f>IFERROR(IF(MID(H$2,6,7)="3",HLOOKUP(H$1,Bilanço!$1:$151,MATCH(Çeyreklik!$A12,Bilanço!$A:$A,0),0),HLOOKUP(H$1,Bilanço!$1:$151,MATCH(Çeyreklik!$A12,Bilanço!$A:$A,0),0)-HLOOKUP(G$1,Bilanço!$1:$151,MATCH(Çeyreklik!$A12,Bilanço!$A:$A,0),0)),"")</f>
        <v>1234535000</v>
      </c>
      <c r="I12" s="2">
        <f>IFERROR(IF(MID(I$2,6,7)="3",HLOOKUP(I$1,Bilanço!$1:$151,MATCH(Çeyreklik!$A12,Bilanço!$A:$A,0),0),HLOOKUP(I$1,Bilanço!$1:$151,MATCH(Çeyreklik!$A12,Bilanço!$A:$A,0),0)-HLOOKUP(H$1,Bilanço!$1:$151,MATCH(Çeyreklik!$A12,Bilanço!$A:$A,0),0)),"")</f>
        <v>1849090000</v>
      </c>
      <c r="J12" s="2">
        <f>IFERROR(IF(MID(J$2,6,7)="3",HLOOKUP(J$1,Bilanço!$1:$151,MATCH(Çeyreklik!$A12,Bilanço!$A:$A,0),0),HLOOKUP(J$1,Bilanço!$1:$151,MATCH(Çeyreklik!$A12,Bilanço!$A:$A,0),0)-HLOOKUP(I$1,Bilanço!$1:$151,MATCH(Çeyreklik!$A12,Bilanço!$A:$A,0),0)),"")</f>
        <v>1697710000</v>
      </c>
      <c r="K12" s="2">
        <f>IFERROR(IF(MID(K$2,6,7)="3",HLOOKUP(K$1,Bilanço!$1:$151,MATCH(Çeyreklik!$A12,Bilanço!$A:$A,0),0),HLOOKUP(K$1,Bilanço!$1:$151,MATCH(Çeyreklik!$A12,Bilanço!$A:$A,0),0)-HLOOKUP(J$1,Bilanço!$1:$151,MATCH(Çeyreklik!$A12,Bilanço!$A:$A,0),0)),"")</f>
        <v>2020902000</v>
      </c>
      <c r="L12" s="2">
        <f>IFERROR(IF(MID(L$2,6,7)="3",HLOOKUP(L$1,Bilanço!$1:$151,MATCH(Çeyreklik!$A12,Bilanço!$A:$A,0),0),HLOOKUP(L$1,Bilanço!$1:$151,MATCH(Çeyreklik!$A12,Bilanço!$A:$A,0),0)-HLOOKUP(K$1,Bilanço!$1:$151,MATCH(Çeyreklik!$A12,Bilanço!$A:$A,0),0)),"")</f>
        <v>5760488000</v>
      </c>
      <c r="M12" s="2">
        <f>IFERROR(IF(MID(M$2,6,7)="3",HLOOKUP(M$1,Bilanço!$1:$151,MATCH(Çeyreklik!$A12,Bilanço!$A:$A,0),0),HLOOKUP(M$1,Bilanço!$1:$151,MATCH(Çeyreklik!$A12,Bilanço!$A:$A,0),0)-HLOOKUP(L$1,Bilanço!$1:$151,MATCH(Çeyreklik!$A12,Bilanço!$A:$A,0),0)),"")</f>
        <v>5779735000</v>
      </c>
      <c r="N12" s="2">
        <f>IFERROR(IF(MID(N$2,6,7)="3",HLOOKUP(N$1,Bilanço!$1:$151,MATCH(Çeyreklik!$A12,Bilanço!$A:$A,0),0),HLOOKUP(N$1,Bilanço!$1:$151,MATCH(Çeyreklik!$A12,Bilanço!$A:$A,0),0)-HLOOKUP(M$1,Bilanço!$1:$151,MATCH(Çeyreklik!$A12,Bilanço!$A:$A,0),0)),"")</f>
        <v>5400425000</v>
      </c>
      <c r="O12" s="2">
        <f>IFERROR(IF(MID(O$2,6,7)="3",HLOOKUP(O$1,Bilanço!$1:$151,MATCH(Çeyreklik!$A12,Bilanço!$A:$A,0),0),HLOOKUP(O$1,Bilanço!$1:$151,MATCH(Çeyreklik!$A12,Bilanço!$A:$A,0),0)-HLOOKUP(N$1,Bilanço!$1:$151,MATCH(Çeyreklik!$A12,Bilanço!$A:$A,0),0)),"")</f>
        <v>5400714000</v>
      </c>
      <c r="P12" s="2">
        <f>IFERROR(IF(MID(P$2,6,7)="3",HLOOKUP(P$1,Bilanço!$1:$151,MATCH(Çeyreklik!$A12,Bilanço!$A:$A,0),0),HLOOKUP(P$1,Bilanço!$1:$151,MATCH(Çeyreklik!$A12,Bilanço!$A:$A,0),0)-HLOOKUP(O$1,Bilanço!$1:$151,MATCH(Çeyreklik!$A12,Bilanço!$A:$A,0),0)),"")</f>
        <v>6774644000</v>
      </c>
      <c r="Q12" s="2">
        <f>IFERROR(IF(MID(Q$2,6,7)="3",HLOOKUP(Q$1,Bilanço!$1:$151,MATCH(Çeyreklik!$A12,Bilanço!$A:$A,0),0),HLOOKUP(Q$1,Bilanço!$1:$151,MATCH(Çeyreklik!$A12,Bilanço!$A:$A,0),0)-HLOOKUP(P$1,Bilanço!$1:$151,MATCH(Çeyreklik!$A12,Bilanço!$A:$A,0),0)),"")</f>
        <v>8652263000</v>
      </c>
      <c r="R12" s="2">
        <f>IFERROR(IF(MID(R$2,6,7)="3",HLOOKUP(R$1,Bilanço!$1:$151,MATCH(Çeyreklik!$A12,Bilanço!$A:$A,0),0),HLOOKUP(R$1,Bilanço!$1:$151,MATCH(Çeyreklik!$A12,Bilanço!$A:$A,0),0)-HLOOKUP(Q$1,Bilanço!$1:$151,MATCH(Çeyreklik!$A12,Bilanço!$A:$A,0),0)),"")</f>
        <v>6836275000</v>
      </c>
      <c r="S12" s="2">
        <f>IFERROR(IF(MID(S$2,6,7)="3",HLOOKUP(S$1,Bilanço!$1:$151,MATCH(Çeyreklik!$A12,Bilanço!$A:$A,0),0),HLOOKUP(S$1,Bilanço!$1:$151,MATCH(Çeyreklik!$A12,Bilanço!$A:$A,0),0)-HLOOKUP(R$1,Bilanço!$1:$151,MATCH(Çeyreklik!$A12,Bilanço!$A:$A,0),0)),"")</f>
        <v>7734957000</v>
      </c>
      <c r="T12" s="2">
        <f>IFERROR(IF(MID(T$2,6,7)="3",HLOOKUP(T$1,Bilanço!$1:$151,MATCH(Çeyreklik!$A12,Bilanço!$A:$A,0),0),HLOOKUP(T$1,Bilanço!$1:$151,MATCH(Çeyreklik!$A12,Bilanço!$A:$A,0),0)-HLOOKUP(S$1,Bilanço!$1:$151,MATCH(Çeyreklik!$A12,Bilanço!$A:$A,0),0)),"")</f>
        <v>8217137031</v>
      </c>
      <c r="U12" s="2">
        <f>IFERROR(IF(MID(U$2,6,7)="3",HLOOKUP(U$1,Bilanço!$1:$151,MATCH(Çeyreklik!$A12,Bilanço!$A:$A,0),0),HLOOKUP(U$1,Bilanço!$1:$151,MATCH(Çeyreklik!$A12,Bilanço!$A:$A,0),0)-HLOOKUP(T$1,Bilanço!$1:$151,MATCH(Çeyreklik!$A12,Bilanço!$A:$A,0),0)),"")</f>
        <v>9015462000</v>
      </c>
      <c r="V12" s="2">
        <f>IFERROR(IF(MID(V$2,6,7)="3",HLOOKUP(V$1,Bilanço!$1:$151,MATCH(Çeyreklik!$A12,Bilanço!$A:$A,0),0),HLOOKUP(V$1,Bilanço!$1:$151,MATCH(Çeyreklik!$A12,Bilanço!$A:$A,0),0)-HLOOKUP(U$1,Bilanço!$1:$151,MATCH(Çeyreklik!$A12,Bilanço!$A:$A,0),0)),"")</f>
        <v>6822933000</v>
      </c>
      <c r="W12" s="2">
        <f>IFERROR(IF(MID(W$2,6,7)="3",HLOOKUP(W$1,Bilanço!$1:$151,MATCH(Çeyreklik!$A12,Bilanço!$A:$A,0),0),HLOOKUP(W$1,Bilanço!$1:$151,MATCH(Çeyreklik!$A12,Bilanço!$A:$A,0),0)-HLOOKUP(V$1,Bilanço!$1:$151,MATCH(Çeyreklik!$A12,Bilanço!$A:$A,0),0)),"")</f>
        <v>8618586000</v>
      </c>
    </row>
    <row r="13" spans="1:23" x14ac:dyDescent="0.25">
      <c r="A13" t="str">
        <f>Data!A84</f>
        <v>Pazarlama, Satış ve Dağıtım Giderleri (-)</v>
      </c>
      <c r="B13" s="2">
        <f>IFERROR(IF($B$2="2022/3",IF(MID(B$2,6,7)="3",HLOOKUP(B$1,Bilanço!$1:$151,MATCH(Çeyreklik!$A13,Bilanço!$A:$A,0),0),HLOOKUP(B$1,Bilanço!$1:$151,MATCH(Çeyreklik!$A13,Bilanço!$A:$A,0),0)-HLOOKUP(A$1,Bilanço!$1:$151,MATCH(Çeyreklik!$A13,Bilanço!$A:$A,0),0)),IF(MID(B$2,6,7)="3",HLOOKUP(B$1,Bilanço!$1:$151,MATCH(Çeyreklik!$A13,Bilanço!$A:$A,0),0),HLOOKUP(B$1,Bilanço!$1:$151,MATCH(Çeyreklik!$A13,Bilanço!$A:$A,0),0)-HLOOKUP(Bilanço!$B$1,Bilanço!$1:$151,MATCH(Çeyreklik!$A13,Bilanço!$A:$A,0),0))),"")</f>
        <v>-183824000</v>
      </c>
      <c r="C13" s="2">
        <f>IFERROR(IF(MID(C$2,6,7)="3",HLOOKUP(C$1,Bilanço!$1:$151,MATCH(Çeyreklik!$A13,Bilanço!$A:$A,0),0),HLOOKUP(C$1,Bilanço!$1:$151,MATCH(Çeyreklik!$A13,Bilanço!$A:$A,0),0)-HLOOKUP(B$1,Bilanço!$1:$151,MATCH(Çeyreklik!$A13,Bilanço!$A:$A,0),0)),"")</f>
        <v>-211600000</v>
      </c>
      <c r="D13" s="2">
        <f>IFERROR(IF(MID(D$2,6,7)="3",HLOOKUP(D$1,Bilanço!$1:$151,MATCH(Çeyreklik!$A13,Bilanço!$A:$A,0),0),HLOOKUP(D$1,Bilanço!$1:$151,MATCH(Çeyreklik!$A13,Bilanço!$A:$A,0),0)-HLOOKUP(C$1,Bilanço!$1:$151,MATCH(Çeyreklik!$A13,Bilanço!$A:$A,0),0)),"")</f>
        <v>-252009000</v>
      </c>
      <c r="E13" s="2">
        <f>IFERROR(IF(MID(E$2,6,7)="3",HLOOKUP(E$1,Bilanço!$1:$151,MATCH(Çeyreklik!$A13,Bilanço!$A:$A,0),0),HLOOKUP(E$1,Bilanço!$1:$151,MATCH(Çeyreklik!$A13,Bilanço!$A:$A,0),0)-HLOOKUP(D$1,Bilanço!$1:$151,MATCH(Çeyreklik!$A13,Bilanço!$A:$A,0),0)),"")</f>
        <v>-281943000</v>
      </c>
      <c r="F13" s="2">
        <f>IFERROR(IF(MID(F$2,6,7)="3",HLOOKUP(F$1,Bilanço!$1:$151,MATCH(Çeyreklik!$A13,Bilanço!$A:$A,0),0),HLOOKUP(F$1,Bilanço!$1:$151,MATCH(Çeyreklik!$A13,Bilanço!$A:$A,0),0)-HLOOKUP(E$1,Bilanço!$1:$151,MATCH(Çeyreklik!$A13,Bilanço!$A:$A,0),0)),"")</f>
        <v>-228232000</v>
      </c>
      <c r="G13" s="2">
        <f>IFERROR(IF(MID(G$2,6,7)="3",HLOOKUP(G$1,Bilanço!$1:$151,MATCH(Çeyreklik!$A13,Bilanço!$A:$A,0),0),HLOOKUP(G$1,Bilanço!$1:$151,MATCH(Çeyreklik!$A13,Bilanço!$A:$A,0),0)-HLOOKUP(F$1,Bilanço!$1:$151,MATCH(Çeyreklik!$A13,Bilanço!$A:$A,0),0)),"")</f>
        <v>-270405000</v>
      </c>
      <c r="H13" s="2">
        <f>IFERROR(IF(MID(H$2,6,7)="3",HLOOKUP(H$1,Bilanço!$1:$151,MATCH(Çeyreklik!$A13,Bilanço!$A:$A,0),0),HLOOKUP(H$1,Bilanço!$1:$151,MATCH(Çeyreklik!$A13,Bilanço!$A:$A,0),0)-HLOOKUP(G$1,Bilanço!$1:$151,MATCH(Çeyreklik!$A13,Bilanço!$A:$A,0),0)),"")</f>
        <v>-340018000</v>
      </c>
      <c r="I13" s="2">
        <f>IFERROR(IF(MID(I$2,6,7)="3",HLOOKUP(I$1,Bilanço!$1:$151,MATCH(Çeyreklik!$A13,Bilanço!$A:$A,0),0),HLOOKUP(I$1,Bilanço!$1:$151,MATCH(Çeyreklik!$A13,Bilanço!$A:$A,0),0)-HLOOKUP(H$1,Bilanço!$1:$151,MATCH(Çeyreklik!$A13,Bilanço!$A:$A,0),0)),"")</f>
        <v>-537250000</v>
      </c>
      <c r="J13" s="2">
        <f>IFERROR(IF(MID(J$2,6,7)="3",HLOOKUP(J$1,Bilanço!$1:$151,MATCH(Çeyreklik!$A13,Bilanço!$A:$A,0),0),HLOOKUP(J$1,Bilanço!$1:$151,MATCH(Çeyreklik!$A13,Bilanço!$A:$A,0),0)-HLOOKUP(I$1,Bilanço!$1:$151,MATCH(Çeyreklik!$A13,Bilanço!$A:$A,0),0)),"")</f>
        <v>-484019000</v>
      </c>
      <c r="K13" s="2">
        <f>IFERROR(IF(MID(K$2,6,7)="3",HLOOKUP(K$1,Bilanço!$1:$151,MATCH(Çeyreklik!$A13,Bilanço!$A:$A,0),0),HLOOKUP(K$1,Bilanço!$1:$151,MATCH(Çeyreklik!$A13,Bilanço!$A:$A,0),0)-HLOOKUP(J$1,Bilanço!$1:$151,MATCH(Çeyreklik!$A13,Bilanço!$A:$A,0),0)),"")</f>
        <v>-640371000</v>
      </c>
      <c r="L13" s="2">
        <f>IFERROR(IF(MID(L$2,6,7)="3",HLOOKUP(L$1,Bilanço!$1:$151,MATCH(Çeyreklik!$A13,Bilanço!$A:$A,0),0),HLOOKUP(L$1,Bilanço!$1:$151,MATCH(Çeyreklik!$A13,Bilanço!$A:$A,0),0)-HLOOKUP(K$1,Bilanço!$1:$151,MATCH(Çeyreklik!$A13,Bilanço!$A:$A,0),0)),"")</f>
        <v>-2728001000</v>
      </c>
      <c r="M13" s="2">
        <f>IFERROR(IF(MID(M$2,6,7)="3",HLOOKUP(M$1,Bilanço!$1:$151,MATCH(Çeyreklik!$A13,Bilanço!$A:$A,0),0),HLOOKUP(M$1,Bilanço!$1:$151,MATCH(Çeyreklik!$A13,Bilanço!$A:$A,0),0)-HLOOKUP(L$1,Bilanço!$1:$151,MATCH(Çeyreklik!$A13,Bilanço!$A:$A,0),0)),"")</f>
        <v>-1834367000</v>
      </c>
      <c r="N13" s="2">
        <f>IFERROR(IF(MID(N$2,6,7)="3",HLOOKUP(N$1,Bilanço!$1:$151,MATCH(Çeyreklik!$A13,Bilanço!$A:$A,0),0),HLOOKUP(N$1,Bilanço!$1:$151,MATCH(Çeyreklik!$A13,Bilanço!$A:$A,0),0)-HLOOKUP(M$1,Bilanço!$1:$151,MATCH(Çeyreklik!$A13,Bilanço!$A:$A,0),0)),"")</f>
        <v>-1830140000</v>
      </c>
      <c r="O13" s="2">
        <f>IFERROR(IF(MID(O$2,6,7)="3",HLOOKUP(O$1,Bilanço!$1:$151,MATCH(Çeyreklik!$A13,Bilanço!$A:$A,0),0),HLOOKUP(O$1,Bilanço!$1:$151,MATCH(Çeyreklik!$A13,Bilanço!$A:$A,0),0)-HLOOKUP(N$1,Bilanço!$1:$151,MATCH(Çeyreklik!$A13,Bilanço!$A:$A,0),0)),"")</f>
        <v>-1493086000</v>
      </c>
      <c r="P13" s="2">
        <f>IFERROR(IF(MID(P$2,6,7)="3",HLOOKUP(P$1,Bilanço!$1:$151,MATCH(Çeyreklik!$A13,Bilanço!$A:$A,0),0),HLOOKUP(P$1,Bilanço!$1:$151,MATCH(Çeyreklik!$A13,Bilanço!$A:$A,0),0)-HLOOKUP(O$1,Bilanço!$1:$151,MATCH(Çeyreklik!$A13,Bilanço!$A:$A,0),0)),"")</f>
        <v>-2253511000</v>
      </c>
      <c r="Q13" s="2">
        <f>IFERROR(IF(MID(Q$2,6,7)="3",HLOOKUP(Q$1,Bilanço!$1:$151,MATCH(Çeyreklik!$A13,Bilanço!$A:$A,0),0),HLOOKUP(Q$1,Bilanço!$1:$151,MATCH(Çeyreklik!$A13,Bilanço!$A:$A,0),0)-HLOOKUP(P$1,Bilanço!$1:$151,MATCH(Çeyreklik!$A13,Bilanço!$A:$A,0),0)),"")</f>
        <v>-2818513000</v>
      </c>
      <c r="R13" s="2">
        <f>IFERROR(IF(MID(R$2,6,7)="3",HLOOKUP(R$1,Bilanço!$1:$151,MATCH(Çeyreklik!$A13,Bilanço!$A:$A,0),0),HLOOKUP(R$1,Bilanço!$1:$151,MATCH(Çeyreklik!$A13,Bilanço!$A:$A,0),0)-HLOOKUP(Q$1,Bilanço!$1:$151,MATCH(Çeyreklik!$A13,Bilanço!$A:$A,0),0)),"")</f>
        <v>-2383187000</v>
      </c>
      <c r="S13" s="2">
        <f>IFERROR(IF(MID(S$2,6,7)="3",HLOOKUP(S$1,Bilanço!$1:$151,MATCH(Çeyreklik!$A13,Bilanço!$A:$A,0),0),HLOOKUP(S$1,Bilanço!$1:$151,MATCH(Çeyreklik!$A13,Bilanço!$A:$A,0),0)-HLOOKUP(R$1,Bilanço!$1:$151,MATCH(Çeyreklik!$A13,Bilanço!$A:$A,0),0)),"")</f>
        <v>-2734463000</v>
      </c>
      <c r="T13" s="2">
        <f>IFERROR(IF(MID(T$2,6,7)="3",HLOOKUP(T$1,Bilanço!$1:$151,MATCH(Çeyreklik!$A13,Bilanço!$A:$A,0),0),HLOOKUP(T$1,Bilanço!$1:$151,MATCH(Çeyreklik!$A13,Bilanço!$A:$A,0),0)-HLOOKUP(S$1,Bilanço!$1:$151,MATCH(Çeyreklik!$A13,Bilanço!$A:$A,0),0)),"")</f>
        <v>-2851253168</v>
      </c>
      <c r="U13" s="2">
        <f>IFERROR(IF(MID(U$2,6,7)="3",HLOOKUP(U$1,Bilanço!$1:$151,MATCH(Çeyreklik!$A13,Bilanço!$A:$A,0),0),HLOOKUP(U$1,Bilanço!$1:$151,MATCH(Çeyreklik!$A13,Bilanço!$A:$A,0),0)-HLOOKUP(T$1,Bilanço!$1:$151,MATCH(Çeyreklik!$A13,Bilanço!$A:$A,0),0)),"")</f>
        <v>-3251343000</v>
      </c>
      <c r="V13" s="2">
        <f>IFERROR(IF(MID(V$2,6,7)="3",HLOOKUP(V$1,Bilanço!$1:$151,MATCH(Çeyreklik!$A13,Bilanço!$A:$A,0),0),HLOOKUP(V$1,Bilanço!$1:$151,MATCH(Çeyreklik!$A13,Bilanço!$A:$A,0),0)-HLOOKUP(U$1,Bilanço!$1:$151,MATCH(Çeyreklik!$A13,Bilanço!$A:$A,0),0)),"")</f>
        <v>-2840251000</v>
      </c>
      <c r="W13" s="2">
        <f>IFERROR(IF(MID(W$2,6,7)="3",HLOOKUP(W$1,Bilanço!$1:$151,MATCH(Çeyreklik!$A13,Bilanço!$A:$A,0),0),HLOOKUP(W$1,Bilanço!$1:$151,MATCH(Çeyreklik!$A13,Bilanço!$A:$A,0),0)-HLOOKUP(V$1,Bilanço!$1:$151,MATCH(Çeyreklik!$A13,Bilanço!$A:$A,0),0)),"")</f>
        <v>-3156166000</v>
      </c>
    </row>
    <row r="14" spans="1:23" x14ac:dyDescent="0.25">
      <c r="A14" t="str">
        <f>Data!A85</f>
        <v>Genel Yönetim Giderleri (-)</v>
      </c>
      <c r="B14" s="2">
        <f>IFERROR(IF($B$2="2022/3",IF(MID(B$2,6,7)="3",HLOOKUP(B$1,Bilanço!$1:$151,MATCH(Çeyreklik!$A14,Bilanço!$A:$A,0),0),HLOOKUP(B$1,Bilanço!$1:$151,MATCH(Çeyreklik!$A14,Bilanço!$A:$A,0),0)-HLOOKUP(A$1,Bilanço!$1:$151,MATCH(Çeyreklik!$A14,Bilanço!$A:$A,0),0)),IF(MID(B$2,6,7)="3",HLOOKUP(B$1,Bilanço!$1:$151,MATCH(Çeyreklik!$A14,Bilanço!$A:$A,0),0),HLOOKUP(B$1,Bilanço!$1:$151,MATCH(Çeyreklik!$A14,Bilanço!$A:$A,0),0)-HLOOKUP(Bilanço!$B$1,Bilanço!$1:$151,MATCH(Çeyreklik!$A14,Bilanço!$A:$A,0),0))),"")</f>
        <v>-63808000</v>
      </c>
      <c r="C14" s="2">
        <f>IFERROR(IF(MID(C$2,6,7)="3",HLOOKUP(C$1,Bilanço!$1:$151,MATCH(Çeyreklik!$A14,Bilanço!$A:$A,0),0),HLOOKUP(C$1,Bilanço!$1:$151,MATCH(Çeyreklik!$A14,Bilanço!$A:$A,0),0)-HLOOKUP(B$1,Bilanço!$1:$151,MATCH(Çeyreklik!$A14,Bilanço!$A:$A,0),0)),"")</f>
        <v>-68253000</v>
      </c>
      <c r="D14" s="2">
        <f>IFERROR(IF(MID(D$2,6,7)="3",HLOOKUP(D$1,Bilanço!$1:$151,MATCH(Çeyreklik!$A14,Bilanço!$A:$A,0),0),HLOOKUP(D$1,Bilanço!$1:$151,MATCH(Çeyreklik!$A14,Bilanço!$A:$A,0),0)-HLOOKUP(C$1,Bilanço!$1:$151,MATCH(Çeyreklik!$A14,Bilanço!$A:$A,0),0)),"")</f>
        <v>-71437000</v>
      </c>
      <c r="E14" s="2">
        <f>IFERROR(IF(MID(E$2,6,7)="3",HLOOKUP(E$1,Bilanço!$1:$151,MATCH(Çeyreklik!$A14,Bilanço!$A:$A,0),0),HLOOKUP(E$1,Bilanço!$1:$151,MATCH(Çeyreklik!$A14,Bilanço!$A:$A,0),0)-HLOOKUP(D$1,Bilanço!$1:$151,MATCH(Çeyreklik!$A14,Bilanço!$A:$A,0),0)),"")</f>
        <v>-78118000</v>
      </c>
      <c r="F14" s="2">
        <f>IFERROR(IF(MID(F$2,6,7)="3",HLOOKUP(F$1,Bilanço!$1:$151,MATCH(Çeyreklik!$A14,Bilanço!$A:$A,0),0),HLOOKUP(F$1,Bilanço!$1:$151,MATCH(Çeyreklik!$A14,Bilanço!$A:$A,0),0)-HLOOKUP(E$1,Bilanço!$1:$151,MATCH(Çeyreklik!$A14,Bilanço!$A:$A,0),0)),"")</f>
        <v>-82745000</v>
      </c>
      <c r="G14" s="2">
        <f>IFERROR(IF(MID(G$2,6,7)="3",HLOOKUP(G$1,Bilanço!$1:$151,MATCH(Çeyreklik!$A14,Bilanço!$A:$A,0),0),HLOOKUP(G$1,Bilanço!$1:$151,MATCH(Çeyreklik!$A14,Bilanço!$A:$A,0),0)-HLOOKUP(F$1,Bilanço!$1:$151,MATCH(Çeyreklik!$A14,Bilanço!$A:$A,0),0)),"")</f>
        <v>-82105000</v>
      </c>
      <c r="H14" s="2">
        <f>IFERROR(IF(MID(H$2,6,7)="3",HLOOKUP(H$1,Bilanço!$1:$151,MATCH(Çeyreklik!$A14,Bilanço!$A:$A,0),0),HLOOKUP(H$1,Bilanço!$1:$151,MATCH(Çeyreklik!$A14,Bilanço!$A:$A,0),0)-HLOOKUP(G$1,Bilanço!$1:$151,MATCH(Çeyreklik!$A14,Bilanço!$A:$A,0),0)),"")</f>
        <v>-110713000</v>
      </c>
      <c r="I14" s="2">
        <f>IFERROR(IF(MID(I$2,6,7)="3",HLOOKUP(I$1,Bilanço!$1:$151,MATCH(Çeyreklik!$A14,Bilanço!$A:$A,0),0),HLOOKUP(I$1,Bilanço!$1:$151,MATCH(Çeyreklik!$A14,Bilanço!$A:$A,0),0)-HLOOKUP(H$1,Bilanço!$1:$151,MATCH(Çeyreklik!$A14,Bilanço!$A:$A,0),0)),"")</f>
        <v>-132796000</v>
      </c>
      <c r="J14" s="2">
        <f>IFERROR(IF(MID(J$2,6,7)="3",HLOOKUP(J$1,Bilanço!$1:$151,MATCH(Çeyreklik!$A14,Bilanço!$A:$A,0),0),HLOOKUP(J$1,Bilanço!$1:$151,MATCH(Çeyreklik!$A14,Bilanço!$A:$A,0),0)-HLOOKUP(I$1,Bilanço!$1:$151,MATCH(Çeyreklik!$A14,Bilanço!$A:$A,0),0)),"")</f>
        <v>-145579000</v>
      </c>
      <c r="K14" s="2">
        <f>IFERROR(IF(MID(K$2,6,7)="3",HLOOKUP(K$1,Bilanço!$1:$151,MATCH(Çeyreklik!$A14,Bilanço!$A:$A,0),0),HLOOKUP(K$1,Bilanço!$1:$151,MATCH(Çeyreklik!$A14,Bilanço!$A:$A,0),0)-HLOOKUP(J$1,Bilanço!$1:$151,MATCH(Çeyreklik!$A14,Bilanço!$A:$A,0),0)),"")</f>
        <v>-194805000</v>
      </c>
      <c r="L14" s="2">
        <f>IFERROR(IF(MID(L$2,6,7)="3",HLOOKUP(L$1,Bilanço!$1:$151,MATCH(Çeyreklik!$A14,Bilanço!$A:$A,0),0),HLOOKUP(L$1,Bilanço!$1:$151,MATCH(Çeyreklik!$A14,Bilanço!$A:$A,0),0)-HLOOKUP(K$1,Bilanço!$1:$151,MATCH(Çeyreklik!$A14,Bilanço!$A:$A,0),0)),"")</f>
        <v>-765583000</v>
      </c>
      <c r="M14" s="2">
        <f>IFERROR(IF(MID(M$2,6,7)="3",HLOOKUP(M$1,Bilanço!$1:$151,MATCH(Çeyreklik!$A14,Bilanço!$A:$A,0),0),HLOOKUP(M$1,Bilanço!$1:$151,MATCH(Çeyreklik!$A14,Bilanço!$A:$A,0),0)-HLOOKUP(L$1,Bilanço!$1:$151,MATCH(Çeyreklik!$A14,Bilanço!$A:$A,0),0)),"")</f>
        <v>-388910000</v>
      </c>
      <c r="N14" s="2">
        <f>IFERROR(IF(MID(N$2,6,7)="3",HLOOKUP(N$1,Bilanço!$1:$151,MATCH(Çeyreklik!$A14,Bilanço!$A:$A,0),0),HLOOKUP(N$1,Bilanço!$1:$151,MATCH(Çeyreklik!$A14,Bilanço!$A:$A,0),0)-HLOOKUP(M$1,Bilanço!$1:$151,MATCH(Çeyreklik!$A14,Bilanço!$A:$A,0),0)),"")</f>
        <v>-480975000</v>
      </c>
      <c r="O14" s="2">
        <f>IFERROR(IF(MID(O$2,6,7)="3",HLOOKUP(O$1,Bilanço!$1:$151,MATCH(Çeyreklik!$A14,Bilanço!$A:$A,0),0),HLOOKUP(O$1,Bilanço!$1:$151,MATCH(Çeyreklik!$A14,Bilanço!$A:$A,0),0)-HLOOKUP(N$1,Bilanço!$1:$151,MATCH(Çeyreklik!$A14,Bilanço!$A:$A,0),0)),"")</f>
        <v>-543018000</v>
      </c>
      <c r="P14" s="2">
        <f>IFERROR(IF(MID(P$2,6,7)="3",HLOOKUP(P$1,Bilanço!$1:$151,MATCH(Çeyreklik!$A14,Bilanço!$A:$A,0),0),HLOOKUP(P$1,Bilanço!$1:$151,MATCH(Çeyreklik!$A14,Bilanço!$A:$A,0),0)-HLOOKUP(O$1,Bilanço!$1:$151,MATCH(Çeyreklik!$A14,Bilanço!$A:$A,0),0)),"")</f>
        <v>-591474000</v>
      </c>
      <c r="Q14" s="2">
        <f>IFERROR(IF(MID(Q$2,6,7)="3",HLOOKUP(Q$1,Bilanço!$1:$151,MATCH(Çeyreklik!$A14,Bilanço!$A:$A,0),0),HLOOKUP(Q$1,Bilanço!$1:$151,MATCH(Çeyreklik!$A14,Bilanço!$A:$A,0),0)-HLOOKUP(P$1,Bilanço!$1:$151,MATCH(Çeyreklik!$A14,Bilanço!$A:$A,0),0)),"")</f>
        <v>-664690000</v>
      </c>
      <c r="R14" s="2">
        <f>IFERROR(IF(MID(R$2,6,7)="3",HLOOKUP(R$1,Bilanço!$1:$151,MATCH(Çeyreklik!$A14,Bilanço!$A:$A,0),0),HLOOKUP(R$1,Bilanço!$1:$151,MATCH(Çeyreklik!$A14,Bilanço!$A:$A,0),0)-HLOOKUP(Q$1,Bilanço!$1:$151,MATCH(Çeyreklik!$A14,Bilanço!$A:$A,0),0)),"")</f>
        <v>-581281000</v>
      </c>
      <c r="S14" s="2">
        <f>IFERROR(IF(MID(S$2,6,7)="3",HLOOKUP(S$1,Bilanço!$1:$151,MATCH(Çeyreklik!$A14,Bilanço!$A:$A,0),0),HLOOKUP(S$1,Bilanço!$1:$151,MATCH(Çeyreklik!$A14,Bilanço!$A:$A,0),0)-HLOOKUP(R$1,Bilanço!$1:$151,MATCH(Çeyreklik!$A14,Bilanço!$A:$A,0),0)),"")</f>
        <v>-854221000</v>
      </c>
      <c r="T14" s="2">
        <f>IFERROR(IF(MID(T$2,6,7)="3",HLOOKUP(T$1,Bilanço!$1:$151,MATCH(Çeyreklik!$A14,Bilanço!$A:$A,0),0),HLOOKUP(T$1,Bilanço!$1:$151,MATCH(Çeyreklik!$A14,Bilanço!$A:$A,0),0)-HLOOKUP(S$1,Bilanço!$1:$151,MATCH(Çeyreklik!$A14,Bilanço!$A:$A,0),0)),"")</f>
        <v>-753992137</v>
      </c>
      <c r="U14" s="2">
        <f>IFERROR(IF(MID(U$2,6,7)="3",HLOOKUP(U$1,Bilanço!$1:$151,MATCH(Çeyreklik!$A14,Bilanço!$A:$A,0),0),HLOOKUP(U$1,Bilanço!$1:$151,MATCH(Çeyreklik!$A14,Bilanço!$A:$A,0),0)-HLOOKUP(T$1,Bilanço!$1:$151,MATCH(Çeyreklik!$A14,Bilanço!$A:$A,0),0)),"")</f>
        <v>-660350000</v>
      </c>
      <c r="V14" s="2">
        <f>IFERROR(IF(MID(V$2,6,7)="3",HLOOKUP(V$1,Bilanço!$1:$151,MATCH(Çeyreklik!$A14,Bilanço!$A:$A,0),0),HLOOKUP(V$1,Bilanço!$1:$151,MATCH(Çeyreklik!$A14,Bilanço!$A:$A,0),0)-HLOOKUP(U$1,Bilanço!$1:$151,MATCH(Çeyreklik!$A14,Bilanço!$A:$A,0),0)),"")</f>
        <v>-684321000</v>
      </c>
      <c r="W14" s="2">
        <f>IFERROR(IF(MID(W$2,6,7)="3",HLOOKUP(W$1,Bilanço!$1:$151,MATCH(Çeyreklik!$A14,Bilanço!$A:$A,0),0),HLOOKUP(W$1,Bilanço!$1:$151,MATCH(Çeyreklik!$A14,Bilanço!$A:$A,0),0)-HLOOKUP(V$1,Bilanço!$1:$151,MATCH(Çeyreklik!$A14,Bilanço!$A:$A,0),0)),"")</f>
        <v>-800168000</v>
      </c>
    </row>
    <row r="15" spans="1:23" x14ac:dyDescent="0.25">
      <c r="A15" t="str">
        <f>Data!A86</f>
        <v>Araştırma ve Geliştirme Giderleri (-)</v>
      </c>
      <c r="B15" s="2">
        <f>IFERROR(IF($B$2="2022/3",IF(MID(B$2,6,7)="3",HLOOKUP(B$1,Bilanço!$1:$151,MATCH(Çeyreklik!$A15,Bilanço!$A:$A,0),0),HLOOKUP(B$1,Bilanço!$1:$151,MATCH(Çeyreklik!$A15,Bilanço!$A:$A,0),0)-HLOOKUP(A$1,Bilanço!$1:$151,MATCH(Çeyreklik!$A15,Bilanço!$A:$A,0),0)),IF(MID(B$2,6,7)="3",HLOOKUP(B$1,Bilanço!$1:$151,MATCH(Çeyreklik!$A15,Bilanço!$A:$A,0),0),HLOOKUP(B$1,Bilanço!$1:$151,MATCH(Çeyreklik!$A15,Bilanço!$A:$A,0),0)-HLOOKUP(Bilanço!$B$1,Bilanço!$1:$151,MATCH(Çeyreklik!$A15,Bilanço!$A:$A,0),0))),"")</f>
        <v>-5494000</v>
      </c>
      <c r="C15" s="2">
        <f>IFERROR(IF(MID(C$2,6,7)="3",HLOOKUP(C$1,Bilanço!$1:$151,MATCH(Çeyreklik!$A15,Bilanço!$A:$A,0),0),HLOOKUP(C$1,Bilanço!$1:$151,MATCH(Çeyreklik!$A15,Bilanço!$A:$A,0),0)-HLOOKUP(B$1,Bilanço!$1:$151,MATCH(Çeyreklik!$A15,Bilanço!$A:$A,0),0)),"")</f>
        <v>-5526000</v>
      </c>
      <c r="D15" s="2">
        <f>IFERROR(IF(MID(D$2,6,7)="3",HLOOKUP(D$1,Bilanço!$1:$151,MATCH(Çeyreklik!$A15,Bilanço!$A:$A,0),0),HLOOKUP(D$1,Bilanço!$1:$151,MATCH(Çeyreklik!$A15,Bilanço!$A:$A,0),0)-HLOOKUP(C$1,Bilanço!$1:$151,MATCH(Çeyreklik!$A15,Bilanço!$A:$A,0),0)),"")</f>
        <v>-7412000</v>
      </c>
      <c r="E15" s="2">
        <f>IFERROR(IF(MID(E$2,6,7)="3",HLOOKUP(E$1,Bilanço!$1:$151,MATCH(Çeyreklik!$A15,Bilanço!$A:$A,0),0),HLOOKUP(E$1,Bilanço!$1:$151,MATCH(Çeyreklik!$A15,Bilanço!$A:$A,0),0)-HLOOKUP(D$1,Bilanço!$1:$151,MATCH(Çeyreklik!$A15,Bilanço!$A:$A,0),0)),"")</f>
        <v>-8865000</v>
      </c>
      <c r="F15" s="2">
        <f>IFERROR(IF(MID(F$2,6,7)="3",HLOOKUP(F$1,Bilanço!$1:$151,MATCH(Çeyreklik!$A15,Bilanço!$A:$A,0),0),HLOOKUP(F$1,Bilanço!$1:$151,MATCH(Çeyreklik!$A15,Bilanço!$A:$A,0),0)-HLOOKUP(E$1,Bilanço!$1:$151,MATCH(Çeyreklik!$A15,Bilanço!$A:$A,0),0)),"")</f>
        <v>-9895000</v>
      </c>
      <c r="G15" s="2">
        <f>IFERROR(IF(MID(G$2,6,7)="3",HLOOKUP(G$1,Bilanço!$1:$151,MATCH(Çeyreklik!$A15,Bilanço!$A:$A,0),0),HLOOKUP(G$1,Bilanço!$1:$151,MATCH(Çeyreklik!$A15,Bilanço!$A:$A,0),0)-HLOOKUP(F$1,Bilanço!$1:$151,MATCH(Çeyreklik!$A15,Bilanço!$A:$A,0),0)),"")</f>
        <v>-8310000</v>
      </c>
      <c r="H15" s="2">
        <f>IFERROR(IF(MID(H$2,6,7)="3",HLOOKUP(H$1,Bilanço!$1:$151,MATCH(Çeyreklik!$A15,Bilanço!$A:$A,0),0),HLOOKUP(H$1,Bilanço!$1:$151,MATCH(Çeyreklik!$A15,Bilanço!$A:$A,0),0)-HLOOKUP(G$1,Bilanço!$1:$151,MATCH(Çeyreklik!$A15,Bilanço!$A:$A,0),0)),"")</f>
        <v>-12716000</v>
      </c>
      <c r="I15" s="2">
        <f>IFERROR(IF(MID(I$2,6,7)="3",HLOOKUP(I$1,Bilanço!$1:$151,MATCH(Çeyreklik!$A15,Bilanço!$A:$A,0),0),HLOOKUP(I$1,Bilanço!$1:$151,MATCH(Çeyreklik!$A15,Bilanço!$A:$A,0),0)-HLOOKUP(H$1,Bilanço!$1:$151,MATCH(Çeyreklik!$A15,Bilanço!$A:$A,0),0)),"")</f>
        <v>-12484000</v>
      </c>
      <c r="J15" s="2">
        <f>IFERROR(IF(MID(J$2,6,7)="3",HLOOKUP(J$1,Bilanço!$1:$151,MATCH(Çeyreklik!$A15,Bilanço!$A:$A,0),0),HLOOKUP(J$1,Bilanço!$1:$151,MATCH(Çeyreklik!$A15,Bilanço!$A:$A,0),0)-HLOOKUP(I$1,Bilanço!$1:$151,MATCH(Çeyreklik!$A15,Bilanço!$A:$A,0),0)),"")</f>
        <v>-17230000</v>
      </c>
      <c r="K15" s="2">
        <f>IFERROR(IF(MID(K$2,6,7)="3",HLOOKUP(K$1,Bilanço!$1:$151,MATCH(Çeyreklik!$A15,Bilanço!$A:$A,0),0),HLOOKUP(K$1,Bilanço!$1:$151,MATCH(Çeyreklik!$A15,Bilanço!$A:$A,0),0)-HLOOKUP(J$1,Bilanço!$1:$151,MATCH(Çeyreklik!$A15,Bilanço!$A:$A,0),0)),"")</f>
        <v>-20831000</v>
      </c>
      <c r="L15" s="2">
        <f>IFERROR(IF(MID(L$2,6,7)="3",HLOOKUP(L$1,Bilanço!$1:$151,MATCH(Çeyreklik!$A15,Bilanço!$A:$A,0),0),HLOOKUP(L$1,Bilanço!$1:$151,MATCH(Çeyreklik!$A15,Bilanço!$A:$A,0),0)-HLOOKUP(K$1,Bilanço!$1:$151,MATCH(Çeyreklik!$A15,Bilanço!$A:$A,0),0)),"")</f>
        <v>-114104000</v>
      </c>
      <c r="M15" s="2">
        <f>IFERROR(IF(MID(M$2,6,7)="3",HLOOKUP(M$1,Bilanço!$1:$151,MATCH(Çeyreklik!$A15,Bilanço!$A:$A,0),0),HLOOKUP(M$1,Bilanço!$1:$151,MATCH(Çeyreklik!$A15,Bilanço!$A:$A,0),0)-HLOOKUP(L$1,Bilanço!$1:$151,MATCH(Çeyreklik!$A15,Bilanço!$A:$A,0),0)),"")</f>
        <v>-75297000</v>
      </c>
      <c r="N15" s="2">
        <f>IFERROR(IF(MID(N$2,6,7)="3",HLOOKUP(N$1,Bilanço!$1:$151,MATCH(Çeyreklik!$A15,Bilanço!$A:$A,0),0),HLOOKUP(N$1,Bilanço!$1:$151,MATCH(Çeyreklik!$A15,Bilanço!$A:$A,0),0)-HLOOKUP(M$1,Bilanço!$1:$151,MATCH(Çeyreklik!$A15,Bilanço!$A:$A,0),0)),"")</f>
        <v>-81748000</v>
      </c>
      <c r="O15" s="2">
        <f>IFERROR(IF(MID(O$2,6,7)="3",HLOOKUP(O$1,Bilanço!$1:$151,MATCH(Çeyreklik!$A15,Bilanço!$A:$A,0),0),HLOOKUP(O$1,Bilanço!$1:$151,MATCH(Çeyreklik!$A15,Bilanço!$A:$A,0),0)-HLOOKUP(N$1,Bilanço!$1:$151,MATCH(Çeyreklik!$A15,Bilanço!$A:$A,0),0)),"")</f>
        <v>-81514000</v>
      </c>
      <c r="P15" s="2">
        <f>IFERROR(IF(MID(P$2,6,7)="3",HLOOKUP(P$1,Bilanço!$1:$151,MATCH(Çeyreklik!$A15,Bilanço!$A:$A,0),0),HLOOKUP(P$1,Bilanço!$1:$151,MATCH(Çeyreklik!$A15,Bilanço!$A:$A,0),0)-HLOOKUP(O$1,Bilanço!$1:$151,MATCH(Çeyreklik!$A15,Bilanço!$A:$A,0),0)),"")</f>
        <v>-106080000</v>
      </c>
      <c r="Q15" s="2">
        <f>IFERROR(IF(MID(Q$2,6,7)="3",HLOOKUP(Q$1,Bilanço!$1:$151,MATCH(Çeyreklik!$A15,Bilanço!$A:$A,0),0),HLOOKUP(Q$1,Bilanço!$1:$151,MATCH(Çeyreklik!$A15,Bilanço!$A:$A,0),0)-HLOOKUP(P$1,Bilanço!$1:$151,MATCH(Çeyreklik!$A15,Bilanço!$A:$A,0),0)),"")</f>
        <v>-107188000</v>
      </c>
      <c r="R15" s="2">
        <f>IFERROR(IF(MID(R$2,6,7)="3",HLOOKUP(R$1,Bilanço!$1:$151,MATCH(Çeyreklik!$A15,Bilanço!$A:$A,0),0),HLOOKUP(R$1,Bilanço!$1:$151,MATCH(Çeyreklik!$A15,Bilanço!$A:$A,0),0)-HLOOKUP(Q$1,Bilanço!$1:$151,MATCH(Çeyreklik!$A15,Bilanço!$A:$A,0),0)),"")</f>
        <v>-99137000</v>
      </c>
      <c r="S15" s="2">
        <f>IFERROR(IF(MID(S$2,6,7)="3",HLOOKUP(S$1,Bilanço!$1:$151,MATCH(Çeyreklik!$A15,Bilanço!$A:$A,0),0),HLOOKUP(S$1,Bilanço!$1:$151,MATCH(Çeyreklik!$A15,Bilanço!$A:$A,0),0)-HLOOKUP(R$1,Bilanço!$1:$151,MATCH(Çeyreklik!$A15,Bilanço!$A:$A,0),0)),"")</f>
        <v>-121302000</v>
      </c>
      <c r="T15" s="2">
        <f>IFERROR(IF(MID(T$2,6,7)="3",HLOOKUP(T$1,Bilanço!$1:$151,MATCH(Çeyreklik!$A15,Bilanço!$A:$A,0),0),HLOOKUP(T$1,Bilanço!$1:$151,MATCH(Çeyreklik!$A15,Bilanço!$A:$A,0),0)-HLOOKUP(S$1,Bilanço!$1:$151,MATCH(Çeyreklik!$A15,Bilanço!$A:$A,0),0)),"")</f>
        <v>-193066339</v>
      </c>
      <c r="U15" s="2">
        <f>IFERROR(IF(MID(U$2,6,7)="3",HLOOKUP(U$1,Bilanço!$1:$151,MATCH(Çeyreklik!$A15,Bilanço!$A:$A,0),0),HLOOKUP(U$1,Bilanço!$1:$151,MATCH(Çeyreklik!$A15,Bilanço!$A:$A,0),0)-HLOOKUP(T$1,Bilanço!$1:$151,MATCH(Çeyreklik!$A15,Bilanço!$A:$A,0),0)),"")</f>
        <v>-140298000</v>
      </c>
      <c r="V15" s="2">
        <f>IFERROR(IF(MID(V$2,6,7)="3",HLOOKUP(V$1,Bilanço!$1:$151,MATCH(Çeyreklik!$A15,Bilanço!$A:$A,0),0),HLOOKUP(V$1,Bilanço!$1:$151,MATCH(Çeyreklik!$A15,Bilanço!$A:$A,0),0)-HLOOKUP(U$1,Bilanço!$1:$151,MATCH(Çeyreklik!$A15,Bilanço!$A:$A,0),0)),"")</f>
        <v>-142102000</v>
      </c>
      <c r="W15" s="2">
        <f>IFERROR(IF(MID(W$2,6,7)="3",HLOOKUP(W$1,Bilanço!$1:$151,MATCH(Çeyreklik!$A15,Bilanço!$A:$A,0),0),HLOOKUP(W$1,Bilanço!$1:$151,MATCH(Çeyreklik!$A15,Bilanço!$A:$A,0),0)-HLOOKUP(V$1,Bilanço!$1:$151,MATCH(Çeyreklik!$A15,Bilanço!$A:$A,0),0)),"")</f>
        <v>-170459000</v>
      </c>
    </row>
    <row r="16" spans="1:23" x14ac:dyDescent="0.25">
      <c r="A16" t="str">
        <f>Data!A87</f>
        <v>Diğer Faaliyet Gelirleri</v>
      </c>
      <c r="B16" s="2">
        <f>IFERROR(IF($B$2="2022/3",IF(MID(B$2,6,7)="3",HLOOKUP(B$1,Bilanço!$1:$151,MATCH(Çeyreklik!$A16,Bilanço!$A:$A,0),0),HLOOKUP(B$1,Bilanço!$1:$151,MATCH(Çeyreklik!$A16,Bilanço!$A:$A,0),0)-HLOOKUP(A$1,Bilanço!$1:$151,MATCH(Çeyreklik!$A16,Bilanço!$A:$A,0),0)),IF(MID(B$2,6,7)="3",HLOOKUP(B$1,Bilanço!$1:$151,MATCH(Çeyreklik!$A16,Bilanço!$A:$A,0),0),HLOOKUP(B$1,Bilanço!$1:$151,MATCH(Çeyreklik!$A16,Bilanço!$A:$A,0),0)-HLOOKUP(Bilanço!$B$1,Bilanço!$1:$151,MATCH(Çeyreklik!$A16,Bilanço!$A:$A,0),0))),"")</f>
        <v>42459000</v>
      </c>
      <c r="C16" s="2">
        <f>IFERROR(IF(MID(C$2,6,7)="3",HLOOKUP(C$1,Bilanço!$1:$151,MATCH(Çeyreklik!$A16,Bilanço!$A:$A,0),0),HLOOKUP(C$1,Bilanço!$1:$151,MATCH(Çeyreklik!$A16,Bilanço!$A:$A,0),0)-HLOOKUP(B$1,Bilanço!$1:$151,MATCH(Çeyreklik!$A16,Bilanço!$A:$A,0),0)),"")</f>
        <v>149729000</v>
      </c>
      <c r="D16" s="2">
        <f>IFERROR(IF(MID(D$2,6,7)="3",HLOOKUP(D$1,Bilanço!$1:$151,MATCH(Çeyreklik!$A16,Bilanço!$A:$A,0),0),HLOOKUP(D$1,Bilanço!$1:$151,MATCH(Çeyreklik!$A16,Bilanço!$A:$A,0),0)-HLOOKUP(C$1,Bilanço!$1:$151,MATCH(Çeyreklik!$A16,Bilanço!$A:$A,0),0)),"")</f>
        <v>42584000</v>
      </c>
      <c r="E16" s="2">
        <f>IFERROR(IF(MID(E$2,6,7)="3",HLOOKUP(E$1,Bilanço!$1:$151,MATCH(Çeyreklik!$A16,Bilanço!$A:$A,0),0),HLOOKUP(E$1,Bilanço!$1:$151,MATCH(Çeyreklik!$A16,Bilanço!$A:$A,0),0)-HLOOKUP(D$1,Bilanço!$1:$151,MATCH(Çeyreklik!$A16,Bilanço!$A:$A,0),0)),"")</f>
        <v>126614000</v>
      </c>
      <c r="F16" s="2">
        <f>IFERROR(IF(MID(F$2,6,7)="3",HLOOKUP(F$1,Bilanço!$1:$151,MATCH(Çeyreklik!$A16,Bilanço!$A:$A,0),0),HLOOKUP(F$1,Bilanço!$1:$151,MATCH(Çeyreklik!$A16,Bilanço!$A:$A,0),0)-HLOOKUP(E$1,Bilanço!$1:$151,MATCH(Çeyreklik!$A16,Bilanço!$A:$A,0),0)),"")</f>
        <v>60538000</v>
      </c>
      <c r="G16" s="2">
        <f>IFERROR(IF(MID(G$2,6,7)="3",HLOOKUP(G$1,Bilanço!$1:$151,MATCH(Çeyreklik!$A16,Bilanço!$A:$A,0),0),HLOOKUP(G$1,Bilanço!$1:$151,MATCH(Çeyreklik!$A16,Bilanço!$A:$A,0),0)-HLOOKUP(F$1,Bilanço!$1:$151,MATCH(Çeyreklik!$A16,Bilanço!$A:$A,0),0)),"")</f>
        <v>13302000</v>
      </c>
      <c r="H16" s="2">
        <f>IFERROR(IF(MID(H$2,6,7)="3",HLOOKUP(H$1,Bilanço!$1:$151,MATCH(Çeyreklik!$A16,Bilanço!$A:$A,0),0),HLOOKUP(H$1,Bilanço!$1:$151,MATCH(Çeyreklik!$A16,Bilanço!$A:$A,0),0)-HLOOKUP(G$1,Bilanço!$1:$151,MATCH(Çeyreklik!$A16,Bilanço!$A:$A,0),0)),"")</f>
        <v>695533000</v>
      </c>
      <c r="I16" s="2">
        <f>IFERROR(IF(MID(I$2,6,7)="3",HLOOKUP(I$1,Bilanço!$1:$151,MATCH(Çeyreklik!$A16,Bilanço!$A:$A,0),0),HLOOKUP(I$1,Bilanço!$1:$151,MATCH(Çeyreklik!$A16,Bilanço!$A:$A,0),0)-HLOOKUP(H$1,Bilanço!$1:$151,MATCH(Çeyreklik!$A16,Bilanço!$A:$A,0),0)),"")</f>
        <v>422510000</v>
      </c>
      <c r="J16" s="2">
        <f>IFERROR(IF(MID(J$2,6,7)="3",HLOOKUP(J$1,Bilanço!$1:$151,MATCH(Çeyreklik!$A16,Bilanço!$A:$A,0),0),HLOOKUP(J$1,Bilanço!$1:$151,MATCH(Çeyreklik!$A16,Bilanço!$A:$A,0),0)-HLOOKUP(I$1,Bilanço!$1:$151,MATCH(Çeyreklik!$A16,Bilanço!$A:$A,0),0)),"")</f>
        <v>257552000</v>
      </c>
      <c r="K16" s="2">
        <f>IFERROR(IF(MID(K$2,6,7)="3",HLOOKUP(K$1,Bilanço!$1:$151,MATCH(Çeyreklik!$A16,Bilanço!$A:$A,0),0),HLOOKUP(K$1,Bilanço!$1:$151,MATCH(Çeyreklik!$A16,Bilanço!$A:$A,0),0)-HLOOKUP(J$1,Bilanço!$1:$151,MATCH(Çeyreklik!$A16,Bilanço!$A:$A,0),0)),"")</f>
        <v>365348000</v>
      </c>
      <c r="L16" s="2">
        <f>IFERROR(IF(MID(L$2,6,7)="3",HLOOKUP(L$1,Bilanço!$1:$151,MATCH(Çeyreklik!$A16,Bilanço!$A:$A,0),0),HLOOKUP(L$1,Bilanço!$1:$151,MATCH(Çeyreklik!$A16,Bilanço!$A:$A,0),0)-HLOOKUP(K$1,Bilanço!$1:$151,MATCH(Çeyreklik!$A16,Bilanço!$A:$A,0),0)),"")</f>
        <v>1356341000</v>
      </c>
      <c r="M16" s="2">
        <f>IFERROR(IF(MID(M$2,6,7)="3",HLOOKUP(M$1,Bilanço!$1:$151,MATCH(Çeyreklik!$A16,Bilanço!$A:$A,0),0),HLOOKUP(M$1,Bilanço!$1:$151,MATCH(Çeyreklik!$A16,Bilanço!$A:$A,0),0)-HLOOKUP(L$1,Bilanço!$1:$151,MATCH(Çeyreklik!$A16,Bilanço!$A:$A,0),0)),"")</f>
        <v>437588000</v>
      </c>
      <c r="N16" s="2">
        <f>IFERROR(IF(MID(N$2,6,7)="3",HLOOKUP(N$1,Bilanço!$1:$151,MATCH(Çeyreklik!$A16,Bilanço!$A:$A,0),0),HLOOKUP(N$1,Bilanço!$1:$151,MATCH(Çeyreklik!$A16,Bilanço!$A:$A,0),0)-HLOOKUP(M$1,Bilanço!$1:$151,MATCH(Çeyreklik!$A16,Bilanço!$A:$A,0),0)),"")</f>
        <v>2098158000</v>
      </c>
      <c r="O16" s="2">
        <f>IFERROR(IF(MID(O$2,6,7)="3",HLOOKUP(O$1,Bilanço!$1:$151,MATCH(Çeyreklik!$A16,Bilanço!$A:$A,0),0),HLOOKUP(O$1,Bilanço!$1:$151,MATCH(Çeyreklik!$A16,Bilanço!$A:$A,0),0)-HLOOKUP(N$1,Bilanço!$1:$151,MATCH(Çeyreklik!$A16,Bilanço!$A:$A,0),0)),"")</f>
        <v>587727000</v>
      </c>
      <c r="P16" s="2">
        <f>IFERROR(IF(MID(P$2,6,7)="3",HLOOKUP(P$1,Bilanço!$1:$151,MATCH(Çeyreklik!$A16,Bilanço!$A:$A,0),0),HLOOKUP(P$1,Bilanço!$1:$151,MATCH(Çeyreklik!$A16,Bilanço!$A:$A,0),0)-HLOOKUP(O$1,Bilanço!$1:$151,MATCH(Çeyreklik!$A16,Bilanço!$A:$A,0),0)),"")</f>
        <v>840647000</v>
      </c>
      <c r="Q16" s="2">
        <f>IFERROR(IF(MID(Q$2,6,7)="3",HLOOKUP(Q$1,Bilanço!$1:$151,MATCH(Çeyreklik!$A16,Bilanço!$A:$A,0),0),HLOOKUP(Q$1,Bilanço!$1:$151,MATCH(Çeyreklik!$A16,Bilanço!$A:$A,0),0)-HLOOKUP(P$1,Bilanço!$1:$151,MATCH(Çeyreklik!$A16,Bilanço!$A:$A,0),0)),"")</f>
        <v>1866214000</v>
      </c>
      <c r="R16" s="2">
        <f>IFERROR(IF(MID(R$2,6,7)="3",HLOOKUP(R$1,Bilanço!$1:$151,MATCH(Çeyreklik!$A16,Bilanço!$A:$A,0),0),HLOOKUP(R$1,Bilanço!$1:$151,MATCH(Çeyreklik!$A16,Bilanço!$A:$A,0),0)-HLOOKUP(Q$1,Bilanço!$1:$151,MATCH(Çeyreklik!$A16,Bilanço!$A:$A,0),0)),"")</f>
        <v>116452000</v>
      </c>
      <c r="S16" s="2">
        <f>IFERROR(IF(MID(S$2,6,7)="3",HLOOKUP(S$1,Bilanço!$1:$151,MATCH(Çeyreklik!$A16,Bilanço!$A:$A,0),0),HLOOKUP(S$1,Bilanço!$1:$151,MATCH(Çeyreklik!$A16,Bilanço!$A:$A,0),0)-HLOOKUP(R$1,Bilanço!$1:$151,MATCH(Çeyreklik!$A16,Bilanço!$A:$A,0),0)),"")</f>
        <v>328394000</v>
      </c>
      <c r="T16" s="2">
        <f>IFERROR(IF(MID(T$2,6,7)="3",HLOOKUP(T$1,Bilanço!$1:$151,MATCH(Çeyreklik!$A16,Bilanço!$A:$A,0),0),HLOOKUP(T$1,Bilanço!$1:$151,MATCH(Çeyreklik!$A16,Bilanço!$A:$A,0),0)-HLOOKUP(S$1,Bilanço!$1:$151,MATCH(Çeyreklik!$A16,Bilanço!$A:$A,0),0)),"")</f>
        <v>295375615</v>
      </c>
      <c r="U16" s="2">
        <f>IFERROR(IF(MID(U$2,6,7)="3",HLOOKUP(U$1,Bilanço!$1:$151,MATCH(Çeyreklik!$A16,Bilanço!$A:$A,0),0),HLOOKUP(U$1,Bilanço!$1:$151,MATCH(Çeyreklik!$A16,Bilanço!$A:$A,0),0)-HLOOKUP(T$1,Bilanço!$1:$151,MATCH(Çeyreklik!$A16,Bilanço!$A:$A,0),0)),"")</f>
        <v>1131685000</v>
      </c>
      <c r="V16" s="2">
        <f>IFERROR(IF(MID(V$2,6,7)="3",HLOOKUP(V$1,Bilanço!$1:$151,MATCH(Çeyreklik!$A16,Bilanço!$A:$A,0),0),HLOOKUP(V$1,Bilanço!$1:$151,MATCH(Çeyreklik!$A16,Bilanço!$A:$A,0),0)-HLOOKUP(U$1,Bilanço!$1:$151,MATCH(Çeyreklik!$A16,Bilanço!$A:$A,0),0)),"")</f>
        <v>495774000</v>
      </c>
      <c r="W16" s="2">
        <f>IFERROR(IF(MID(W$2,6,7)="3",HLOOKUP(W$1,Bilanço!$1:$151,MATCH(Çeyreklik!$A16,Bilanço!$A:$A,0),0),HLOOKUP(W$1,Bilanço!$1:$151,MATCH(Çeyreklik!$A16,Bilanço!$A:$A,0),0)-HLOOKUP(V$1,Bilanço!$1:$151,MATCH(Çeyreklik!$A16,Bilanço!$A:$A,0),0)),"")</f>
        <v>792453000</v>
      </c>
    </row>
    <row r="17" spans="1:23" x14ac:dyDescent="0.25">
      <c r="A17" t="str">
        <f>Data!A88</f>
        <v>Diğer Faaliyet Giderleri (-)</v>
      </c>
      <c r="B17" s="2">
        <f>IFERROR(IF($B$2="2022/3",IF(MID(B$2,6,7)="3",HLOOKUP(B$1,Bilanço!$1:$151,MATCH(Çeyreklik!$A17,Bilanço!$A:$A,0),0),HLOOKUP(B$1,Bilanço!$1:$151,MATCH(Çeyreklik!$A17,Bilanço!$A:$A,0),0)-HLOOKUP(A$1,Bilanço!$1:$151,MATCH(Çeyreklik!$A17,Bilanço!$A:$A,0),0)),IF(MID(B$2,6,7)="3",HLOOKUP(B$1,Bilanço!$1:$151,MATCH(Çeyreklik!$A17,Bilanço!$A:$A,0),0),HLOOKUP(B$1,Bilanço!$1:$151,MATCH(Çeyreklik!$A17,Bilanço!$A:$A,0),0)-HLOOKUP(Bilanço!$B$1,Bilanço!$1:$151,MATCH(Çeyreklik!$A17,Bilanço!$A:$A,0),0))),"")</f>
        <v>-33077000</v>
      </c>
      <c r="C17" s="2">
        <f>IFERROR(IF(MID(C$2,6,7)="3",HLOOKUP(C$1,Bilanço!$1:$151,MATCH(Çeyreklik!$A17,Bilanço!$A:$A,0),0),HLOOKUP(C$1,Bilanço!$1:$151,MATCH(Çeyreklik!$A17,Bilanço!$A:$A,0),0)-HLOOKUP(B$1,Bilanço!$1:$151,MATCH(Çeyreklik!$A17,Bilanço!$A:$A,0),0)),"")</f>
        <v>-101384000</v>
      </c>
      <c r="D17" s="2">
        <f>IFERROR(IF(MID(D$2,6,7)="3",HLOOKUP(D$1,Bilanço!$1:$151,MATCH(Çeyreklik!$A17,Bilanço!$A:$A,0),0),HLOOKUP(D$1,Bilanço!$1:$151,MATCH(Çeyreklik!$A17,Bilanço!$A:$A,0),0)-HLOOKUP(C$1,Bilanço!$1:$151,MATCH(Çeyreklik!$A17,Bilanço!$A:$A,0),0)),"")</f>
        <v>-110616000</v>
      </c>
      <c r="E17" s="2">
        <f>IFERROR(IF(MID(E$2,6,7)="3",HLOOKUP(E$1,Bilanço!$1:$151,MATCH(Çeyreklik!$A17,Bilanço!$A:$A,0),0),HLOOKUP(E$1,Bilanço!$1:$151,MATCH(Çeyreklik!$A17,Bilanço!$A:$A,0),0)-HLOOKUP(D$1,Bilanço!$1:$151,MATCH(Çeyreklik!$A17,Bilanço!$A:$A,0),0)),"")</f>
        <v>-122723000</v>
      </c>
      <c r="F17" s="2">
        <f>IFERROR(IF(MID(F$2,6,7)="3",HLOOKUP(F$1,Bilanço!$1:$151,MATCH(Çeyreklik!$A17,Bilanço!$A:$A,0),0),HLOOKUP(F$1,Bilanço!$1:$151,MATCH(Çeyreklik!$A17,Bilanço!$A:$A,0),0)-HLOOKUP(E$1,Bilanço!$1:$151,MATCH(Çeyreklik!$A17,Bilanço!$A:$A,0),0)),"")</f>
        <v>-97753000</v>
      </c>
      <c r="G17" s="2">
        <f>IFERROR(IF(MID(G$2,6,7)="3",HLOOKUP(G$1,Bilanço!$1:$151,MATCH(Çeyreklik!$A17,Bilanço!$A:$A,0),0),HLOOKUP(G$1,Bilanço!$1:$151,MATCH(Çeyreklik!$A17,Bilanço!$A:$A,0),0)-HLOOKUP(F$1,Bilanço!$1:$151,MATCH(Çeyreklik!$A17,Bilanço!$A:$A,0),0)),"")</f>
        <v>-7361000</v>
      </c>
      <c r="H17" s="2">
        <f>IFERROR(IF(MID(H$2,6,7)="3",HLOOKUP(H$1,Bilanço!$1:$151,MATCH(Çeyreklik!$A17,Bilanço!$A:$A,0),0),HLOOKUP(H$1,Bilanço!$1:$151,MATCH(Çeyreklik!$A17,Bilanço!$A:$A,0),0)-HLOOKUP(G$1,Bilanço!$1:$151,MATCH(Çeyreklik!$A17,Bilanço!$A:$A,0),0)),"")</f>
        <v>-336510000</v>
      </c>
      <c r="I17" s="2">
        <f>IFERROR(IF(MID(I$2,6,7)="3",HLOOKUP(I$1,Bilanço!$1:$151,MATCH(Çeyreklik!$A17,Bilanço!$A:$A,0),0),HLOOKUP(I$1,Bilanço!$1:$151,MATCH(Çeyreklik!$A17,Bilanço!$A:$A,0),0)-HLOOKUP(H$1,Bilanço!$1:$151,MATCH(Çeyreklik!$A17,Bilanço!$A:$A,0),0)),"")</f>
        <v>-254476000</v>
      </c>
      <c r="J17" s="2">
        <f>IFERROR(IF(MID(J$2,6,7)="3",HLOOKUP(J$1,Bilanço!$1:$151,MATCH(Çeyreklik!$A17,Bilanço!$A:$A,0),0),HLOOKUP(J$1,Bilanço!$1:$151,MATCH(Çeyreklik!$A17,Bilanço!$A:$A,0),0)-HLOOKUP(I$1,Bilanço!$1:$151,MATCH(Çeyreklik!$A17,Bilanço!$A:$A,0),0)),"")</f>
        <v>-23315000</v>
      </c>
      <c r="K17" s="2">
        <f>IFERROR(IF(MID(K$2,6,7)="3",HLOOKUP(K$1,Bilanço!$1:$151,MATCH(Çeyreklik!$A17,Bilanço!$A:$A,0),0),HLOOKUP(K$1,Bilanço!$1:$151,MATCH(Çeyreklik!$A17,Bilanço!$A:$A,0),0)-HLOOKUP(J$1,Bilanço!$1:$151,MATCH(Çeyreklik!$A17,Bilanço!$A:$A,0),0)),"")</f>
        <v>15629000</v>
      </c>
      <c r="L17" s="2">
        <f>IFERROR(IF(MID(L$2,6,7)="3",HLOOKUP(L$1,Bilanço!$1:$151,MATCH(Çeyreklik!$A17,Bilanço!$A:$A,0),0),HLOOKUP(L$1,Bilanço!$1:$151,MATCH(Çeyreklik!$A17,Bilanço!$A:$A,0),0)-HLOOKUP(K$1,Bilanço!$1:$151,MATCH(Çeyreklik!$A17,Bilanço!$A:$A,0),0)),"")</f>
        <v>-616719000</v>
      </c>
      <c r="M17" s="2">
        <f>IFERROR(IF(MID(M$2,6,7)="3",HLOOKUP(M$1,Bilanço!$1:$151,MATCH(Çeyreklik!$A17,Bilanço!$A:$A,0),0),HLOOKUP(M$1,Bilanço!$1:$151,MATCH(Çeyreklik!$A17,Bilanço!$A:$A,0),0)-HLOOKUP(L$1,Bilanço!$1:$151,MATCH(Çeyreklik!$A17,Bilanço!$A:$A,0),0)),"")</f>
        <v>-391040000</v>
      </c>
      <c r="N17" s="2">
        <f>IFERROR(IF(MID(N$2,6,7)="3",HLOOKUP(N$1,Bilanço!$1:$151,MATCH(Çeyreklik!$A17,Bilanço!$A:$A,0),0),HLOOKUP(N$1,Bilanço!$1:$151,MATCH(Çeyreklik!$A17,Bilanço!$A:$A,0),0)-HLOOKUP(M$1,Bilanço!$1:$151,MATCH(Çeyreklik!$A17,Bilanço!$A:$A,0),0)),"")</f>
        <v>-165828000</v>
      </c>
      <c r="O17" s="2">
        <f>IFERROR(IF(MID(O$2,6,7)="3",HLOOKUP(O$1,Bilanço!$1:$151,MATCH(Çeyreklik!$A17,Bilanço!$A:$A,0),0),HLOOKUP(O$1,Bilanço!$1:$151,MATCH(Çeyreklik!$A17,Bilanço!$A:$A,0),0)-HLOOKUP(N$1,Bilanço!$1:$151,MATCH(Çeyreklik!$A17,Bilanço!$A:$A,0),0)),"")</f>
        <v>-692110000</v>
      </c>
      <c r="P17" s="2">
        <f>IFERROR(IF(MID(P$2,6,7)="3",HLOOKUP(P$1,Bilanço!$1:$151,MATCH(Çeyreklik!$A17,Bilanço!$A:$A,0),0),HLOOKUP(P$1,Bilanço!$1:$151,MATCH(Çeyreklik!$A17,Bilanço!$A:$A,0),0)-HLOOKUP(O$1,Bilanço!$1:$151,MATCH(Çeyreklik!$A17,Bilanço!$A:$A,0),0)),"")</f>
        <v>-439104000</v>
      </c>
      <c r="Q17" s="2">
        <f>IFERROR(IF(MID(Q$2,6,7)="3",HLOOKUP(Q$1,Bilanço!$1:$151,MATCH(Çeyreklik!$A17,Bilanço!$A:$A,0),0),HLOOKUP(Q$1,Bilanço!$1:$151,MATCH(Çeyreklik!$A17,Bilanço!$A:$A,0),0)-HLOOKUP(P$1,Bilanço!$1:$151,MATCH(Çeyreklik!$A17,Bilanço!$A:$A,0),0)),"")</f>
        <v>-1142493000</v>
      </c>
      <c r="R17" s="2">
        <f>IFERROR(IF(MID(R$2,6,7)="3",HLOOKUP(R$1,Bilanço!$1:$151,MATCH(Çeyreklik!$A17,Bilanço!$A:$A,0),0),HLOOKUP(R$1,Bilanço!$1:$151,MATCH(Çeyreklik!$A17,Bilanço!$A:$A,0),0)-HLOOKUP(Q$1,Bilanço!$1:$151,MATCH(Çeyreklik!$A17,Bilanço!$A:$A,0),0)),"")</f>
        <v>-71270000</v>
      </c>
      <c r="S17" s="2">
        <f>IFERROR(IF(MID(S$2,6,7)="3",HLOOKUP(S$1,Bilanço!$1:$151,MATCH(Çeyreklik!$A17,Bilanço!$A:$A,0),0),HLOOKUP(S$1,Bilanço!$1:$151,MATCH(Çeyreklik!$A17,Bilanço!$A:$A,0),0)-HLOOKUP(R$1,Bilanço!$1:$151,MATCH(Çeyreklik!$A17,Bilanço!$A:$A,0),0)),"")</f>
        <v>-378483000</v>
      </c>
      <c r="T17" s="2">
        <f>IFERROR(IF(MID(T$2,6,7)="3",HLOOKUP(T$1,Bilanço!$1:$151,MATCH(Çeyreklik!$A17,Bilanço!$A:$A,0),0),HLOOKUP(T$1,Bilanço!$1:$151,MATCH(Çeyreklik!$A17,Bilanço!$A:$A,0),0)-HLOOKUP(S$1,Bilanço!$1:$151,MATCH(Çeyreklik!$A17,Bilanço!$A:$A,0),0)),"")</f>
        <v>-383431812</v>
      </c>
      <c r="U17" s="2">
        <f>IFERROR(IF(MID(U$2,6,7)="3",HLOOKUP(U$1,Bilanço!$1:$151,MATCH(Çeyreklik!$A17,Bilanço!$A:$A,0),0),HLOOKUP(U$1,Bilanço!$1:$151,MATCH(Çeyreklik!$A17,Bilanço!$A:$A,0),0)-HLOOKUP(T$1,Bilanço!$1:$151,MATCH(Çeyreklik!$A17,Bilanço!$A:$A,0),0)),"")</f>
        <v>-720551000</v>
      </c>
      <c r="V17" s="2">
        <f>IFERROR(IF(MID(V$2,6,7)="3",HLOOKUP(V$1,Bilanço!$1:$151,MATCH(Çeyreklik!$A17,Bilanço!$A:$A,0),0),HLOOKUP(V$1,Bilanço!$1:$151,MATCH(Çeyreklik!$A17,Bilanço!$A:$A,0),0)-HLOOKUP(U$1,Bilanço!$1:$151,MATCH(Çeyreklik!$A17,Bilanço!$A:$A,0),0)),"")</f>
        <v>-408854000</v>
      </c>
      <c r="W17" s="2">
        <f>IFERROR(IF(MID(W$2,6,7)="3",HLOOKUP(W$1,Bilanço!$1:$151,MATCH(Çeyreklik!$A17,Bilanço!$A:$A,0),0),HLOOKUP(W$1,Bilanço!$1:$151,MATCH(Çeyreklik!$A17,Bilanço!$A:$A,0),0)-HLOOKUP(V$1,Bilanço!$1:$151,MATCH(Çeyreklik!$A17,Bilanço!$A:$A,0),0)),"")</f>
        <v>-549852000</v>
      </c>
    </row>
    <row r="18" spans="1:23" x14ac:dyDescent="0.25">
      <c r="A18" t="str">
        <f>Data!A89</f>
        <v>Faaliyet Karı Öncesi Diğer Gelir ve Giderler</v>
      </c>
      <c r="B18" s="2">
        <f>IFERROR(IF($B$2="2022/3",IF(MID(B$2,6,7)="3",HLOOKUP(B$1,Bilanço!$1:$151,MATCH(Çeyreklik!$A18,Bilanço!$A:$A,0),0),HLOOKUP(B$1,Bilanço!$1:$151,MATCH(Çeyreklik!$A18,Bilanço!$A:$A,0),0)-HLOOKUP(A$1,Bilanço!$1:$151,MATCH(Çeyreklik!$A18,Bilanço!$A:$A,0),0)),IF(MID(B$2,6,7)="3",HLOOKUP(B$1,Bilanço!$1:$151,MATCH(Çeyreklik!$A18,Bilanço!$A:$A,0),0),HLOOKUP(B$1,Bilanço!$1:$151,MATCH(Çeyreklik!$A18,Bilanço!$A:$A,0),0)-HLOOKUP(Bilanço!$B$1,Bilanço!$1:$151,MATCH(Çeyreklik!$A18,Bilanço!$A:$A,0),0))),"")</f>
        <v>0</v>
      </c>
      <c r="C18" s="2">
        <f>IFERROR(IF(MID(C$2,6,7)="3",HLOOKUP(C$1,Bilanço!$1:$151,MATCH(Çeyreklik!$A18,Bilanço!$A:$A,0),0),HLOOKUP(C$1,Bilanço!$1:$151,MATCH(Çeyreklik!$A18,Bilanço!$A:$A,0),0)-HLOOKUP(B$1,Bilanço!$1:$151,MATCH(Çeyreklik!$A18,Bilanço!$A:$A,0),0)),"")</f>
        <v>0</v>
      </c>
      <c r="D18" s="2">
        <f>IFERROR(IF(MID(D$2,6,7)="3",HLOOKUP(D$1,Bilanço!$1:$151,MATCH(Çeyreklik!$A18,Bilanço!$A:$A,0),0),HLOOKUP(D$1,Bilanço!$1:$151,MATCH(Çeyreklik!$A18,Bilanço!$A:$A,0),0)-HLOOKUP(C$1,Bilanço!$1:$151,MATCH(Çeyreklik!$A18,Bilanço!$A:$A,0),0)),"")</f>
        <v>0</v>
      </c>
      <c r="E18" s="2">
        <f>IFERROR(IF(MID(E$2,6,7)="3",HLOOKUP(E$1,Bilanço!$1:$151,MATCH(Çeyreklik!$A18,Bilanço!$A:$A,0),0),HLOOKUP(E$1,Bilanço!$1:$151,MATCH(Çeyreklik!$A18,Bilanço!$A:$A,0),0)-HLOOKUP(D$1,Bilanço!$1:$151,MATCH(Çeyreklik!$A18,Bilanço!$A:$A,0),0)),"")</f>
        <v>0</v>
      </c>
      <c r="F18" s="2">
        <f>IFERROR(IF(MID(F$2,6,7)="3",HLOOKUP(F$1,Bilanço!$1:$151,MATCH(Çeyreklik!$A18,Bilanço!$A:$A,0),0),HLOOKUP(F$1,Bilanço!$1:$151,MATCH(Çeyreklik!$A18,Bilanço!$A:$A,0),0)-HLOOKUP(E$1,Bilanço!$1:$151,MATCH(Çeyreklik!$A18,Bilanço!$A:$A,0),0)),"")</f>
        <v>0</v>
      </c>
      <c r="G18" s="2">
        <f>IFERROR(IF(MID(G$2,6,7)="3",HLOOKUP(G$1,Bilanço!$1:$151,MATCH(Çeyreklik!$A18,Bilanço!$A:$A,0),0),HLOOKUP(G$1,Bilanço!$1:$151,MATCH(Çeyreklik!$A18,Bilanço!$A:$A,0),0)-HLOOKUP(F$1,Bilanço!$1:$151,MATCH(Çeyreklik!$A18,Bilanço!$A:$A,0),0)),"")</f>
        <v>0</v>
      </c>
      <c r="H18" s="2">
        <f>IFERROR(IF(MID(H$2,6,7)="3",HLOOKUP(H$1,Bilanço!$1:$151,MATCH(Çeyreklik!$A18,Bilanço!$A:$A,0),0),HLOOKUP(H$1,Bilanço!$1:$151,MATCH(Çeyreklik!$A18,Bilanço!$A:$A,0),0)-HLOOKUP(G$1,Bilanço!$1:$151,MATCH(Çeyreklik!$A18,Bilanço!$A:$A,0),0)),"")</f>
        <v>0</v>
      </c>
      <c r="I18" s="2">
        <f>IFERROR(IF(MID(I$2,6,7)="3",HLOOKUP(I$1,Bilanço!$1:$151,MATCH(Çeyreklik!$A18,Bilanço!$A:$A,0),0),HLOOKUP(I$1,Bilanço!$1:$151,MATCH(Çeyreklik!$A18,Bilanço!$A:$A,0),0)-HLOOKUP(H$1,Bilanço!$1:$151,MATCH(Çeyreklik!$A18,Bilanço!$A:$A,0),0)),"")</f>
        <v>0</v>
      </c>
      <c r="J18" s="2">
        <f>IFERROR(IF(MID(J$2,6,7)="3",HLOOKUP(J$1,Bilanço!$1:$151,MATCH(Çeyreklik!$A18,Bilanço!$A:$A,0),0),HLOOKUP(J$1,Bilanço!$1:$151,MATCH(Çeyreklik!$A18,Bilanço!$A:$A,0),0)-HLOOKUP(I$1,Bilanço!$1:$151,MATCH(Çeyreklik!$A18,Bilanço!$A:$A,0),0)),"")</f>
        <v>0</v>
      </c>
      <c r="K18" s="2">
        <f>IFERROR(IF(MID(K$2,6,7)="3",HLOOKUP(K$1,Bilanço!$1:$151,MATCH(Çeyreklik!$A18,Bilanço!$A:$A,0),0),HLOOKUP(K$1,Bilanço!$1:$151,MATCH(Çeyreklik!$A18,Bilanço!$A:$A,0),0)-HLOOKUP(J$1,Bilanço!$1:$151,MATCH(Çeyreklik!$A18,Bilanço!$A:$A,0),0)),"")</f>
        <v>0</v>
      </c>
      <c r="L18" s="2">
        <f>IFERROR(IF(MID(L$2,6,7)="3",HLOOKUP(L$1,Bilanço!$1:$151,MATCH(Çeyreklik!$A18,Bilanço!$A:$A,0),0),HLOOKUP(L$1,Bilanço!$1:$151,MATCH(Çeyreklik!$A18,Bilanço!$A:$A,0),0)-HLOOKUP(K$1,Bilanço!$1:$151,MATCH(Çeyreklik!$A18,Bilanço!$A:$A,0),0)),"")</f>
        <v>0</v>
      </c>
      <c r="M18" s="2">
        <f>IFERROR(IF(MID(M$2,6,7)="3",HLOOKUP(M$1,Bilanço!$1:$151,MATCH(Çeyreklik!$A18,Bilanço!$A:$A,0),0),HLOOKUP(M$1,Bilanço!$1:$151,MATCH(Çeyreklik!$A18,Bilanço!$A:$A,0),0)-HLOOKUP(L$1,Bilanço!$1:$151,MATCH(Çeyreklik!$A18,Bilanço!$A:$A,0),0)),"")</f>
        <v>0</v>
      </c>
      <c r="N18" s="2">
        <f>IFERROR(IF(MID(N$2,6,7)="3",HLOOKUP(N$1,Bilanço!$1:$151,MATCH(Çeyreklik!$A18,Bilanço!$A:$A,0),0),HLOOKUP(N$1,Bilanço!$1:$151,MATCH(Çeyreklik!$A18,Bilanço!$A:$A,0),0)-HLOOKUP(M$1,Bilanço!$1:$151,MATCH(Çeyreklik!$A18,Bilanço!$A:$A,0),0)),"")</f>
        <v>0</v>
      </c>
      <c r="O18" s="2">
        <f>IFERROR(IF(MID(O$2,6,7)="3",HLOOKUP(O$1,Bilanço!$1:$151,MATCH(Çeyreklik!$A18,Bilanço!$A:$A,0),0),HLOOKUP(O$1,Bilanço!$1:$151,MATCH(Çeyreklik!$A18,Bilanço!$A:$A,0),0)-HLOOKUP(N$1,Bilanço!$1:$151,MATCH(Çeyreklik!$A18,Bilanço!$A:$A,0),0)),"")</f>
        <v>0</v>
      </c>
      <c r="P18" s="2">
        <f>IFERROR(IF(MID(P$2,6,7)="3",HLOOKUP(P$1,Bilanço!$1:$151,MATCH(Çeyreklik!$A18,Bilanço!$A:$A,0),0),HLOOKUP(P$1,Bilanço!$1:$151,MATCH(Çeyreklik!$A18,Bilanço!$A:$A,0),0)-HLOOKUP(O$1,Bilanço!$1:$151,MATCH(Çeyreklik!$A18,Bilanço!$A:$A,0),0)),"")</f>
        <v>0</v>
      </c>
      <c r="Q18" s="2">
        <f>IFERROR(IF(MID(Q$2,6,7)="3",HLOOKUP(Q$1,Bilanço!$1:$151,MATCH(Çeyreklik!$A18,Bilanço!$A:$A,0),0),HLOOKUP(Q$1,Bilanço!$1:$151,MATCH(Çeyreklik!$A18,Bilanço!$A:$A,0),0)-HLOOKUP(P$1,Bilanço!$1:$151,MATCH(Çeyreklik!$A18,Bilanço!$A:$A,0),0)),"")</f>
        <v>0</v>
      </c>
      <c r="R18" s="2">
        <f>IFERROR(IF(MID(R$2,6,7)="3",HLOOKUP(R$1,Bilanço!$1:$151,MATCH(Çeyreklik!$A18,Bilanço!$A:$A,0),0),HLOOKUP(R$1,Bilanço!$1:$151,MATCH(Çeyreklik!$A18,Bilanço!$A:$A,0),0)-HLOOKUP(Q$1,Bilanço!$1:$151,MATCH(Çeyreklik!$A18,Bilanço!$A:$A,0),0)),"")</f>
        <v>0</v>
      </c>
      <c r="S18" s="2">
        <f>IFERROR(IF(MID(S$2,6,7)="3",HLOOKUP(S$1,Bilanço!$1:$151,MATCH(Çeyreklik!$A18,Bilanço!$A:$A,0),0),HLOOKUP(S$1,Bilanço!$1:$151,MATCH(Çeyreklik!$A18,Bilanço!$A:$A,0),0)-HLOOKUP(R$1,Bilanço!$1:$151,MATCH(Çeyreklik!$A18,Bilanço!$A:$A,0),0)),"")</f>
        <v>0</v>
      </c>
      <c r="T18" s="2">
        <f>IFERROR(IF(MID(T$2,6,7)="3",HLOOKUP(T$1,Bilanço!$1:$151,MATCH(Çeyreklik!$A18,Bilanço!$A:$A,0),0),HLOOKUP(T$1,Bilanço!$1:$151,MATCH(Çeyreklik!$A18,Bilanço!$A:$A,0),0)-HLOOKUP(S$1,Bilanço!$1:$151,MATCH(Çeyreklik!$A18,Bilanço!$A:$A,0),0)),"")</f>
        <v>0</v>
      </c>
      <c r="U18" s="2">
        <f>IFERROR(IF(MID(U$2,6,7)="3",HLOOKUP(U$1,Bilanço!$1:$151,MATCH(Çeyreklik!$A18,Bilanço!$A:$A,0),0),HLOOKUP(U$1,Bilanço!$1:$151,MATCH(Çeyreklik!$A18,Bilanço!$A:$A,0),0)-HLOOKUP(T$1,Bilanço!$1:$151,MATCH(Çeyreklik!$A18,Bilanço!$A:$A,0),0)),"")</f>
        <v>0</v>
      </c>
      <c r="V18" s="2">
        <f>IFERROR(IF(MID(V$2,6,7)="3",HLOOKUP(V$1,Bilanço!$1:$151,MATCH(Çeyreklik!$A18,Bilanço!$A:$A,0),0),HLOOKUP(V$1,Bilanço!$1:$151,MATCH(Çeyreklik!$A18,Bilanço!$A:$A,0),0)-HLOOKUP(U$1,Bilanço!$1:$151,MATCH(Çeyreklik!$A18,Bilanço!$A:$A,0),0)),"")</f>
        <v>0</v>
      </c>
      <c r="W18" s="2">
        <f>IFERROR(IF(MID(W$2,6,7)="3",HLOOKUP(W$1,Bilanço!$1:$151,MATCH(Çeyreklik!$A18,Bilanço!$A:$A,0),0),HLOOKUP(W$1,Bilanço!$1:$151,MATCH(Çeyreklik!$A18,Bilanço!$A:$A,0),0)-HLOOKUP(V$1,Bilanço!$1:$151,MATCH(Çeyreklik!$A18,Bilanço!$A:$A,0),0)),"")</f>
        <v>0</v>
      </c>
    </row>
    <row r="19" spans="1:23" x14ac:dyDescent="0.25">
      <c r="A19" t="str">
        <f>Data!A90</f>
        <v>FAALİYET KARI (ZARARI)</v>
      </c>
      <c r="B19" s="2">
        <f>IFERROR(IF($B$2="2022/3",IF(MID(B$2,6,7)="3",HLOOKUP(B$1,Bilanço!$1:$151,MATCH(Çeyreklik!$A19,Bilanço!$A:$A,0),0),HLOOKUP(B$1,Bilanço!$1:$151,MATCH(Çeyreklik!$A19,Bilanço!$A:$A,0),0)-HLOOKUP(A$1,Bilanço!$1:$151,MATCH(Çeyreklik!$A19,Bilanço!$A:$A,0),0)),IF(MID(B$2,6,7)="3",HLOOKUP(B$1,Bilanço!$1:$151,MATCH(Çeyreklik!$A19,Bilanço!$A:$A,0),0),HLOOKUP(B$1,Bilanço!$1:$151,MATCH(Çeyreklik!$A19,Bilanço!$A:$A,0),0)-HLOOKUP(Bilanço!$B$1,Bilanço!$1:$151,MATCH(Çeyreklik!$A19,Bilanço!$A:$A,0),0))),"")</f>
        <v>343391000</v>
      </c>
      <c r="C19" s="2">
        <f>IFERROR(IF(MID(C$2,6,7)="3",HLOOKUP(C$1,Bilanço!$1:$151,MATCH(Çeyreklik!$A19,Bilanço!$A:$A,0),0),HLOOKUP(C$1,Bilanço!$1:$151,MATCH(Çeyreklik!$A19,Bilanço!$A:$A,0),0)-HLOOKUP(B$1,Bilanço!$1:$151,MATCH(Çeyreklik!$A19,Bilanço!$A:$A,0),0)),"")</f>
        <v>571882000</v>
      </c>
      <c r="D19" s="2">
        <f>IFERROR(IF(MID(D$2,6,7)="3",HLOOKUP(D$1,Bilanço!$1:$151,MATCH(Çeyreklik!$A19,Bilanço!$A:$A,0),0),HLOOKUP(D$1,Bilanço!$1:$151,MATCH(Çeyreklik!$A19,Bilanço!$A:$A,0),0)-HLOOKUP(C$1,Bilanço!$1:$151,MATCH(Çeyreklik!$A19,Bilanço!$A:$A,0),0)),"")</f>
        <v>426036000</v>
      </c>
      <c r="E19" s="2">
        <f>IFERROR(IF(MID(E$2,6,7)="3",HLOOKUP(E$1,Bilanço!$1:$151,MATCH(Çeyreklik!$A19,Bilanço!$A:$A,0),0),HLOOKUP(E$1,Bilanço!$1:$151,MATCH(Çeyreklik!$A19,Bilanço!$A:$A,0),0)-HLOOKUP(D$1,Bilanço!$1:$151,MATCH(Çeyreklik!$A19,Bilanço!$A:$A,0),0)),"")</f>
        <v>497303000</v>
      </c>
      <c r="F19" s="2">
        <f>IFERROR(IF(MID(F$2,6,7)="3",HLOOKUP(F$1,Bilanço!$1:$151,MATCH(Çeyreklik!$A19,Bilanço!$A:$A,0),0),HLOOKUP(F$1,Bilanço!$1:$151,MATCH(Çeyreklik!$A19,Bilanço!$A:$A,0),0)-HLOOKUP(E$1,Bilanço!$1:$151,MATCH(Çeyreklik!$A19,Bilanço!$A:$A,0),0)),"")</f>
        <v>353271000</v>
      </c>
      <c r="G19" s="2">
        <f>IFERROR(IF(MID(G$2,6,7)="3",HLOOKUP(G$1,Bilanço!$1:$151,MATCH(Çeyreklik!$A19,Bilanço!$A:$A,0),0),HLOOKUP(G$1,Bilanço!$1:$151,MATCH(Çeyreklik!$A19,Bilanço!$A:$A,0),0)-HLOOKUP(F$1,Bilanço!$1:$151,MATCH(Çeyreklik!$A19,Bilanço!$A:$A,0),0)),"")</f>
        <v>449305000</v>
      </c>
      <c r="H19" s="2">
        <f>IFERROR(IF(MID(H$2,6,7)="3",HLOOKUP(H$1,Bilanço!$1:$151,MATCH(Çeyreklik!$A19,Bilanço!$A:$A,0),0),HLOOKUP(H$1,Bilanço!$1:$151,MATCH(Çeyreklik!$A19,Bilanço!$A:$A,0),0)-HLOOKUP(G$1,Bilanço!$1:$151,MATCH(Çeyreklik!$A19,Bilanço!$A:$A,0),0)),"")</f>
        <v>1130111000</v>
      </c>
      <c r="I19" s="2">
        <f>IFERROR(IF(MID(I$2,6,7)="3",HLOOKUP(I$1,Bilanço!$1:$151,MATCH(Çeyreklik!$A19,Bilanço!$A:$A,0),0),HLOOKUP(I$1,Bilanço!$1:$151,MATCH(Çeyreklik!$A19,Bilanço!$A:$A,0),0)-HLOOKUP(H$1,Bilanço!$1:$151,MATCH(Çeyreklik!$A19,Bilanço!$A:$A,0),0)),"")</f>
        <v>1334594000</v>
      </c>
      <c r="J19" s="2">
        <f>IFERROR(IF(MID(J$2,6,7)="3",HLOOKUP(J$1,Bilanço!$1:$151,MATCH(Çeyreklik!$A19,Bilanço!$A:$A,0),0),HLOOKUP(J$1,Bilanço!$1:$151,MATCH(Çeyreklik!$A19,Bilanço!$A:$A,0),0)-HLOOKUP(I$1,Bilanço!$1:$151,MATCH(Çeyreklik!$A19,Bilanço!$A:$A,0),0)),"")</f>
        <v>1285119000</v>
      </c>
      <c r="K19" s="2">
        <f>IFERROR(IF(MID(K$2,6,7)="3",HLOOKUP(K$1,Bilanço!$1:$151,MATCH(Çeyreklik!$A19,Bilanço!$A:$A,0),0),HLOOKUP(K$1,Bilanço!$1:$151,MATCH(Çeyreklik!$A19,Bilanço!$A:$A,0),0)-HLOOKUP(J$1,Bilanço!$1:$151,MATCH(Çeyreklik!$A19,Bilanço!$A:$A,0),0)),"")</f>
        <v>1545872000</v>
      </c>
      <c r="L19" s="2">
        <f>IFERROR(IF(MID(L$2,6,7)="3",HLOOKUP(L$1,Bilanço!$1:$151,MATCH(Çeyreklik!$A19,Bilanço!$A:$A,0),0),HLOOKUP(L$1,Bilanço!$1:$151,MATCH(Çeyreklik!$A19,Bilanço!$A:$A,0),0)-HLOOKUP(K$1,Bilanço!$1:$151,MATCH(Çeyreklik!$A19,Bilanço!$A:$A,0),0)),"")</f>
        <v>2892422000</v>
      </c>
      <c r="M19" s="2">
        <f>IFERROR(IF(MID(M$2,6,7)="3",HLOOKUP(M$1,Bilanço!$1:$151,MATCH(Çeyreklik!$A19,Bilanço!$A:$A,0),0),HLOOKUP(M$1,Bilanço!$1:$151,MATCH(Çeyreklik!$A19,Bilanço!$A:$A,0),0)-HLOOKUP(L$1,Bilanço!$1:$151,MATCH(Çeyreklik!$A19,Bilanço!$A:$A,0),0)),"")</f>
        <v>3527709000</v>
      </c>
      <c r="N19" s="2">
        <f>IFERROR(IF(MID(N$2,6,7)="3",HLOOKUP(N$1,Bilanço!$1:$151,MATCH(Çeyreklik!$A19,Bilanço!$A:$A,0),0),HLOOKUP(N$1,Bilanço!$1:$151,MATCH(Çeyreklik!$A19,Bilanço!$A:$A,0),0)-HLOOKUP(M$1,Bilanço!$1:$151,MATCH(Çeyreklik!$A19,Bilanço!$A:$A,0),0)),"")</f>
        <v>4939892000</v>
      </c>
      <c r="O19" s="2">
        <f>IFERROR(IF(MID(O$2,6,7)="3",HLOOKUP(O$1,Bilanço!$1:$151,MATCH(Çeyreklik!$A19,Bilanço!$A:$A,0),0),HLOOKUP(O$1,Bilanço!$1:$151,MATCH(Çeyreklik!$A19,Bilanço!$A:$A,0),0)-HLOOKUP(N$1,Bilanço!$1:$151,MATCH(Çeyreklik!$A19,Bilanço!$A:$A,0),0)),"")</f>
        <v>3178713000</v>
      </c>
      <c r="P19" s="2">
        <f>IFERROR(IF(MID(P$2,6,7)="3",HLOOKUP(P$1,Bilanço!$1:$151,MATCH(Çeyreklik!$A19,Bilanço!$A:$A,0),0),HLOOKUP(P$1,Bilanço!$1:$151,MATCH(Çeyreklik!$A19,Bilanço!$A:$A,0),0)-HLOOKUP(O$1,Bilanço!$1:$151,MATCH(Çeyreklik!$A19,Bilanço!$A:$A,0),0)),"")</f>
        <v>4225122000</v>
      </c>
      <c r="Q19" s="2">
        <f>IFERROR(IF(MID(Q$2,6,7)="3",HLOOKUP(Q$1,Bilanço!$1:$151,MATCH(Çeyreklik!$A19,Bilanço!$A:$A,0),0),HLOOKUP(Q$1,Bilanço!$1:$151,MATCH(Çeyreklik!$A19,Bilanço!$A:$A,0),0)-HLOOKUP(P$1,Bilanço!$1:$151,MATCH(Çeyreklik!$A19,Bilanço!$A:$A,0),0)),"")</f>
        <v>5785593000</v>
      </c>
      <c r="R19" s="2">
        <f>IFERROR(IF(MID(R$2,6,7)="3",HLOOKUP(R$1,Bilanço!$1:$151,MATCH(Çeyreklik!$A19,Bilanço!$A:$A,0),0),HLOOKUP(R$1,Bilanço!$1:$151,MATCH(Çeyreklik!$A19,Bilanço!$A:$A,0),0)-HLOOKUP(Q$1,Bilanço!$1:$151,MATCH(Çeyreklik!$A19,Bilanço!$A:$A,0),0)),"")</f>
        <v>3817852000</v>
      </c>
      <c r="S19" s="2">
        <f>IFERROR(IF(MID(S$2,6,7)="3",HLOOKUP(S$1,Bilanço!$1:$151,MATCH(Çeyreklik!$A19,Bilanço!$A:$A,0),0),HLOOKUP(S$1,Bilanço!$1:$151,MATCH(Çeyreklik!$A19,Bilanço!$A:$A,0),0)-HLOOKUP(R$1,Bilanço!$1:$151,MATCH(Çeyreklik!$A19,Bilanço!$A:$A,0),0)),"")</f>
        <v>3974882000</v>
      </c>
      <c r="T19" s="2">
        <f>IFERROR(IF(MID(T$2,6,7)="3",HLOOKUP(T$1,Bilanço!$1:$151,MATCH(Çeyreklik!$A19,Bilanço!$A:$A,0),0),HLOOKUP(T$1,Bilanço!$1:$151,MATCH(Çeyreklik!$A19,Bilanço!$A:$A,0),0)-HLOOKUP(S$1,Bilanço!$1:$151,MATCH(Çeyreklik!$A19,Bilanço!$A:$A,0),0)),"")</f>
        <v>4330769189</v>
      </c>
      <c r="U19" s="2">
        <f>IFERROR(IF(MID(U$2,6,7)="3",HLOOKUP(U$1,Bilanço!$1:$151,MATCH(Çeyreklik!$A19,Bilanço!$A:$A,0),0),HLOOKUP(U$1,Bilanço!$1:$151,MATCH(Çeyreklik!$A19,Bilanço!$A:$A,0),0)-HLOOKUP(T$1,Bilanço!$1:$151,MATCH(Çeyreklik!$A19,Bilanço!$A:$A,0),0)),"")</f>
        <v>5374605000</v>
      </c>
      <c r="V19" s="2">
        <f>IFERROR(IF(MID(V$2,6,7)="3",HLOOKUP(V$1,Bilanço!$1:$151,MATCH(Çeyreklik!$A19,Bilanço!$A:$A,0),0),HLOOKUP(V$1,Bilanço!$1:$151,MATCH(Çeyreklik!$A19,Bilanço!$A:$A,0),0)-HLOOKUP(U$1,Bilanço!$1:$151,MATCH(Çeyreklik!$A19,Bilanço!$A:$A,0),0)),"")</f>
        <v>3243179000</v>
      </c>
      <c r="W19" s="2">
        <f>IFERROR(IF(MID(W$2,6,7)="3",HLOOKUP(W$1,Bilanço!$1:$151,MATCH(Çeyreklik!$A19,Bilanço!$A:$A,0),0),HLOOKUP(W$1,Bilanço!$1:$151,MATCH(Çeyreklik!$A19,Bilanço!$A:$A,0),0)-HLOOKUP(V$1,Bilanço!$1:$151,MATCH(Çeyreklik!$A19,Bilanço!$A:$A,0),0)),"")</f>
        <v>4734394000</v>
      </c>
    </row>
    <row r="20" spans="1:23" x14ac:dyDescent="0.25">
      <c r="A20" t="str">
        <f>Data!A91</f>
        <v>Net Faaliyet Kar/Zararı</v>
      </c>
      <c r="B20" s="2">
        <f>IFERROR(IF($B$2="2022/3",IF(MID(B$2,6,7)="3",HLOOKUP(B$1,Bilanço!$1:$151,MATCH(Çeyreklik!$A20,Bilanço!$A:$A,0),0),HLOOKUP(B$1,Bilanço!$1:$151,MATCH(Çeyreklik!$A20,Bilanço!$A:$A,0),0)-HLOOKUP(A$1,Bilanço!$1:$151,MATCH(Çeyreklik!$A20,Bilanço!$A:$A,0),0)),IF(MID(B$2,6,7)="3",HLOOKUP(B$1,Bilanço!$1:$151,MATCH(Çeyreklik!$A20,Bilanço!$A:$A,0),0),HLOOKUP(B$1,Bilanço!$1:$151,MATCH(Çeyreklik!$A20,Bilanço!$A:$A,0),0)-HLOOKUP(Bilanço!$B$1,Bilanço!$1:$151,MATCH(Çeyreklik!$A20,Bilanço!$A:$A,0),0))),"")</f>
        <v>334009000</v>
      </c>
      <c r="C20" s="2">
        <f>IFERROR(IF(MID(C$2,6,7)="3",HLOOKUP(C$1,Bilanço!$1:$151,MATCH(Çeyreklik!$A20,Bilanço!$A:$A,0),0),HLOOKUP(C$1,Bilanço!$1:$151,MATCH(Çeyreklik!$A20,Bilanço!$A:$A,0),0)-HLOOKUP(B$1,Bilanço!$1:$151,MATCH(Çeyreklik!$A20,Bilanço!$A:$A,0),0)),"")</f>
        <v>523537000</v>
      </c>
      <c r="D20" s="2">
        <f>IFERROR(IF(MID(D$2,6,7)="3",HLOOKUP(D$1,Bilanço!$1:$151,MATCH(Çeyreklik!$A20,Bilanço!$A:$A,0),0),HLOOKUP(D$1,Bilanço!$1:$151,MATCH(Çeyreklik!$A20,Bilanço!$A:$A,0),0)-HLOOKUP(C$1,Bilanço!$1:$151,MATCH(Çeyreklik!$A20,Bilanço!$A:$A,0),0)),"")</f>
        <v>494068000</v>
      </c>
      <c r="E20" s="2">
        <f>IFERROR(IF(MID(E$2,6,7)="3",HLOOKUP(E$1,Bilanço!$1:$151,MATCH(Çeyreklik!$A20,Bilanço!$A:$A,0),0),HLOOKUP(E$1,Bilanço!$1:$151,MATCH(Çeyreklik!$A20,Bilanço!$A:$A,0),0)-HLOOKUP(D$1,Bilanço!$1:$151,MATCH(Çeyreklik!$A20,Bilanço!$A:$A,0),0)),"")</f>
        <v>493412000</v>
      </c>
      <c r="F20" s="2">
        <f>IFERROR(IF(MID(F$2,6,7)="3",HLOOKUP(F$1,Bilanço!$1:$151,MATCH(Çeyreklik!$A20,Bilanço!$A:$A,0),0),HLOOKUP(F$1,Bilanço!$1:$151,MATCH(Çeyreklik!$A20,Bilanço!$A:$A,0),0)-HLOOKUP(E$1,Bilanço!$1:$151,MATCH(Çeyreklik!$A20,Bilanço!$A:$A,0),0)),"")</f>
        <v>390486000</v>
      </c>
      <c r="G20" s="2">
        <f>IFERROR(IF(MID(G$2,6,7)="3",HLOOKUP(G$1,Bilanço!$1:$151,MATCH(Çeyreklik!$A20,Bilanço!$A:$A,0),0),HLOOKUP(G$1,Bilanço!$1:$151,MATCH(Çeyreklik!$A20,Bilanço!$A:$A,0),0)-HLOOKUP(F$1,Bilanço!$1:$151,MATCH(Çeyreklik!$A20,Bilanço!$A:$A,0),0)),"")</f>
        <v>443364000</v>
      </c>
      <c r="H20" s="2">
        <f>IFERROR(IF(MID(H$2,6,7)="3",HLOOKUP(H$1,Bilanço!$1:$151,MATCH(Çeyreklik!$A20,Bilanço!$A:$A,0),0),HLOOKUP(H$1,Bilanço!$1:$151,MATCH(Çeyreklik!$A20,Bilanço!$A:$A,0),0)-HLOOKUP(G$1,Bilanço!$1:$151,MATCH(Çeyreklik!$A20,Bilanço!$A:$A,0),0)),"")</f>
        <v>771088000</v>
      </c>
      <c r="I20" s="2">
        <f>IFERROR(IF(MID(I$2,6,7)="3",HLOOKUP(I$1,Bilanço!$1:$151,MATCH(Çeyreklik!$A20,Bilanço!$A:$A,0),0),HLOOKUP(I$1,Bilanço!$1:$151,MATCH(Çeyreklik!$A20,Bilanço!$A:$A,0),0)-HLOOKUP(H$1,Bilanço!$1:$151,MATCH(Çeyreklik!$A20,Bilanço!$A:$A,0),0)),"")</f>
        <v>1166560000</v>
      </c>
      <c r="J20" s="2">
        <f>IFERROR(IF(MID(J$2,6,7)="3",HLOOKUP(J$1,Bilanço!$1:$151,MATCH(Çeyreklik!$A20,Bilanço!$A:$A,0),0),HLOOKUP(J$1,Bilanço!$1:$151,MATCH(Çeyreklik!$A20,Bilanço!$A:$A,0),0)-HLOOKUP(I$1,Bilanço!$1:$151,MATCH(Çeyreklik!$A20,Bilanço!$A:$A,0),0)),"")</f>
        <v>1050882000</v>
      </c>
      <c r="K20" s="2">
        <f>IFERROR(IF(MID(K$2,6,7)="3",HLOOKUP(K$1,Bilanço!$1:$151,MATCH(Çeyreklik!$A20,Bilanço!$A:$A,0),0),HLOOKUP(K$1,Bilanço!$1:$151,MATCH(Çeyreklik!$A20,Bilanço!$A:$A,0),0)-HLOOKUP(J$1,Bilanço!$1:$151,MATCH(Çeyreklik!$A20,Bilanço!$A:$A,0),0)),"")</f>
        <v>1164895000</v>
      </c>
      <c r="L20" s="2">
        <f>IFERROR(IF(MID(L$2,6,7)="3",HLOOKUP(L$1,Bilanço!$1:$151,MATCH(Çeyreklik!$A20,Bilanço!$A:$A,0),0),HLOOKUP(L$1,Bilanço!$1:$151,MATCH(Çeyreklik!$A20,Bilanço!$A:$A,0),0)-HLOOKUP(K$1,Bilanço!$1:$151,MATCH(Çeyreklik!$A20,Bilanço!$A:$A,0),0)),"")</f>
        <v>2152800000</v>
      </c>
      <c r="M20" s="2">
        <f>IFERROR(IF(MID(M$2,6,7)="3",HLOOKUP(M$1,Bilanço!$1:$151,MATCH(Çeyreklik!$A20,Bilanço!$A:$A,0),0),HLOOKUP(M$1,Bilanço!$1:$151,MATCH(Çeyreklik!$A20,Bilanço!$A:$A,0),0)-HLOOKUP(L$1,Bilanço!$1:$151,MATCH(Çeyreklik!$A20,Bilanço!$A:$A,0),0)),"")</f>
        <v>3481161000</v>
      </c>
      <c r="N20" s="2">
        <f>IFERROR(IF(MID(N$2,6,7)="3",HLOOKUP(N$1,Bilanço!$1:$151,MATCH(Çeyreklik!$A20,Bilanço!$A:$A,0),0),HLOOKUP(N$1,Bilanço!$1:$151,MATCH(Çeyreklik!$A20,Bilanço!$A:$A,0),0)-HLOOKUP(M$1,Bilanço!$1:$151,MATCH(Çeyreklik!$A20,Bilanço!$A:$A,0),0)),"")</f>
        <v>3007562000</v>
      </c>
      <c r="O20" s="2">
        <f>IFERROR(IF(MID(O$2,6,7)="3",HLOOKUP(O$1,Bilanço!$1:$151,MATCH(Çeyreklik!$A20,Bilanço!$A:$A,0),0),HLOOKUP(O$1,Bilanço!$1:$151,MATCH(Çeyreklik!$A20,Bilanço!$A:$A,0),0)-HLOOKUP(N$1,Bilanço!$1:$151,MATCH(Çeyreklik!$A20,Bilanço!$A:$A,0),0)),"")</f>
        <v>3283096000</v>
      </c>
      <c r="P20" s="2">
        <f>IFERROR(IF(MID(P$2,6,7)="3",HLOOKUP(P$1,Bilanço!$1:$151,MATCH(Çeyreklik!$A20,Bilanço!$A:$A,0),0),HLOOKUP(P$1,Bilanço!$1:$151,MATCH(Çeyreklik!$A20,Bilanço!$A:$A,0),0)-HLOOKUP(O$1,Bilanço!$1:$151,MATCH(Çeyreklik!$A20,Bilanço!$A:$A,0),0)),"")</f>
        <v>3823579000</v>
      </c>
      <c r="Q20" s="2">
        <f>IFERROR(IF(MID(Q$2,6,7)="3",HLOOKUP(Q$1,Bilanço!$1:$151,MATCH(Çeyreklik!$A20,Bilanço!$A:$A,0),0),HLOOKUP(Q$1,Bilanço!$1:$151,MATCH(Çeyreklik!$A20,Bilanço!$A:$A,0),0)-HLOOKUP(P$1,Bilanço!$1:$151,MATCH(Çeyreklik!$A20,Bilanço!$A:$A,0),0)),"")</f>
        <v>5061872000</v>
      </c>
      <c r="R20" s="2">
        <f>IFERROR(IF(MID(R$2,6,7)="3",HLOOKUP(R$1,Bilanço!$1:$151,MATCH(Çeyreklik!$A20,Bilanço!$A:$A,0),0),HLOOKUP(R$1,Bilanço!$1:$151,MATCH(Çeyreklik!$A20,Bilanço!$A:$A,0),0)-HLOOKUP(Q$1,Bilanço!$1:$151,MATCH(Çeyreklik!$A20,Bilanço!$A:$A,0),0)),"")</f>
        <v>3772670000</v>
      </c>
      <c r="S20" s="2">
        <f>IFERROR(IF(MID(S$2,6,7)="3",HLOOKUP(S$1,Bilanço!$1:$151,MATCH(Çeyreklik!$A20,Bilanço!$A:$A,0),0),HLOOKUP(S$1,Bilanço!$1:$151,MATCH(Çeyreklik!$A20,Bilanço!$A:$A,0),0)-HLOOKUP(R$1,Bilanço!$1:$151,MATCH(Çeyreklik!$A20,Bilanço!$A:$A,0),0)),"")</f>
        <v>4024971000</v>
      </c>
      <c r="T20" s="2">
        <f>IFERROR(IF(MID(T$2,6,7)="3",HLOOKUP(T$1,Bilanço!$1:$151,MATCH(Çeyreklik!$A20,Bilanço!$A:$A,0),0),HLOOKUP(T$1,Bilanço!$1:$151,MATCH(Çeyreklik!$A20,Bilanço!$A:$A,0),0)-HLOOKUP(S$1,Bilanço!$1:$151,MATCH(Çeyreklik!$A20,Bilanço!$A:$A,0),0)),"")</f>
        <v>4418825386</v>
      </c>
      <c r="U20" s="2">
        <f>IFERROR(IF(MID(U$2,6,7)="3",HLOOKUP(U$1,Bilanço!$1:$151,MATCH(Çeyreklik!$A20,Bilanço!$A:$A,0),0),HLOOKUP(U$1,Bilanço!$1:$151,MATCH(Çeyreklik!$A20,Bilanço!$A:$A,0),0)-HLOOKUP(T$1,Bilanço!$1:$151,MATCH(Çeyreklik!$A20,Bilanço!$A:$A,0),0)),"")</f>
        <v>4963471000</v>
      </c>
      <c r="V20" s="2">
        <f>IFERROR(IF(MID(V$2,6,7)="3",HLOOKUP(V$1,Bilanço!$1:$151,MATCH(Çeyreklik!$A20,Bilanço!$A:$A,0),0),HLOOKUP(V$1,Bilanço!$1:$151,MATCH(Çeyreklik!$A20,Bilanço!$A:$A,0),0)-HLOOKUP(U$1,Bilanço!$1:$151,MATCH(Çeyreklik!$A20,Bilanço!$A:$A,0),0)),"")</f>
        <v>3156259000</v>
      </c>
      <c r="W20" s="2">
        <f>IFERROR(IF(MID(W$2,6,7)="3",HLOOKUP(W$1,Bilanço!$1:$151,MATCH(Çeyreklik!$A20,Bilanço!$A:$A,0),0),HLOOKUP(W$1,Bilanço!$1:$151,MATCH(Çeyreklik!$A20,Bilanço!$A:$A,0),0)-HLOOKUP(V$1,Bilanço!$1:$151,MATCH(Çeyreklik!$A20,Bilanço!$A:$A,0),0)),"")</f>
        <v>4491793000</v>
      </c>
    </row>
    <row r="21" spans="1:23" x14ac:dyDescent="0.25">
      <c r="A21" t="str">
        <f>Data!A92</f>
        <v xml:space="preserve">  Yatırım Faaliyetlerinden Gelirler</v>
      </c>
      <c r="B21" s="2">
        <f>IFERROR(IF($B$2="2022/3",IF(MID(B$2,6,7)="3",HLOOKUP(B$1,Bilanço!$1:$151,MATCH(Çeyreklik!$A21,Bilanço!$A:$A,0),0),HLOOKUP(B$1,Bilanço!$1:$151,MATCH(Çeyreklik!$A21,Bilanço!$A:$A,0),0)-HLOOKUP(A$1,Bilanço!$1:$151,MATCH(Çeyreklik!$A21,Bilanço!$A:$A,0),0)),IF(MID(B$2,6,7)="3",HLOOKUP(B$1,Bilanço!$1:$151,MATCH(Çeyreklik!$A21,Bilanço!$A:$A,0),0),HLOOKUP(B$1,Bilanço!$1:$151,MATCH(Çeyreklik!$A21,Bilanço!$A:$A,0),0)-HLOOKUP(Bilanço!$B$1,Bilanço!$1:$151,MATCH(Çeyreklik!$A21,Bilanço!$A:$A,0),0))),"")</f>
        <v>319477000</v>
      </c>
      <c r="C21" s="2">
        <f>IFERROR(IF(MID(C$2,6,7)="3",HLOOKUP(C$1,Bilanço!$1:$151,MATCH(Çeyreklik!$A21,Bilanço!$A:$A,0),0),HLOOKUP(C$1,Bilanço!$1:$151,MATCH(Çeyreklik!$A21,Bilanço!$A:$A,0),0)-HLOOKUP(B$1,Bilanço!$1:$151,MATCH(Çeyreklik!$A21,Bilanço!$A:$A,0),0)),"")</f>
        <v>1262010000</v>
      </c>
      <c r="D21" s="2">
        <f>IFERROR(IF(MID(D$2,6,7)="3",HLOOKUP(D$1,Bilanço!$1:$151,MATCH(Çeyreklik!$A21,Bilanço!$A:$A,0),0),HLOOKUP(D$1,Bilanço!$1:$151,MATCH(Çeyreklik!$A21,Bilanço!$A:$A,0),0)-HLOOKUP(C$1,Bilanço!$1:$151,MATCH(Çeyreklik!$A21,Bilanço!$A:$A,0),0)),"")</f>
        <v>274069000</v>
      </c>
      <c r="E21" s="2">
        <f>IFERROR(IF(MID(E$2,6,7)="3",HLOOKUP(E$1,Bilanço!$1:$151,MATCH(Çeyreklik!$A21,Bilanço!$A:$A,0),0),HLOOKUP(E$1,Bilanço!$1:$151,MATCH(Çeyreklik!$A21,Bilanço!$A:$A,0),0)-HLOOKUP(D$1,Bilanço!$1:$151,MATCH(Çeyreklik!$A21,Bilanço!$A:$A,0),0)),"")</f>
        <v>1480763000</v>
      </c>
      <c r="F21" s="2">
        <f>IFERROR(IF(MID(F$2,6,7)="3",HLOOKUP(F$1,Bilanço!$1:$151,MATCH(Çeyreklik!$A21,Bilanço!$A:$A,0),0),HLOOKUP(F$1,Bilanço!$1:$151,MATCH(Çeyreklik!$A21,Bilanço!$A:$A,0),0)-HLOOKUP(E$1,Bilanço!$1:$151,MATCH(Çeyreklik!$A21,Bilanço!$A:$A,0),0)),"")</f>
        <v>852646000</v>
      </c>
      <c r="G21" s="2">
        <f>IFERROR(IF(MID(G$2,6,7)="3",HLOOKUP(G$1,Bilanço!$1:$151,MATCH(Çeyreklik!$A21,Bilanço!$A:$A,0),0),HLOOKUP(G$1,Bilanço!$1:$151,MATCH(Çeyreklik!$A21,Bilanço!$A:$A,0),0)-HLOOKUP(F$1,Bilanço!$1:$151,MATCH(Çeyreklik!$A21,Bilanço!$A:$A,0),0)),"")</f>
        <v>-105996000</v>
      </c>
      <c r="H21" s="2">
        <f>IFERROR(IF(MID(H$2,6,7)="3",HLOOKUP(H$1,Bilanço!$1:$151,MATCH(Çeyreklik!$A21,Bilanço!$A:$A,0),0),HLOOKUP(H$1,Bilanço!$1:$151,MATCH(Çeyreklik!$A21,Bilanço!$A:$A,0),0)-HLOOKUP(G$1,Bilanço!$1:$151,MATCH(Çeyreklik!$A21,Bilanço!$A:$A,0),0)),"")</f>
        <v>3868732000</v>
      </c>
      <c r="I21" s="2">
        <f>IFERROR(IF(MID(I$2,6,7)="3",HLOOKUP(I$1,Bilanço!$1:$151,MATCH(Çeyreklik!$A21,Bilanço!$A:$A,0),0),HLOOKUP(I$1,Bilanço!$1:$151,MATCH(Çeyreklik!$A21,Bilanço!$A:$A,0),0)-HLOOKUP(H$1,Bilanço!$1:$151,MATCH(Çeyreklik!$A21,Bilanço!$A:$A,0),0)),"")</f>
        <v>1082949000</v>
      </c>
      <c r="J21" s="2">
        <f>IFERROR(IF(MID(J$2,6,7)="3",HLOOKUP(J$1,Bilanço!$1:$151,MATCH(Çeyreklik!$A21,Bilanço!$A:$A,0),0),HLOOKUP(J$1,Bilanço!$1:$151,MATCH(Çeyreklik!$A21,Bilanço!$A:$A,0),0)-HLOOKUP(I$1,Bilanço!$1:$151,MATCH(Çeyreklik!$A21,Bilanço!$A:$A,0),0)),"")</f>
        <v>1304375000</v>
      </c>
      <c r="K21" s="2">
        <f>IFERROR(IF(MID(K$2,6,7)="3",HLOOKUP(K$1,Bilanço!$1:$151,MATCH(Çeyreklik!$A21,Bilanço!$A:$A,0),0),HLOOKUP(K$1,Bilanço!$1:$151,MATCH(Çeyreklik!$A21,Bilanço!$A:$A,0),0)-HLOOKUP(J$1,Bilanço!$1:$151,MATCH(Çeyreklik!$A21,Bilanço!$A:$A,0),0)),"")</f>
        <v>1307218000</v>
      </c>
      <c r="L21" s="2">
        <f>IFERROR(IF(MID(L$2,6,7)="3",HLOOKUP(L$1,Bilanço!$1:$151,MATCH(Çeyreklik!$A21,Bilanço!$A:$A,0),0),HLOOKUP(L$1,Bilanço!$1:$151,MATCH(Çeyreklik!$A21,Bilanço!$A:$A,0),0)-HLOOKUP(K$1,Bilanço!$1:$151,MATCH(Çeyreklik!$A21,Bilanço!$A:$A,0),0)),"")</f>
        <v>4117078000</v>
      </c>
      <c r="M21" s="2">
        <f>IFERROR(IF(MID(M$2,6,7)="3",HLOOKUP(M$1,Bilanço!$1:$151,MATCH(Çeyreklik!$A21,Bilanço!$A:$A,0),0),HLOOKUP(M$1,Bilanço!$1:$151,MATCH(Çeyreklik!$A21,Bilanço!$A:$A,0),0)-HLOOKUP(L$1,Bilanço!$1:$151,MATCH(Çeyreklik!$A21,Bilanço!$A:$A,0),0)),"")</f>
        <v>969515000</v>
      </c>
      <c r="N21" s="2">
        <f>IFERROR(IF(MID(N$2,6,7)="3",HLOOKUP(N$1,Bilanço!$1:$151,MATCH(Çeyreklik!$A21,Bilanço!$A:$A,0),0),HLOOKUP(N$1,Bilanço!$1:$151,MATCH(Çeyreklik!$A21,Bilanço!$A:$A,0),0)-HLOOKUP(M$1,Bilanço!$1:$151,MATCH(Çeyreklik!$A21,Bilanço!$A:$A,0),0)),"")</f>
        <v>6165172000</v>
      </c>
      <c r="O21" s="2">
        <f>IFERROR(IF(MID(O$2,6,7)="3",HLOOKUP(O$1,Bilanço!$1:$151,MATCH(Çeyreklik!$A21,Bilanço!$A:$A,0),0),HLOOKUP(O$1,Bilanço!$1:$151,MATCH(Çeyreklik!$A21,Bilanço!$A:$A,0),0)-HLOOKUP(N$1,Bilanço!$1:$151,MATCH(Çeyreklik!$A21,Bilanço!$A:$A,0),0)),"")</f>
        <v>1503336000</v>
      </c>
      <c r="P21" s="2">
        <f>IFERROR(IF(MID(P$2,6,7)="3",HLOOKUP(P$1,Bilanço!$1:$151,MATCH(Çeyreklik!$A21,Bilanço!$A:$A,0),0),HLOOKUP(P$1,Bilanço!$1:$151,MATCH(Çeyreklik!$A21,Bilanço!$A:$A,0),0)-HLOOKUP(O$1,Bilanço!$1:$151,MATCH(Çeyreklik!$A21,Bilanço!$A:$A,0),0)),"")</f>
        <v>2368869000</v>
      </c>
      <c r="Q21" s="2">
        <f>IFERROR(IF(MID(Q$2,6,7)="3",HLOOKUP(Q$1,Bilanço!$1:$151,MATCH(Çeyreklik!$A21,Bilanço!$A:$A,0),0),HLOOKUP(Q$1,Bilanço!$1:$151,MATCH(Çeyreklik!$A21,Bilanço!$A:$A,0),0)-HLOOKUP(P$1,Bilanço!$1:$151,MATCH(Çeyreklik!$A21,Bilanço!$A:$A,0),0)),"")</f>
        <v>1834284000</v>
      </c>
      <c r="R21" s="2">
        <f>IFERROR(IF(MID(R$2,6,7)="3",HLOOKUP(R$1,Bilanço!$1:$151,MATCH(Çeyreklik!$A21,Bilanço!$A:$A,0),0),HLOOKUP(R$1,Bilanço!$1:$151,MATCH(Çeyreklik!$A21,Bilanço!$A:$A,0),0)-HLOOKUP(Q$1,Bilanço!$1:$151,MATCH(Çeyreklik!$A21,Bilanço!$A:$A,0),0)),"")</f>
        <v>958343000</v>
      </c>
      <c r="S21" s="2">
        <f>IFERROR(IF(MID(S$2,6,7)="3",HLOOKUP(S$1,Bilanço!$1:$151,MATCH(Çeyreklik!$A21,Bilanço!$A:$A,0),0),HLOOKUP(S$1,Bilanço!$1:$151,MATCH(Çeyreklik!$A21,Bilanço!$A:$A,0),0)-HLOOKUP(R$1,Bilanço!$1:$151,MATCH(Çeyreklik!$A21,Bilanço!$A:$A,0),0)),"")</f>
        <v>3002921000</v>
      </c>
      <c r="T21" s="2">
        <f>IFERROR(IF(MID(T$2,6,7)="3",HLOOKUP(T$1,Bilanço!$1:$151,MATCH(Çeyreklik!$A21,Bilanço!$A:$A,0),0),HLOOKUP(T$1,Bilanço!$1:$151,MATCH(Çeyreklik!$A21,Bilanço!$A:$A,0),0)-HLOOKUP(S$1,Bilanço!$1:$151,MATCH(Çeyreklik!$A21,Bilanço!$A:$A,0),0)),"")</f>
        <v>1866150297</v>
      </c>
      <c r="U21" s="2">
        <f>IFERROR(IF(MID(U$2,6,7)="3",HLOOKUP(U$1,Bilanço!$1:$151,MATCH(Çeyreklik!$A21,Bilanço!$A:$A,0),0),HLOOKUP(U$1,Bilanço!$1:$151,MATCH(Çeyreklik!$A21,Bilanço!$A:$A,0),0)-HLOOKUP(T$1,Bilanço!$1:$151,MATCH(Çeyreklik!$A21,Bilanço!$A:$A,0),0)),"")</f>
        <v>3389556000</v>
      </c>
      <c r="V21" s="2">
        <f>IFERROR(IF(MID(V$2,6,7)="3",HLOOKUP(V$1,Bilanço!$1:$151,MATCH(Çeyreklik!$A21,Bilanço!$A:$A,0),0),HLOOKUP(V$1,Bilanço!$1:$151,MATCH(Çeyreklik!$A21,Bilanço!$A:$A,0),0)-HLOOKUP(U$1,Bilanço!$1:$151,MATCH(Çeyreklik!$A21,Bilanço!$A:$A,0),0)),"")</f>
        <v>3302671000</v>
      </c>
      <c r="W21" s="2">
        <f>IFERROR(IF(MID(W$2,6,7)="3",HLOOKUP(W$1,Bilanço!$1:$151,MATCH(Çeyreklik!$A21,Bilanço!$A:$A,0),0),HLOOKUP(W$1,Bilanço!$1:$151,MATCH(Çeyreklik!$A21,Bilanço!$A:$A,0),0)-HLOOKUP(V$1,Bilanço!$1:$151,MATCH(Çeyreklik!$A21,Bilanço!$A:$A,0),0)),"")</f>
        <v>3163042000</v>
      </c>
    </row>
    <row r="22" spans="1:23" x14ac:dyDescent="0.25">
      <c r="A22" t="str">
        <f>Data!A93</f>
        <v xml:space="preserve">  Yatırım Faaliyetlerinden Giderler (-)</v>
      </c>
      <c r="B22" s="2">
        <f>IFERROR(IF($B$2="2022/3",IF(MID(B$2,6,7)="3",HLOOKUP(B$1,Bilanço!$1:$151,MATCH(Çeyreklik!$A22,Bilanço!$A:$A,0),0),HLOOKUP(B$1,Bilanço!$1:$151,MATCH(Çeyreklik!$A22,Bilanço!$A:$A,0),0)-HLOOKUP(A$1,Bilanço!$1:$151,MATCH(Çeyreklik!$A22,Bilanço!$A:$A,0),0)),IF(MID(B$2,6,7)="3",HLOOKUP(B$1,Bilanço!$1:$151,MATCH(Çeyreklik!$A22,Bilanço!$A:$A,0),0),HLOOKUP(B$1,Bilanço!$1:$151,MATCH(Çeyreklik!$A22,Bilanço!$A:$A,0),0)-HLOOKUP(Bilanço!$B$1,Bilanço!$1:$151,MATCH(Çeyreklik!$A22,Bilanço!$A:$A,0),0))),"")</f>
        <v>429124000</v>
      </c>
      <c r="C22" s="2">
        <f>IFERROR(IF(MID(C$2,6,7)="3",HLOOKUP(C$1,Bilanço!$1:$151,MATCH(Çeyreklik!$A22,Bilanço!$A:$A,0),0),HLOOKUP(C$1,Bilanço!$1:$151,MATCH(Çeyreklik!$A22,Bilanço!$A:$A,0),0)-HLOOKUP(B$1,Bilanço!$1:$151,MATCH(Çeyreklik!$A22,Bilanço!$A:$A,0),0)),"")</f>
        <v>126648000</v>
      </c>
      <c r="D22" s="2">
        <f>IFERROR(IF(MID(D$2,6,7)="3",HLOOKUP(D$1,Bilanço!$1:$151,MATCH(Çeyreklik!$A22,Bilanço!$A:$A,0),0),HLOOKUP(D$1,Bilanço!$1:$151,MATCH(Çeyreklik!$A22,Bilanço!$A:$A,0),0)-HLOOKUP(C$1,Bilanço!$1:$151,MATCH(Çeyreklik!$A22,Bilanço!$A:$A,0),0)),"")</f>
        <v>-568678000</v>
      </c>
      <c r="E22" s="2">
        <f>IFERROR(IF(MID(E$2,6,7)="3",HLOOKUP(E$1,Bilanço!$1:$151,MATCH(Çeyreklik!$A22,Bilanço!$A:$A,0),0),HLOOKUP(E$1,Bilanço!$1:$151,MATCH(Çeyreklik!$A22,Bilanço!$A:$A,0),0)-HLOOKUP(D$1,Bilanço!$1:$151,MATCH(Çeyreklik!$A22,Bilanço!$A:$A,0),0)),"")</f>
        <v>-1360000</v>
      </c>
      <c r="F22" s="2">
        <f>IFERROR(IF(MID(F$2,6,7)="3",HLOOKUP(F$1,Bilanço!$1:$151,MATCH(Çeyreklik!$A22,Bilanço!$A:$A,0),0),HLOOKUP(F$1,Bilanço!$1:$151,MATCH(Çeyreklik!$A22,Bilanço!$A:$A,0),0)-HLOOKUP(E$1,Bilanço!$1:$151,MATCH(Çeyreklik!$A22,Bilanço!$A:$A,0),0)),"")</f>
        <v>-411000</v>
      </c>
      <c r="G22" s="2">
        <f>IFERROR(IF(MID(G$2,6,7)="3",HLOOKUP(G$1,Bilanço!$1:$151,MATCH(Çeyreklik!$A22,Bilanço!$A:$A,0),0),HLOOKUP(G$1,Bilanço!$1:$151,MATCH(Çeyreklik!$A22,Bilanço!$A:$A,0),0)-HLOOKUP(F$1,Bilanço!$1:$151,MATCH(Çeyreklik!$A22,Bilanço!$A:$A,0),0)),"")</f>
        <v>-15004000</v>
      </c>
      <c r="H22" s="2">
        <f>IFERROR(IF(MID(H$2,6,7)="3",HLOOKUP(H$1,Bilanço!$1:$151,MATCH(Çeyreklik!$A22,Bilanço!$A:$A,0),0),HLOOKUP(H$1,Bilanço!$1:$151,MATCH(Çeyreklik!$A22,Bilanço!$A:$A,0),0)-HLOOKUP(G$1,Bilanço!$1:$151,MATCH(Çeyreklik!$A22,Bilanço!$A:$A,0),0)),"")</f>
        <v>-114159000</v>
      </c>
      <c r="I22" s="2">
        <f>IFERROR(IF(MID(I$2,6,7)="3",HLOOKUP(I$1,Bilanço!$1:$151,MATCH(Çeyreklik!$A22,Bilanço!$A:$A,0),0),HLOOKUP(I$1,Bilanço!$1:$151,MATCH(Çeyreklik!$A22,Bilanço!$A:$A,0),0)-HLOOKUP(H$1,Bilanço!$1:$151,MATCH(Çeyreklik!$A22,Bilanço!$A:$A,0),0)),"")</f>
        <v>-739621000</v>
      </c>
      <c r="J22" s="2">
        <f>IFERROR(IF(MID(J$2,6,7)="3",HLOOKUP(J$1,Bilanço!$1:$151,MATCH(Çeyreklik!$A22,Bilanço!$A:$A,0),0),HLOOKUP(J$1,Bilanço!$1:$151,MATCH(Çeyreklik!$A22,Bilanço!$A:$A,0),0)-HLOOKUP(I$1,Bilanço!$1:$151,MATCH(Çeyreklik!$A22,Bilanço!$A:$A,0),0)),"")</f>
        <v>-758821000</v>
      </c>
      <c r="K22" s="2">
        <f>IFERROR(IF(MID(K$2,6,7)="3",HLOOKUP(K$1,Bilanço!$1:$151,MATCH(Çeyreklik!$A22,Bilanço!$A:$A,0),0),HLOOKUP(K$1,Bilanço!$1:$151,MATCH(Çeyreklik!$A22,Bilanço!$A:$A,0),0)-HLOOKUP(J$1,Bilanço!$1:$151,MATCH(Çeyreklik!$A22,Bilanço!$A:$A,0),0)),"")</f>
        <v>-404992000</v>
      </c>
      <c r="L22" s="2">
        <f>IFERROR(IF(MID(L$2,6,7)="3",HLOOKUP(L$1,Bilanço!$1:$151,MATCH(Çeyreklik!$A22,Bilanço!$A:$A,0),0),HLOOKUP(L$1,Bilanço!$1:$151,MATCH(Çeyreklik!$A22,Bilanço!$A:$A,0),0)-HLOOKUP(K$1,Bilanço!$1:$151,MATCH(Çeyreklik!$A22,Bilanço!$A:$A,0),0)),"")</f>
        <v>-1344078000</v>
      </c>
      <c r="M22" s="2">
        <f>IFERROR(IF(MID(M$2,6,7)="3",HLOOKUP(M$1,Bilanço!$1:$151,MATCH(Çeyreklik!$A22,Bilanço!$A:$A,0),0),HLOOKUP(M$1,Bilanço!$1:$151,MATCH(Çeyreklik!$A22,Bilanço!$A:$A,0),0)-HLOOKUP(L$1,Bilanço!$1:$151,MATCH(Çeyreklik!$A22,Bilanço!$A:$A,0),0)),"")</f>
        <v>-66668000</v>
      </c>
      <c r="N22" s="2">
        <f>IFERROR(IF(MID(N$2,6,7)="3",HLOOKUP(N$1,Bilanço!$1:$151,MATCH(Çeyreklik!$A22,Bilanço!$A:$A,0),0),HLOOKUP(N$1,Bilanço!$1:$151,MATCH(Çeyreklik!$A22,Bilanço!$A:$A,0),0)-HLOOKUP(M$1,Bilanço!$1:$151,MATCH(Çeyreklik!$A22,Bilanço!$A:$A,0),0)),"")</f>
        <v>-275093000</v>
      </c>
      <c r="O22" s="2">
        <f>IFERROR(IF(MID(O$2,6,7)="3",HLOOKUP(O$1,Bilanço!$1:$151,MATCH(Çeyreklik!$A22,Bilanço!$A:$A,0),0),HLOOKUP(O$1,Bilanço!$1:$151,MATCH(Çeyreklik!$A22,Bilanço!$A:$A,0),0)-HLOOKUP(N$1,Bilanço!$1:$151,MATCH(Çeyreklik!$A22,Bilanço!$A:$A,0),0)),"")</f>
        <v>-235781000</v>
      </c>
      <c r="P22" s="2">
        <f>IFERROR(IF(MID(P$2,6,7)="3",HLOOKUP(P$1,Bilanço!$1:$151,MATCH(Çeyreklik!$A22,Bilanço!$A:$A,0),0),HLOOKUP(P$1,Bilanço!$1:$151,MATCH(Çeyreklik!$A22,Bilanço!$A:$A,0),0)-HLOOKUP(O$1,Bilanço!$1:$151,MATCH(Çeyreklik!$A22,Bilanço!$A:$A,0),0)),"")</f>
        <v>-27099000</v>
      </c>
      <c r="Q22" s="2">
        <f>IFERROR(IF(MID(Q$2,6,7)="3",HLOOKUP(Q$1,Bilanço!$1:$151,MATCH(Çeyreklik!$A22,Bilanço!$A:$A,0),0),HLOOKUP(Q$1,Bilanço!$1:$151,MATCH(Çeyreklik!$A22,Bilanço!$A:$A,0),0)-HLOOKUP(P$1,Bilanço!$1:$151,MATCH(Çeyreklik!$A22,Bilanço!$A:$A,0),0)),"")</f>
        <v>-5220000</v>
      </c>
      <c r="R22" s="2">
        <f>IFERROR(IF(MID(R$2,6,7)="3",HLOOKUP(R$1,Bilanço!$1:$151,MATCH(Çeyreklik!$A22,Bilanço!$A:$A,0),0),HLOOKUP(R$1,Bilanço!$1:$151,MATCH(Çeyreklik!$A22,Bilanço!$A:$A,0),0)-HLOOKUP(Q$1,Bilanço!$1:$151,MATCH(Çeyreklik!$A22,Bilanço!$A:$A,0),0)),"")</f>
        <v>-7661000</v>
      </c>
      <c r="S22" s="2">
        <f>IFERROR(IF(MID(S$2,6,7)="3",HLOOKUP(S$1,Bilanço!$1:$151,MATCH(Çeyreklik!$A22,Bilanço!$A:$A,0),0),HLOOKUP(S$1,Bilanço!$1:$151,MATCH(Çeyreklik!$A22,Bilanço!$A:$A,0),0)-HLOOKUP(R$1,Bilanço!$1:$151,MATCH(Çeyreklik!$A22,Bilanço!$A:$A,0),0)),"")</f>
        <v>-149043000</v>
      </c>
      <c r="T22" s="2">
        <f>IFERROR(IF(MID(T$2,6,7)="3",HLOOKUP(T$1,Bilanço!$1:$151,MATCH(Çeyreklik!$A22,Bilanço!$A:$A,0),0),HLOOKUP(T$1,Bilanço!$1:$151,MATCH(Çeyreklik!$A22,Bilanço!$A:$A,0),0)-HLOOKUP(S$1,Bilanço!$1:$151,MATCH(Çeyreklik!$A22,Bilanço!$A:$A,0),0)),"")</f>
        <v>-168143960</v>
      </c>
      <c r="U22" s="2">
        <f>IFERROR(IF(MID(U$2,6,7)="3",HLOOKUP(U$1,Bilanço!$1:$151,MATCH(Çeyreklik!$A22,Bilanço!$A:$A,0),0),HLOOKUP(U$1,Bilanço!$1:$151,MATCH(Çeyreklik!$A22,Bilanço!$A:$A,0),0)-HLOOKUP(T$1,Bilanço!$1:$151,MATCH(Çeyreklik!$A22,Bilanço!$A:$A,0),0)),"")</f>
        <v>-575094000</v>
      </c>
      <c r="V22" s="2">
        <f>IFERROR(IF(MID(V$2,6,7)="3",HLOOKUP(V$1,Bilanço!$1:$151,MATCH(Çeyreklik!$A22,Bilanço!$A:$A,0),0),HLOOKUP(V$1,Bilanço!$1:$151,MATCH(Çeyreklik!$A22,Bilanço!$A:$A,0),0)-HLOOKUP(U$1,Bilanço!$1:$151,MATCH(Çeyreklik!$A22,Bilanço!$A:$A,0),0)),"")</f>
        <v>-41854000</v>
      </c>
      <c r="W22" s="2">
        <f>IFERROR(IF(MID(W$2,6,7)="3",HLOOKUP(W$1,Bilanço!$1:$151,MATCH(Çeyreklik!$A22,Bilanço!$A:$A,0),0),HLOOKUP(W$1,Bilanço!$1:$151,MATCH(Çeyreklik!$A22,Bilanço!$A:$A,0),0)-HLOOKUP(V$1,Bilanço!$1:$151,MATCH(Çeyreklik!$A22,Bilanço!$A:$A,0),0)),"")</f>
        <v>-122107000</v>
      </c>
    </row>
    <row r="23" spans="1:23" x14ac:dyDescent="0.25">
      <c r="A23" t="str">
        <f>Data!A94</f>
        <v xml:space="preserve">  Diğer Gelir ve Giderler</v>
      </c>
      <c r="B23" s="2">
        <f>IFERROR(IF($B$2="2022/3",IF(MID(B$2,6,7)="3",HLOOKUP(B$1,Bilanço!$1:$151,MATCH(Çeyreklik!$A23,Bilanço!$A:$A,0),0),HLOOKUP(B$1,Bilanço!$1:$151,MATCH(Çeyreklik!$A23,Bilanço!$A:$A,0),0)-HLOOKUP(A$1,Bilanço!$1:$151,MATCH(Çeyreklik!$A23,Bilanço!$A:$A,0),0)),IF(MID(B$2,6,7)="3",HLOOKUP(B$1,Bilanço!$1:$151,MATCH(Çeyreklik!$A23,Bilanço!$A:$A,0),0),HLOOKUP(B$1,Bilanço!$1:$151,MATCH(Çeyreklik!$A23,Bilanço!$A:$A,0),0)-HLOOKUP(Bilanço!$B$1,Bilanço!$1:$151,MATCH(Çeyreklik!$A23,Bilanço!$A:$A,0),0))),"")</f>
        <v>0</v>
      </c>
      <c r="C23" s="2">
        <f>IFERROR(IF(MID(C$2,6,7)="3",HLOOKUP(C$1,Bilanço!$1:$151,MATCH(Çeyreklik!$A23,Bilanço!$A:$A,0),0),HLOOKUP(C$1,Bilanço!$1:$151,MATCH(Çeyreklik!$A23,Bilanço!$A:$A,0),0)-HLOOKUP(B$1,Bilanço!$1:$151,MATCH(Çeyreklik!$A23,Bilanço!$A:$A,0),0)),"")</f>
        <v>0</v>
      </c>
      <c r="D23" s="2">
        <f>IFERROR(IF(MID(D$2,6,7)="3",HLOOKUP(D$1,Bilanço!$1:$151,MATCH(Çeyreklik!$A23,Bilanço!$A:$A,0),0),HLOOKUP(D$1,Bilanço!$1:$151,MATCH(Çeyreklik!$A23,Bilanço!$A:$A,0),0)-HLOOKUP(C$1,Bilanço!$1:$151,MATCH(Çeyreklik!$A23,Bilanço!$A:$A,0),0)),"")</f>
        <v>0</v>
      </c>
      <c r="E23" s="2">
        <f>IFERROR(IF(MID(E$2,6,7)="3",HLOOKUP(E$1,Bilanço!$1:$151,MATCH(Çeyreklik!$A23,Bilanço!$A:$A,0),0),HLOOKUP(E$1,Bilanço!$1:$151,MATCH(Çeyreklik!$A23,Bilanço!$A:$A,0),0)-HLOOKUP(D$1,Bilanço!$1:$151,MATCH(Çeyreklik!$A23,Bilanço!$A:$A,0),0)),"")</f>
        <v>0</v>
      </c>
      <c r="F23" s="2">
        <f>IFERROR(IF(MID(F$2,6,7)="3",HLOOKUP(F$1,Bilanço!$1:$151,MATCH(Çeyreklik!$A23,Bilanço!$A:$A,0),0),HLOOKUP(F$1,Bilanço!$1:$151,MATCH(Çeyreklik!$A23,Bilanço!$A:$A,0),0)-HLOOKUP(E$1,Bilanço!$1:$151,MATCH(Çeyreklik!$A23,Bilanço!$A:$A,0),0)),"")</f>
        <v>0</v>
      </c>
      <c r="G23" s="2">
        <f>IFERROR(IF(MID(G$2,6,7)="3",HLOOKUP(G$1,Bilanço!$1:$151,MATCH(Çeyreklik!$A23,Bilanço!$A:$A,0),0),HLOOKUP(G$1,Bilanço!$1:$151,MATCH(Çeyreklik!$A23,Bilanço!$A:$A,0),0)-HLOOKUP(F$1,Bilanço!$1:$151,MATCH(Çeyreklik!$A23,Bilanço!$A:$A,0),0)),"")</f>
        <v>0</v>
      </c>
      <c r="H23" s="2">
        <f>IFERROR(IF(MID(H$2,6,7)="3",HLOOKUP(H$1,Bilanço!$1:$151,MATCH(Çeyreklik!$A23,Bilanço!$A:$A,0),0),HLOOKUP(H$1,Bilanço!$1:$151,MATCH(Çeyreklik!$A23,Bilanço!$A:$A,0),0)-HLOOKUP(G$1,Bilanço!$1:$151,MATCH(Çeyreklik!$A23,Bilanço!$A:$A,0),0)),"")</f>
        <v>0</v>
      </c>
      <c r="I23" s="2">
        <f>IFERROR(IF(MID(I$2,6,7)="3",HLOOKUP(I$1,Bilanço!$1:$151,MATCH(Çeyreklik!$A23,Bilanço!$A:$A,0),0),HLOOKUP(I$1,Bilanço!$1:$151,MATCH(Çeyreklik!$A23,Bilanço!$A:$A,0),0)-HLOOKUP(H$1,Bilanço!$1:$151,MATCH(Çeyreklik!$A23,Bilanço!$A:$A,0),0)),"")</f>
        <v>0</v>
      </c>
      <c r="J23" s="2">
        <f>IFERROR(IF(MID(J$2,6,7)="3",HLOOKUP(J$1,Bilanço!$1:$151,MATCH(Çeyreklik!$A23,Bilanço!$A:$A,0),0),HLOOKUP(J$1,Bilanço!$1:$151,MATCH(Çeyreklik!$A23,Bilanço!$A:$A,0),0)-HLOOKUP(I$1,Bilanço!$1:$151,MATCH(Çeyreklik!$A23,Bilanço!$A:$A,0),0)),"")</f>
        <v>0</v>
      </c>
      <c r="K23" s="2">
        <f>IFERROR(IF(MID(K$2,6,7)="3",HLOOKUP(K$1,Bilanço!$1:$151,MATCH(Çeyreklik!$A23,Bilanço!$A:$A,0),0),HLOOKUP(K$1,Bilanço!$1:$151,MATCH(Çeyreklik!$A23,Bilanço!$A:$A,0),0)-HLOOKUP(J$1,Bilanço!$1:$151,MATCH(Çeyreklik!$A23,Bilanço!$A:$A,0),0)),"")</f>
        <v>0</v>
      </c>
      <c r="L23" s="2">
        <f>IFERROR(IF(MID(L$2,6,7)="3",HLOOKUP(L$1,Bilanço!$1:$151,MATCH(Çeyreklik!$A23,Bilanço!$A:$A,0),0),HLOOKUP(L$1,Bilanço!$1:$151,MATCH(Çeyreklik!$A23,Bilanço!$A:$A,0),0)-HLOOKUP(K$1,Bilanço!$1:$151,MATCH(Çeyreklik!$A23,Bilanço!$A:$A,0),0)),"")</f>
        <v>0</v>
      </c>
      <c r="M23" s="2">
        <f>IFERROR(IF(MID(M$2,6,7)="3",HLOOKUP(M$1,Bilanço!$1:$151,MATCH(Çeyreklik!$A23,Bilanço!$A:$A,0),0),HLOOKUP(M$1,Bilanço!$1:$151,MATCH(Çeyreklik!$A23,Bilanço!$A:$A,0),0)-HLOOKUP(L$1,Bilanço!$1:$151,MATCH(Çeyreklik!$A23,Bilanço!$A:$A,0),0)),"")</f>
        <v>0</v>
      </c>
      <c r="N23" s="2">
        <f>IFERROR(IF(MID(N$2,6,7)="3",HLOOKUP(N$1,Bilanço!$1:$151,MATCH(Çeyreklik!$A23,Bilanço!$A:$A,0),0),HLOOKUP(N$1,Bilanço!$1:$151,MATCH(Çeyreklik!$A23,Bilanço!$A:$A,0),0)-HLOOKUP(M$1,Bilanço!$1:$151,MATCH(Çeyreklik!$A23,Bilanço!$A:$A,0),0)),"")</f>
        <v>0</v>
      </c>
      <c r="O23" s="2">
        <f>IFERROR(IF(MID(O$2,6,7)="3",HLOOKUP(O$1,Bilanço!$1:$151,MATCH(Çeyreklik!$A23,Bilanço!$A:$A,0),0),HLOOKUP(O$1,Bilanço!$1:$151,MATCH(Çeyreklik!$A23,Bilanço!$A:$A,0),0)-HLOOKUP(N$1,Bilanço!$1:$151,MATCH(Çeyreklik!$A23,Bilanço!$A:$A,0),0)),"")</f>
        <v>0</v>
      </c>
      <c r="P23" s="2">
        <f>IFERROR(IF(MID(P$2,6,7)="3",HLOOKUP(P$1,Bilanço!$1:$151,MATCH(Çeyreklik!$A23,Bilanço!$A:$A,0),0),HLOOKUP(P$1,Bilanço!$1:$151,MATCH(Çeyreklik!$A23,Bilanço!$A:$A,0),0)-HLOOKUP(O$1,Bilanço!$1:$151,MATCH(Çeyreklik!$A23,Bilanço!$A:$A,0),0)),"")</f>
        <v>0</v>
      </c>
      <c r="Q23" s="2">
        <f>IFERROR(IF(MID(Q$2,6,7)="3",HLOOKUP(Q$1,Bilanço!$1:$151,MATCH(Çeyreklik!$A23,Bilanço!$A:$A,0),0),HLOOKUP(Q$1,Bilanço!$1:$151,MATCH(Çeyreklik!$A23,Bilanço!$A:$A,0),0)-HLOOKUP(P$1,Bilanço!$1:$151,MATCH(Çeyreklik!$A23,Bilanço!$A:$A,0),0)),"")</f>
        <v>0</v>
      </c>
      <c r="R23" s="2">
        <f>IFERROR(IF(MID(R$2,6,7)="3",HLOOKUP(R$1,Bilanço!$1:$151,MATCH(Çeyreklik!$A23,Bilanço!$A:$A,0),0),HLOOKUP(R$1,Bilanço!$1:$151,MATCH(Çeyreklik!$A23,Bilanço!$A:$A,0),0)-HLOOKUP(Q$1,Bilanço!$1:$151,MATCH(Çeyreklik!$A23,Bilanço!$A:$A,0),0)),"")</f>
        <v>0</v>
      </c>
      <c r="S23" s="2">
        <f>IFERROR(IF(MID(S$2,6,7)="3",HLOOKUP(S$1,Bilanço!$1:$151,MATCH(Çeyreklik!$A23,Bilanço!$A:$A,0),0),HLOOKUP(S$1,Bilanço!$1:$151,MATCH(Çeyreklik!$A23,Bilanço!$A:$A,0),0)-HLOOKUP(R$1,Bilanço!$1:$151,MATCH(Çeyreklik!$A23,Bilanço!$A:$A,0),0)),"")</f>
        <v>0</v>
      </c>
      <c r="T23" s="2">
        <f>IFERROR(IF(MID(T$2,6,7)="3",HLOOKUP(T$1,Bilanço!$1:$151,MATCH(Çeyreklik!$A23,Bilanço!$A:$A,0),0),HLOOKUP(T$1,Bilanço!$1:$151,MATCH(Çeyreklik!$A23,Bilanço!$A:$A,0),0)-HLOOKUP(S$1,Bilanço!$1:$151,MATCH(Çeyreklik!$A23,Bilanço!$A:$A,0),0)),"")</f>
        <v>0</v>
      </c>
      <c r="U23" s="2">
        <f>IFERROR(IF(MID(U$2,6,7)="3",HLOOKUP(U$1,Bilanço!$1:$151,MATCH(Çeyreklik!$A23,Bilanço!$A:$A,0),0),HLOOKUP(U$1,Bilanço!$1:$151,MATCH(Çeyreklik!$A23,Bilanço!$A:$A,0),0)-HLOOKUP(T$1,Bilanço!$1:$151,MATCH(Çeyreklik!$A23,Bilanço!$A:$A,0),0)),"")</f>
        <v>0</v>
      </c>
      <c r="V23" s="2">
        <f>IFERROR(IF(MID(V$2,6,7)="3",HLOOKUP(V$1,Bilanço!$1:$151,MATCH(Çeyreklik!$A23,Bilanço!$A:$A,0),0),HLOOKUP(V$1,Bilanço!$1:$151,MATCH(Çeyreklik!$A23,Bilanço!$A:$A,0),0)-HLOOKUP(U$1,Bilanço!$1:$151,MATCH(Çeyreklik!$A23,Bilanço!$A:$A,0),0)),"")</f>
        <v>0</v>
      </c>
      <c r="W23" s="2">
        <f>IFERROR(IF(MID(W$2,6,7)="3",HLOOKUP(W$1,Bilanço!$1:$151,MATCH(Çeyreklik!$A23,Bilanço!$A:$A,0),0),HLOOKUP(W$1,Bilanço!$1:$151,MATCH(Çeyreklik!$A23,Bilanço!$A:$A,0),0)-HLOOKUP(V$1,Bilanço!$1:$151,MATCH(Çeyreklik!$A23,Bilanço!$A:$A,0),0)),"")</f>
        <v>0</v>
      </c>
    </row>
    <row r="24" spans="1:23" x14ac:dyDescent="0.25">
      <c r="A24" t="str">
        <f>Data!A95</f>
        <v>Özkaynak Yöntemiyle Değerlenen Yatırımların Kar/Zararlarındaki Paylar</v>
      </c>
      <c r="B24" s="2">
        <f>IFERROR(IF($B$2="2022/3",IF(MID(B$2,6,7)="3",HLOOKUP(B$1,Bilanço!$1:$151,MATCH(Çeyreklik!$A24,Bilanço!$A:$A,0),0),HLOOKUP(B$1,Bilanço!$1:$151,MATCH(Çeyreklik!$A24,Bilanço!$A:$A,0),0)-HLOOKUP(A$1,Bilanço!$1:$151,MATCH(Çeyreklik!$A24,Bilanço!$A:$A,0),0)),IF(MID(B$2,6,7)="3",HLOOKUP(B$1,Bilanço!$1:$151,MATCH(Çeyreklik!$A24,Bilanço!$A:$A,0),0),HLOOKUP(B$1,Bilanço!$1:$151,MATCH(Çeyreklik!$A24,Bilanço!$A:$A,0),0)-HLOOKUP(Bilanço!$B$1,Bilanço!$1:$151,MATCH(Çeyreklik!$A24,Bilanço!$A:$A,0),0))),"")</f>
        <v>0</v>
      </c>
      <c r="C24" s="2">
        <f>IFERROR(IF(MID(C$2,6,7)="3",HLOOKUP(C$1,Bilanço!$1:$151,MATCH(Çeyreklik!$A24,Bilanço!$A:$A,0),0),HLOOKUP(C$1,Bilanço!$1:$151,MATCH(Çeyreklik!$A24,Bilanço!$A:$A,0),0)-HLOOKUP(B$1,Bilanço!$1:$151,MATCH(Çeyreklik!$A24,Bilanço!$A:$A,0),0)),"")</f>
        <v>0</v>
      </c>
      <c r="D24" s="2">
        <f>IFERROR(IF(MID(D$2,6,7)="3",HLOOKUP(D$1,Bilanço!$1:$151,MATCH(Çeyreklik!$A24,Bilanço!$A:$A,0),0),HLOOKUP(D$1,Bilanço!$1:$151,MATCH(Çeyreklik!$A24,Bilanço!$A:$A,0),0)-HLOOKUP(C$1,Bilanço!$1:$151,MATCH(Çeyreklik!$A24,Bilanço!$A:$A,0),0)),"")</f>
        <v>0</v>
      </c>
      <c r="E24" s="2">
        <f>IFERROR(IF(MID(E$2,6,7)="3",HLOOKUP(E$1,Bilanço!$1:$151,MATCH(Çeyreklik!$A24,Bilanço!$A:$A,0),0),HLOOKUP(E$1,Bilanço!$1:$151,MATCH(Çeyreklik!$A24,Bilanço!$A:$A,0),0)-HLOOKUP(D$1,Bilanço!$1:$151,MATCH(Çeyreklik!$A24,Bilanço!$A:$A,0),0)),"")</f>
        <v>0</v>
      </c>
      <c r="F24" s="2">
        <f>IFERROR(IF(MID(F$2,6,7)="3",HLOOKUP(F$1,Bilanço!$1:$151,MATCH(Çeyreklik!$A24,Bilanço!$A:$A,0),0),HLOOKUP(F$1,Bilanço!$1:$151,MATCH(Çeyreklik!$A24,Bilanço!$A:$A,0),0)-HLOOKUP(E$1,Bilanço!$1:$151,MATCH(Çeyreklik!$A24,Bilanço!$A:$A,0),0)),"")</f>
        <v>0</v>
      </c>
      <c r="G24" s="2">
        <f>IFERROR(IF(MID(G$2,6,7)="3",HLOOKUP(G$1,Bilanço!$1:$151,MATCH(Çeyreklik!$A24,Bilanço!$A:$A,0),0),HLOOKUP(G$1,Bilanço!$1:$151,MATCH(Çeyreklik!$A24,Bilanço!$A:$A,0),0)-HLOOKUP(F$1,Bilanço!$1:$151,MATCH(Çeyreklik!$A24,Bilanço!$A:$A,0),0)),"")</f>
        <v>0</v>
      </c>
      <c r="H24" s="2">
        <f>IFERROR(IF(MID(H$2,6,7)="3",HLOOKUP(H$1,Bilanço!$1:$151,MATCH(Çeyreklik!$A24,Bilanço!$A:$A,0),0),HLOOKUP(H$1,Bilanço!$1:$151,MATCH(Çeyreklik!$A24,Bilanço!$A:$A,0),0)-HLOOKUP(G$1,Bilanço!$1:$151,MATCH(Çeyreklik!$A24,Bilanço!$A:$A,0),0)),"")</f>
        <v>0</v>
      </c>
      <c r="I24" s="2">
        <f>IFERROR(IF(MID(I$2,6,7)="3",HLOOKUP(I$1,Bilanço!$1:$151,MATCH(Çeyreklik!$A24,Bilanço!$A:$A,0),0),HLOOKUP(I$1,Bilanço!$1:$151,MATCH(Çeyreklik!$A24,Bilanço!$A:$A,0),0)-HLOOKUP(H$1,Bilanço!$1:$151,MATCH(Çeyreklik!$A24,Bilanço!$A:$A,0),0)),"")</f>
        <v>0</v>
      </c>
      <c r="J24" s="2">
        <f>IFERROR(IF(MID(J$2,6,7)="3",HLOOKUP(J$1,Bilanço!$1:$151,MATCH(Çeyreklik!$A24,Bilanço!$A:$A,0),0),HLOOKUP(J$1,Bilanço!$1:$151,MATCH(Çeyreklik!$A24,Bilanço!$A:$A,0),0)-HLOOKUP(I$1,Bilanço!$1:$151,MATCH(Çeyreklik!$A24,Bilanço!$A:$A,0),0)),"")</f>
        <v>0</v>
      </c>
      <c r="K24" s="2">
        <f>IFERROR(IF(MID(K$2,6,7)="3",HLOOKUP(K$1,Bilanço!$1:$151,MATCH(Çeyreklik!$A24,Bilanço!$A:$A,0),0),HLOOKUP(K$1,Bilanço!$1:$151,MATCH(Çeyreklik!$A24,Bilanço!$A:$A,0),0)-HLOOKUP(J$1,Bilanço!$1:$151,MATCH(Çeyreklik!$A24,Bilanço!$A:$A,0),0)),"")</f>
        <v>0</v>
      </c>
      <c r="L24" s="2">
        <f>IFERROR(IF(MID(L$2,6,7)="3",HLOOKUP(L$1,Bilanço!$1:$151,MATCH(Çeyreklik!$A24,Bilanço!$A:$A,0),0),HLOOKUP(L$1,Bilanço!$1:$151,MATCH(Çeyreklik!$A24,Bilanço!$A:$A,0),0)-HLOOKUP(K$1,Bilanço!$1:$151,MATCH(Çeyreklik!$A24,Bilanço!$A:$A,0),0)),"")</f>
        <v>0</v>
      </c>
      <c r="M24" s="2">
        <f>IFERROR(IF(MID(M$2,6,7)="3",HLOOKUP(M$1,Bilanço!$1:$151,MATCH(Çeyreklik!$A24,Bilanço!$A:$A,0),0),HLOOKUP(M$1,Bilanço!$1:$151,MATCH(Çeyreklik!$A24,Bilanço!$A:$A,0),0)-HLOOKUP(L$1,Bilanço!$1:$151,MATCH(Çeyreklik!$A24,Bilanço!$A:$A,0),0)),"")</f>
        <v>0</v>
      </c>
      <c r="N24" s="2">
        <f>IFERROR(IF(MID(N$2,6,7)="3",HLOOKUP(N$1,Bilanço!$1:$151,MATCH(Çeyreklik!$A24,Bilanço!$A:$A,0),0),HLOOKUP(N$1,Bilanço!$1:$151,MATCH(Çeyreklik!$A24,Bilanço!$A:$A,0),0)-HLOOKUP(M$1,Bilanço!$1:$151,MATCH(Çeyreklik!$A24,Bilanço!$A:$A,0),0)),"")</f>
        <v>0</v>
      </c>
      <c r="O24" s="2">
        <f>IFERROR(IF(MID(O$2,6,7)="3",HLOOKUP(O$1,Bilanço!$1:$151,MATCH(Çeyreklik!$A24,Bilanço!$A:$A,0),0),HLOOKUP(O$1,Bilanço!$1:$151,MATCH(Çeyreklik!$A24,Bilanço!$A:$A,0),0)-HLOOKUP(N$1,Bilanço!$1:$151,MATCH(Çeyreklik!$A24,Bilanço!$A:$A,0),0)),"")</f>
        <v>0</v>
      </c>
      <c r="P24" s="2">
        <f>IFERROR(IF(MID(P$2,6,7)="3",HLOOKUP(P$1,Bilanço!$1:$151,MATCH(Çeyreklik!$A24,Bilanço!$A:$A,0),0),HLOOKUP(P$1,Bilanço!$1:$151,MATCH(Çeyreklik!$A24,Bilanço!$A:$A,0),0)-HLOOKUP(O$1,Bilanço!$1:$151,MATCH(Çeyreklik!$A24,Bilanço!$A:$A,0),0)),"")</f>
        <v>0</v>
      </c>
      <c r="Q24" s="2">
        <f>IFERROR(IF(MID(Q$2,6,7)="3",HLOOKUP(Q$1,Bilanço!$1:$151,MATCH(Çeyreklik!$A24,Bilanço!$A:$A,0),0),HLOOKUP(Q$1,Bilanço!$1:$151,MATCH(Çeyreklik!$A24,Bilanço!$A:$A,0),0)-HLOOKUP(P$1,Bilanço!$1:$151,MATCH(Çeyreklik!$A24,Bilanço!$A:$A,0),0)),"")</f>
        <v>0</v>
      </c>
      <c r="R24" s="2">
        <f>IFERROR(IF(MID(R$2,6,7)="3",HLOOKUP(R$1,Bilanço!$1:$151,MATCH(Çeyreklik!$A24,Bilanço!$A:$A,0),0),HLOOKUP(R$1,Bilanço!$1:$151,MATCH(Çeyreklik!$A24,Bilanço!$A:$A,0),0)-HLOOKUP(Q$1,Bilanço!$1:$151,MATCH(Çeyreklik!$A24,Bilanço!$A:$A,0),0)),"")</f>
        <v>0</v>
      </c>
      <c r="S24" s="2">
        <f>IFERROR(IF(MID(S$2,6,7)="3",HLOOKUP(S$1,Bilanço!$1:$151,MATCH(Çeyreklik!$A24,Bilanço!$A:$A,0),0),HLOOKUP(S$1,Bilanço!$1:$151,MATCH(Çeyreklik!$A24,Bilanço!$A:$A,0),0)-HLOOKUP(R$1,Bilanço!$1:$151,MATCH(Çeyreklik!$A24,Bilanço!$A:$A,0),0)),"")</f>
        <v>0</v>
      </c>
      <c r="T24" s="2">
        <f>IFERROR(IF(MID(T$2,6,7)="3",HLOOKUP(T$1,Bilanço!$1:$151,MATCH(Çeyreklik!$A24,Bilanço!$A:$A,0),0),HLOOKUP(T$1,Bilanço!$1:$151,MATCH(Çeyreklik!$A24,Bilanço!$A:$A,0),0)-HLOOKUP(S$1,Bilanço!$1:$151,MATCH(Çeyreklik!$A24,Bilanço!$A:$A,0),0)),"")</f>
        <v>0</v>
      </c>
      <c r="U24" s="2">
        <f>IFERROR(IF(MID(U$2,6,7)="3",HLOOKUP(U$1,Bilanço!$1:$151,MATCH(Çeyreklik!$A24,Bilanço!$A:$A,0),0),HLOOKUP(U$1,Bilanço!$1:$151,MATCH(Çeyreklik!$A24,Bilanço!$A:$A,0),0)-HLOOKUP(T$1,Bilanço!$1:$151,MATCH(Çeyreklik!$A24,Bilanço!$A:$A,0),0)),"")</f>
        <v>0</v>
      </c>
      <c r="V24" s="2">
        <f>IFERROR(IF(MID(V$2,6,7)="3",HLOOKUP(V$1,Bilanço!$1:$151,MATCH(Çeyreklik!$A24,Bilanço!$A:$A,0),0),HLOOKUP(V$1,Bilanço!$1:$151,MATCH(Çeyreklik!$A24,Bilanço!$A:$A,0),0)-HLOOKUP(U$1,Bilanço!$1:$151,MATCH(Çeyreklik!$A24,Bilanço!$A:$A,0),0)),"")</f>
        <v>0</v>
      </c>
      <c r="W24" s="2">
        <f>IFERROR(IF(MID(W$2,6,7)="3",HLOOKUP(W$1,Bilanço!$1:$151,MATCH(Çeyreklik!$A24,Bilanço!$A:$A,0),0),HLOOKUP(W$1,Bilanço!$1:$151,MATCH(Çeyreklik!$A24,Bilanço!$A:$A,0),0)-HLOOKUP(V$1,Bilanço!$1:$151,MATCH(Çeyreklik!$A24,Bilanço!$A:$A,0),0)),"")</f>
        <v>0</v>
      </c>
    </row>
    <row r="25" spans="1:23" x14ac:dyDescent="0.25">
      <c r="A25" t="str">
        <f>Data!A96</f>
        <v>Finansman Gideri Öncesi Faaliyet Karı/Zararı</v>
      </c>
      <c r="B25" s="2">
        <f>IFERROR(IF($B$2="2022/3",IF(MID(B$2,6,7)="3",HLOOKUP(B$1,Bilanço!$1:$151,MATCH(Çeyreklik!$A25,Bilanço!$A:$A,0),0),HLOOKUP(B$1,Bilanço!$1:$151,MATCH(Çeyreklik!$A25,Bilanço!$A:$A,0),0)-HLOOKUP(A$1,Bilanço!$1:$151,MATCH(Çeyreklik!$A25,Bilanço!$A:$A,0),0)),IF(MID(B$2,6,7)="3",HLOOKUP(B$1,Bilanço!$1:$151,MATCH(Çeyreklik!$A25,Bilanço!$A:$A,0),0),HLOOKUP(B$1,Bilanço!$1:$151,MATCH(Çeyreklik!$A25,Bilanço!$A:$A,0),0)-HLOOKUP(Bilanço!$B$1,Bilanço!$1:$151,MATCH(Çeyreklik!$A25,Bilanço!$A:$A,0),0))),"")</f>
        <v>1091992000</v>
      </c>
      <c r="C25" s="2">
        <f>IFERROR(IF(MID(C$2,6,7)="3",HLOOKUP(C$1,Bilanço!$1:$151,MATCH(Çeyreklik!$A25,Bilanço!$A:$A,0),0),HLOOKUP(C$1,Bilanço!$1:$151,MATCH(Çeyreklik!$A25,Bilanço!$A:$A,0),0)-HLOOKUP(B$1,Bilanço!$1:$151,MATCH(Çeyreklik!$A25,Bilanço!$A:$A,0),0)),"")</f>
        <v>1960540000</v>
      </c>
      <c r="D25" s="2">
        <f>IFERROR(IF(MID(D$2,6,7)="3",HLOOKUP(D$1,Bilanço!$1:$151,MATCH(Çeyreklik!$A25,Bilanço!$A:$A,0),0),HLOOKUP(D$1,Bilanço!$1:$151,MATCH(Çeyreklik!$A25,Bilanço!$A:$A,0),0)-HLOOKUP(C$1,Bilanço!$1:$151,MATCH(Çeyreklik!$A25,Bilanço!$A:$A,0),0)),"")</f>
        <v>131427000</v>
      </c>
      <c r="E25" s="2">
        <f>IFERROR(IF(MID(E$2,6,7)="3",HLOOKUP(E$1,Bilanço!$1:$151,MATCH(Çeyreklik!$A25,Bilanço!$A:$A,0),0),HLOOKUP(E$1,Bilanço!$1:$151,MATCH(Çeyreklik!$A25,Bilanço!$A:$A,0),0)-HLOOKUP(D$1,Bilanço!$1:$151,MATCH(Çeyreklik!$A25,Bilanço!$A:$A,0),0)),"")</f>
        <v>1976706000</v>
      </c>
      <c r="F25" s="2">
        <f>IFERROR(IF(MID(F$2,6,7)="3",HLOOKUP(F$1,Bilanço!$1:$151,MATCH(Çeyreklik!$A25,Bilanço!$A:$A,0),0),HLOOKUP(F$1,Bilanço!$1:$151,MATCH(Çeyreklik!$A25,Bilanço!$A:$A,0),0)-HLOOKUP(E$1,Bilanço!$1:$151,MATCH(Çeyreklik!$A25,Bilanço!$A:$A,0),0)),"")</f>
        <v>1205506000</v>
      </c>
      <c r="G25" s="2">
        <f>IFERROR(IF(MID(G$2,6,7)="3",HLOOKUP(G$1,Bilanço!$1:$151,MATCH(Çeyreklik!$A25,Bilanço!$A:$A,0),0),HLOOKUP(G$1,Bilanço!$1:$151,MATCH(Çeyreklik!$A25,Bilanço!$A:$A,0),0)-HLOOKUP(F$1,Bilanço!$1:$151,MATCH(Çeyreklik!$A25,Bilanço!$A:$A,0),0)),"")</f>
        <v>328305000</v>
      </c>
      <c r="H25" s="2">
        <f>IFERROR(IF(MID(H$2,6,7)="3",HLOOKUP(H$1,Bilanço!$1:$151,MATCH(Çeyreklik!$A25,Bilanço!$A:$A,0),0),HLOOKUP(H$1,Bilanço!$1:$151,MATCH(Çeyreklik!$A25,Bilanço!$A:$A,0),0)-HLOOKUP(G$1,Bilanço!$1:$151,MATCH(Çeyreklik!$A25,Bilanço!$A:$A,0),0)),"")</f>
        <v>4884684000</v>
      </c>
      <c r="I25" s="2">
        <f>IFERROR(IF(MID(I$2,6,7)="3",HLOOKUP(I$1,Bilanço!$1:$151,MATCH(Çeyreklik!$A25,Bilanço!$A:$A,0),0),HLOOKUP(I$1,Bilanço!$1:$151,MATCH(Çeyreklik!$A25,Bilanço!$A:$A,0),0)-HLOOKUP(H$1,Bilanço!$1:$151,MATCH(Çeyreklik!$A25,Bilanço!$A:$A,0),0)),"")</f>
        <v>1677922000</v>
      </c>
      <c r="J25" s="2">
        <f>IFERROR(IF(MID(J$2,6,7)="3",HLOOKUP(J$1,Bilanço!$1:$151,MATCH(Çeyreklik!$A25,Bilanço!$A:$A,0),0),HLOOKUP(J$1,Bilanço!$1:$151,MATCH(Çeyreklik!$A25,Bilanço!$A:$A,0),0)-HLOOKUP(I$1,Bilanço!$1:$151,MATCH(Çeyreklik!$A25,Bilanço!$A:$A,0),0)),"")</f>
        <v>1830673000</v>
      </c>
      <c r="K25" s="2">
        <f>IFERROR(IF(MID(K$2,6,7)="3",HLOOKUP(K$1,Bilanço!$1:$151,MATCH(Çeyreklik!$A25,Bilanço!$A:$A,0),0),HLOOKUP(K$1,Bilanço!$1:$151,MATCH(Çeyreklik!$A25,Bilanço!$A:$A,0),0)-HLOOKUP(J$1,Bilanço!$1:$151,MATCH(Çeyreklik!$A25,Bilanço!$A:$A,0),0)),"")</f>
        <v>2448098000</v>
      </c>
      <c r="L25" s="2">
        <f>IFERROR(IF(MID(L$2,6,7)="3",HLOOKUP(L$1,Bilanço!$1:$151,MATCH(Çeyreklik!$A25,Bilanço!$A:$A,0),0),HLOOKUP(L$1,Bilanço!$1:$151,MATCH(Çeyreklik!$A25,Bilanço!$A:$A,0),0)-HLOOKUP(K$1,Bilanço!$1:$151,MATCH(Çeyreklik!$A25,Bilanço!$A:$A,0),0)),"")</f>
        <v>5665422000</v>
      </c>
      <c r="M25" s="2">
        <f>IFERROR(IF(MID(M$2,6,7)="3",HLOOKUP(M$1,Bilanço!$1:$151,MATCH(Çeyreklik!$A25,Bilanço!$A:$A,0),0),HLOOKUP(M$1,Bilanço!$1:$151,MATCH(Çeyreklik!$A25,Bilanço!$A:$A,0),0)-HLOOKUP(L$1,Bilanço!$1:$151,MATCH(Çeyreklik!$A25,Bilanço!$A:$A,0),0)),"")</f>
        <v>4430556000</v>
      </c>
      <c r="N25" s="2">
        <f>IFERROR(IF(MID(N$2,6,7)="3",HLOOKUP(N$1,Bilanço!$1:$151,MATCH(Çeyreklik!$A25,Bilanço!$A:$A,0),0),HLOOKUP(N$1,Bilanço!$1:$151,MATCH(Çeyreklik!$A25,Bilanço!$A:$A,0),0)-HLOOKUP(M$1,Bilanço!$1:$151,MATCH(Çeyreklik!$A25,Bilanço!$A:$A,0),0)),"")</f>
        <v>10829971000</v>
      </c>
      <c r="O25" s="2">
        <f>IFERROR(IF(MID(O$2,6,7)="3",HLOOKUP(O$1,Bilanço!$1:$151,MATCH(Çeyreklik!$A25,Bilanço!$A:$A,0),0),HLOOKUP(O$1,Bilanço!$1:$151,MATCH(Çeyreklik!$A25,Bilanço!$A:$A,0),0)-HLOOKUP(N$1,Bilanço!$1:$151,MATCH(Çeyreklik!$A25,Bilanço!$A:$A,0),0)),"")</f>
        <v>4446268000</v>
      </c>
      <c r="P25" s="2">
        <f>IFERROR(IF(MID(P$2,6,7)="3",HLOOKUP(P$1,Bilanço!$1:$151,MATCH(Çeyreklik!$A25,Bilanço!$A:$A,0),0),HLOOKUP(P$1,Bilanço!$1:$151,MATCH(Çeyreklik!$A25,Bilanço!$A:$A,0),0)-HLOOKUP(O$1,Bilanço!$1:$151,MATCH(Çeyreklik!$A25,Bilanço!$A:$A,0),0)),"")</f>
        <v>6566892000</v>
      </c>
      <c r="Q25" s="2">
        <f>IFERROR(IF(MID(Q$2,6,7)="3",HLOOKUP(Q$1,Bilanço!$1:$151,MATCH(Çeyreklik!$A25,Bilanço!$A:$A,0),0),HLOOKUP(Q$1,Bilanço!$1:$151,MATCH(Çeyreklik!$A25,Bilanço!$A:$A,0),0)-HLOOKUP(P$1,Bilanço!$1:$151,MATCH(Çeyreklik!$A25,Bilanço!$A:$A,0),0)),"")</f>
        <v>7614657000</v>
      </c>
      <c r="R25" s="2">
        <f>IFERROR(IF(MID(R$2,6,7)="3",HLOOKUP(R$1,Bilanço!$1:$151,MATCH(Çeyreklik!$A25,Bilanço!$A:$A,0),0),HLOOKUP(R$1,Bilanço!$1:$151,MATCH(Çeyreklik!$A25,Bilanço!$A:$A,0),0)-HLOOKUP(Q$1,Bilanço!$1:$151,MATCH(Çeyreklik!$A25,Bilanço!$A:$A,0),0)),"")</f>
        <v>4768534000</v>
      </c>
      <c r="S25" s="2">
        <f>IFERROR(IF(MID(S$2,6,7)="3",HLOOKUP(S$1,Bilanço!$1:$151,MATCH(Çeyreklik!$A25,Bilanço!$A:$A,0),0),HLOOKUP(S$1,Bilanço!$1:$151,MATCH(Çeyreklik!$A25,Bilanço!$A:$A,0),0)-HLOOKUP(R$1,Bilanço!$1:$151,MATCH(Çeyreklik!$A25,Bilanço!$A:$A,0),0)),"")</f>
        <v>6828760000</v>
      </c>
      <c r="T25" s="2">
        <f>IFERROR(IF(MID(T$2,6,7)="3",HLOOKUP(T$1,Bilanço!$1:$151,MATCH(Çeyreklik!$A25,Bilanço!$A:$A,0),0),HLOOKUP(T$1,Bilanço!$1:$151,MATCH(Çeyreklik!$A25,Bilanço!$A:$A,0),0)-HLOOKUP(S$1,Bilanço!$1:$151,MATCH(Çeyreklik!$A25,Bilanço!$A:$A,0),0)),"")</f>
        <v>6028775526</v>
      </c>
      <c r="U25" s="2">
        <f>IFERROR(IF(MID(U$2,6,7)="3",HLOOKUP(U$1,Bilanço!$1:$151,MATCH(Çeyreklik!$A25,Bilanço!$A:$A,0),0),HLOOKUP(U$1,Bilanço!$1:$151,MATCH(Çeyreklik!$A25,Bilanço!$A:$A,0),0)-HLOOKUP(T$1,Bilanço!$1:$151,MATCH(Çeyreklik!$A25,Bilanço!$A:$A,0),0)),"")</f>
        <v>8189067000</v>
      </c>
      <c r="V25" s="2">
        <f>IFERROR(IF(MID(V$2,6,7)="3",HLOOKUP(V$1,Bilanço!$1:$151,MATCH(Çeyreklik!$A25,Bilanço!$A:$A,0),0),HLOOKUP(V$1,Bilanço!$1:$151,MATCH(Çeyreklik!$A25,Bilanço!$A:$A,0),0)-HLOOKUP(U$1,Bilanço!$1:$151,MATCH(Çeyreklik!$A25,Bilanço!$A:$A,0),0)),"")</f>
        <v>6503996000</v>
      </c>
      <c r="W25" s="2">
        <f>IFERROR(IF(MID(W$2,6,7)="3",HLOOKUP(W$1,Bilanço!$1:$151,MATCH(Çeyreklik!$A25,Bilanço!$A:$A,0),0),HLOOKUP(W$1,Bilanço!$1:$151,MATCH(Çeyreklik!$A25,Bilanço!$A:$A,0),0)-HLOOKUP(V$1,Bilanço!$1:$151,MATCH(Çeyreklik!$A25,Bilanço!$A:$A,0),0)),"")</f>
        <v>7775329000</v>
      </c>
    </row>
    <row r="26" spans="1:23" x14ac:dyDescent="0.25">
      <c r="A26" t="str">
        <f>Data!A97</f>
        <v>(Esas Faaliyet Dışı) Finansal Gelirler</v>
      </c>
      <c r="B26" s="2">
        <f>IFERROR(IF($B$2="2022/3",IF(MID(B$2,6,7)="3",HLOOKUP(B$1,Bilanço!$1:$151,MATCH(Çeyreklik!$A26,Bilanço!$A:$A,0),0),HLOOKUP(B$1,Bilanço!$1:$151,MATCH(Çeyreklik!$A26,Bilanço!$A:$A,0),0)-HLOOKUP(A$1,Bilanço!$1:$151,MATCH(Çeyreklik!$A26,Bilanço!$A:$A,0),0)),IF(MID(B$2,6,7)="3",HLOOKUP(B$1,Bilanço!$1:$151,MATCH(Çeyreklik!$A26,Bilanço!$A:$A,0),0),HLOOKUP(B$1,Bilanço!$1:$151,MATCH(Çeyreklik!$A26,Bilanço!$A:$A,0),0)-HLOOKUP(Bilanço!$B$1,Bilanço!$1:$151,MATCH(Çeyreklik!$A26,Bilanço!$A:$A,0),0))),"")</f>
        <v>182141000</v>
      </c>
      <c r="C26" s="2">
        <f>IFERROR(IF(MID(C$2,6,7)="3",HLOOKUP(C$1,Bilanço!$1:$151,MATCH(Çeyreklik!$A26,Bilanço!$A:$A,0),0),HLOOKUP(C$1,Bilanço!$1:$151,MATCH(Çeyreklik!$A26,Bilanço!$A:$A,0),0)-HLOOKUP(B$1,Bilanço!$1:$151,MATCH(Çeyreklik!$A26,Bilanço!$A:$A,0),0)),"")</f>
        <v>61054000</v>
      </c>
      <c r="D26" s="2">
        <f>IFERROR(IF(MID(D$2,6,7)="3",HLOOKUP(D$1,Bilanço!$1:$151,MATCH(Çeyreklik!$A26,Bilanço!$A:$A,0),0),HLOOKUP(D$1,Bilanço!$1:$151,MATCH(Çeyreklik!$A26,Bilanço!$A:$A,0),0)-HLOOKUP(C$1,Bilanço!$1:$151,MATCH(Çeyreklik!$A26,Bilanço!$A:$A,0),0)),"")</f>
        <v>362161000</v>
      </c>
      <c r="E26" s="2">
        <f>IFERROR(IF(MID(E$2,6,7)="3",HLOOKUP(E$1,Bilanço!$1:$151,MATCH(Çeyreklik!$A26,Bilanço!$A:$A,0),0),HLOOKUP(E$1,Bilanço!$1:$151,MATCH(Çeyreklik!$A26,Bilanço!$A:$A,0),0)-HLOOKUP(D$1,Bilanço!$1:$151,MATCH(Çeyreklik!$A26,Bilanço!$A:$A,0),0)),"")</f>
        <v>18892000</v>
      </c>
      <c r="F26" s="2">
        <f>IFERROR(IF(MID(F$2,6,7)="3",HLOOKUP(F$1,Bilanço!$1:$151,MATCH(Çeyreklik!$A26,Bilanço!$A:$A,0),0),HLOOKUP(F$1,Bilanço!$1:$151,MATCH(Çeyreklik!$A26,Bilanço!$A:$A,0),0)-HLOOKUP(E$1,Bilanço!$1:$151,MATCH(Çeyreklik!$A26,Bilanço!$A:$A,0),0)),"")</f>
        <v>-13610000</v>
      </c>
      <c r="G26" s="2">
        <f>IFERROR(IF(MID(G$2,6,7)="3",HLOOKUP(G$1,Bilanço!$1:$151,MATCH(Çeyreklik!$A26,Bilanço!$A:$A,0),0),HLOOKUP(G$1,Bilanço!$1:$151,MATCH(Çeyreklik!$A26,Bilanço!$A:$A,0),0)-HLOOKUP(F$1,Bilanço!$1:$151,MATCH(Çeyreklik!$A26,Bilanço!$A:$A,0),0)),"")</f>
        <v>448195000</v>
      </c>
      <c r="H26" s="2">
        <f>IFERROR(IF(MID(H$2,6,7)="3",HLOOKUP(H$1,Bilanço!$1:$151,MATCH(Çeyreklik!$A26,Bilanço!$A:$A,0),0),HLOOKUP(H$1,Bilanço!$1:$151,MATCH(Çeyreklik!$A26,Bilanço!$A:$A,0),0)-HLOOKUP(G$1,Bilanço!$1:$151,MATCH(Çeyreklik!$A26,Bilanço!$A:$A,0),0)),"")</f>
        <v>-8839000</v>
      </c>
      <c r="I26" s="2">
        <f>IFERROR(IF(MID(I$2,6,7)="3",HLOOKUP(I$1,Bilanço!$1:$151,MATCH(Çeyreklik!$A26,Bilanço!$A:$A,0),0),HLOOKUP(I$1,Bilanço!$1:$151,MATCH(Çeyreklik!$A26,Bilanço!$A:$A,0),0)-HLOOKUP(H$1,Bilanço!$1:$151,MATCH(Çeyreklik!$A26,Bilanço!$A:$A,0),0)),"")</f>
        <v>28219000</v>
      </c>
      <c r="J26" s="2">
        <f>IFERROR(IF(MID(J$2,6,7)="3",HLOOKUP(J$1,Bilanço!$1:$151,MATCH(Çeyreklik!$A26,Bilanço!$A:$A,0),0),HLOOKUP(J$1,Bilanço!$1:$151,MATCH(Çeyreklik!$A26,Bilanço!$A:$A,0),0)-HLOOKUP(I$1,Bilanço!$1:$151,MATCH(Çeyreklik!$A26,Bilanço!$A:$A,0),0)),"")</f>
        <v>-21663000</v>
      </c>
      <c r="K26" s="2">
        <f>IFERROR(IF(MID(K$2,6,7)="3",HLOOKUP(K$1,Bilanço!$1:$151,MATCH(Çeyreklik!$A26,Bilanço!$A:$A,0),0),HLOOKUP(K$1,Bilanço!$1:$151,MATCH(Çeyreklik!$A26,Bilanço!$A:$A,0),0)-HLOOKUP(J$1,Bilanço!$1:$151,MATCH(Çeyreklik!$A26,Bilanço!$A:$A,0),0)),"")</f>
        <v>102225000</v>
      </c>
      <c r="L26" s="2">
        <f>IFERROR(IF(MID(L$2,6,7)="3",HLOOKUP(L$1,Bilanço!$1:$151,MATCH(Çeyreklik!$A26,Bilanço!$A:$A,0),0),HLOOKUP(L$1,Bilanço!$1:$151,MATCH(Çeyreklik!$A26,Bilanço!$A:$A,0),0)-HLOOKUP(K$1,Bilanço!$1:$151,MATCH(Çeyreklik!$A26,Bilanço!$A:$A,0),0)),"")</f>
        <v>230884000</v>
      </c>
      <c r="M26" s="2">
        <f>IFERROR(IF(MID(M$2,6,7)="3",HLOOKUP(M$1,Bilanço!$1:$151,MATCH(Çeyreklik!$A26,Bilanço!$A:$A,0),0),HLOOKUP(M$1,Bilanço!$1:$151,MATCH(Çeyreklik!$A26,Bilanço!$A:$A,0),0)-HLOOKUP(L$1,Bilanço!$1:$151,MATCH(Çeyreklik!$A26,Bilanço!$A:$A,0),0)),"")</f>
        <v>245146000</v>
      </c>
      <c r="N26" s="2">
        <f>IFERROR(IF(MID(N$2,6,7)="3",HLOOKUP(N$1,Bilanço!$1:$151,MATCH(Çeyreklik!$A26,Bilanço!$A:$A,0),0),HLOOKUP(N$1,Bilanço!$1:$151,MATCH(Çeyreklik!$A26,Bilanço!$A:$A,0),0)-HLOOKUP(M$1,Bilanço!$1:$151,MATCH(Çeyreklik!$A26,Bilanço!$A:$A,0),0)),"")</f>
        <v>35773000</v>
      </c>
      <c r="O26" s="2">
        <f>IFERROR(IF(MID(O$2,6,7)="3",HLOOKUP(O$1,Bilanço!$1:$151,MATCH(Çeyreklik!$A26,Bilanço!$A:$A,0),0),HLOOKUP(O$1,Bilanço!$1:$151,MATCH(Çeyreklik!$A26,Bilanço!$A:$A,0),0)-HLOOKUP(N$1,Bilanço!$1:$151,MATCH(Çeyreklik!$A26,Bilanço!$A:$A,0),0)),"")</f>
        <v>-59976000</v>
      </c>
      <c r="P26" s="2">
        <f>IFERROR(IF(MID(P$2,6,7)="3",HLOOKUP(P$1,Bilanço!$1:$151,MATCH(Çeyreklik!$A26,Bilanço!$A:$A,0),0),HLOOKUP(P$1,Bilanço!$1:$151,MATCH(Çeyreklik!$A26,Bilanço!$A:$A,0),0)-HLOOKUP(O$1,Bilanço!$1:$151,MATCH(Çeyreklik!$A26,Bilanço!$A:$A,0),0)),"")</f>
        <v>238695000</v>
      </c>
      <c r="Q26" s="2">
        <f>IFERROR(IF(MID(Q$2,6,7)="3",HLOOKUP(Q$1,Bilanço!$1:$151,MATCH(Çeyreklik!$A26,Bilanço!$A:$A,0),0),HLOOKUP(Q$1,Bilanço!$1:$151,MATCH(Çeyreklik!$A26,Bilanço!$A:$A,0),0)-HLOOKUP(P$1,Bilanço!$1:$151,MATCH(Çeyreklik!$A26,Bilanço!$A:$A,0),0)),"")</f>
        <v>19260000</v>
      </c>
      <c r="R26" s="2">
        <f>IFERROR(IF(MID(R$2,6,7)="3",HLOOKUP(R$1,Bilanço!$1:$151,MATCH(Çeyreklik!$A26,Bilanço!$A:$A,0),0),HLOOKUP(R$1,Bilanço!$1:$151,MATCH(Çeyreklik!$A26,Bilanço!$A:$A,0),0)-HLOOKUP(Q$1,Bilanço!$1:$151,MATCH(Çeyreklik!$A26,Bilanço!$A:$A,0),0)),"")</f>
        <v>49284000</v>
      </c>
      <c r="S26" s="2">
        <f>IFERROR(IF(MID(S$2,6,7)="3",HLOOKUP(S$1,Bilanço!$1:$151,MATCH(Çeyreklik!$A26,Bilanço!$A:$A,0),0),HLOOKUP(S$1,Bilanço!$1:$151,MATCH(Çeyreklik!$A26,Bilanço!$A:$A,0),0)-HLOOKUP(R$1,Bilanço!$1:$151,MATCH(Çeyreklik!$A26,Bilanço!$A:$A,0),0)),"")</f>
        <v>30999000</v>
      </c>
      <c r="T26" s="2">
        <f>IFERROR(IF(MID(T$2,6,7)="3",HLOOKUP(T$1,Bilanço!$1:$151,MATCH(Çeyreklik!$A26,Bilanço!$A:$A,0),0),HLOOKUP(T$1,Bilanço!$1:$151,MATCH(Çeyreklik!$A26,Bilanço!$A:$A,0),0)-HLOOKUP(S$1,Bilanço!$1:$151,MATCH(Çeyreklik!$A26,Bilanço!$A:$A,0),0)),"")</f>
        <v>226946454</v>
      </c>
      <c r="U26" s="2">
        <f>IFERROR(IF(MID(U$2,6,7)="3",HLOOKUP(U$1,Bilanço!$1:$151,MATCH(Çeyreklik!$A26,Bilanço!$A:$A,0),0),HLOOKUP(U$1,Bilanço!$1:$151,MATCH(Çeyreklik!$A26,Bilanço!$A:$A,0),0)-HLOOKUP(T$1,Bilanço!$1:$151,MATCH(Çeyreklik!$A26,Bilanço!$A:$A,0),0)),"")</f>
        <v>1204000</v>
      </c>
      <c r="V26" s="2">
        <f>IFERROR(IF(MID(V$2,6,7)="3",HLOOKUP(V$1,Bilanço!$1:$151,MATCH(Çeyreklik!$A26,Bilanço!$A:$A,0),0),HLOOKUP(V$1,Bilanço!$1:$151,MATCH(Çeyreklik!$A26,Bilanço!$A:$A,0),0)-HLOOKUP(U$1,Bilanço!$1:$151,MATCH(Çeyreklik!$A26,Bilanço!$A:$A,0),0)),"")</f>
        <v>1327000</v>
      </c>
      <c r="W26" s="2">
        <f>IFERROR(IF(MID(W$2,6,7)="3",HLOOKUP(W$1,Bilanço!$1:$151,MATCH(Çeyreklik!$A26,Bilanço!$A:$A,0),0),HLOOKUP(W$1,Bilanço!$1:$151,MATCH(Çeyreklik!$A26,Bilanço!$A:$A,0),0)-HLOOKUP(V$1,Bilanço!$1:$151,MATCH(Çeyreklik!$A26,Bilanço!$A:$A,0),0)),"")</f>
        <v>1525000</v>
      </c>
    </row>
    <row r="27" spans="1:23" x14ac:dyDescent="0.25">
      <c r="A27" t="str">
        <f>Data!A98</f>
        <v>(Esas Faaliyet Dışı) Finansal Giderler (-)</v>
      </c>
      <c r="B27" s="2">
        <f>IFERROR(IF($B$2="2022/3",IF(MID(B$2,6,7)="3",HLOOKUP(B$1,Bilanço!$1:$151,MATCH(Çeyreklik!$A27,Bilanço!$A:$A,0),0),HLOOKUP(B$1,Bilanço!$1:$151,MATCH(Çeyreklik!$A27,Bilanço!$A:$A,0),0)-HLOOKUP(A$1,Bilanço!$1:$151,MATCH(Çeyreklik!$A27,Bilanço!$A:$A,0),0)),IF(MID(B$2,6,7)="3",HLOOKUP(B$1,Bilanço!$1:$151,MATCH(Çeyreklik!$A27,Bilanço!$A:$A,0),0),HLOOKUP(B$1,Bilanço!$1:$151,MATCH(Çeyreklik!$A27,Bilanço!$A:$A,0),0)-HLOOKUP(Bilanço!$B$1,Bilanço!$1:$151,MATCH(Çeyreklik!$A27,Bilanço!$A:$A,0),0))),"")</f>
        <v>-592053000</v>
      </c>
      <c r="C27" s="2">
        <f>IFERROR(IF(MID(C$2,6,7)="3",HLOOKUP(C$1,Bilanço!$1:$151,MATCH(Çeyreklik!$A27,Bilanço!$A:$A,0),0),HLOOKUP(C$1,Bilanço!$1:$151,MATCH(Çeyreklik!$A27,Bilanço!$A:$A,0),0)-HLOOKUP(B$1,Bilanço!$1:$151,MATCH(Çeyreklik!$A27,Bilanço!$A:$A,0),0)),"")</f>
        <v>-1617634000</v>
      </c>
      <c r="D27" s="2">
        <f>IFERROR(IF(MID(D$2,6,7)="3",HLOOKUP(D$1,Bilanço!$1:$151,MATCH(Çeyreklik!$A27,Bilanço!$A:$A,0),0),HLOOKUP(D$1,Bilanço!$1:$151,MATCH(Çeyreklik!$A27,Bilanço!$A:$A,0),0)-HLOOKUP(C$1,Bilanço!$1:$151,MATCH(Çeyreklik!$A27,Bilanço!$A:$A,0),0)),"")</f>
        <v>67120000</v>
      </c>
      <c r="E27" s="2">
        <f>IFERROR(IF(MID(E$2,6,7)="3",HLOOKUP(E$1,Bilanço!$1:$151,MATCH(Çeyreklik!$A27,Bilanço!$A:$A,0),0),HLOOKUP(E$1,Bilanço!$1:$151,MATCH(Çeyreklik!$A27,Bilanço!$A:$A,0),0)-HLOOKUP(D$1,Bilanço!$1:$151,MATCH(Çeyreklik!$A27,Bilanço!$A:$A,0),0)),"")</f>
        <v>-1387968000</v>
      </c>
      <c r="F27" s="2">
        <f>IFERROR(IF(MID(F$2,6,7)="3",HLOOKUP(F$1,Bilanço!$1:$151,MATCH(Çeyreklik!$A27,Bilanço!$A:$A,0),0),HLOOKUP(F$1,Bilanço!$1:$151,MATCH(Çeyreklik!$A27,Bilanço!$A:$A,0),0)-HLOOKUP(E$1,Bilanço!$1:$151,MATCH(Çeyreklik!$A27,Bilanço!$A:$A,0),0)),"")</f>
        <v>-795490000</v>
      </c>
      <c r="G27" s="2">
        <f>IFERROR(IF(MID(G$2,6,7)="3",HLOOKUP(G$1,Bilanço!$1:$151,MATCH(Çeyreklik!$A27,Bilanço!$A:$A,0),0),HLOOKUP(G$1,Bilanço!$1:$151,MATCH(Çeyreklik!$A27,Bilanço!$A:$A,0),0)-HLOOKUP(F$1,Bilanço!$1:$151,MATCH(Çeyreklik!$A27,Bilanço!$A:$A,0),0)),"")</f>
        <v>-737170000</v>
      </c>
      <c r="H27" s="2">
        <f>IFERROR(IF(MID(H$2,6,7)="3",HLOOKUP(H$1,Bilanço!$1:$151,MATCH(Çeyreklik!$A27,Bilanço!$A:$A,0),0),HLOOKUP(H$1,Bilanço!$1:$151,MATCH(Çeyreklik!$A27,Bilanço!$A:$A,0),0)-HLOOKUP(G$1,Bilanço!$1:$151,MATCH(Çeyreklik!$A27,Bilanço!$A:$A,0),0)),"")</f>
        <v>-5989745000</v>
      </c>
      <c r="I27" s="2">
        <f>IFERROR(IF(MID(I$2,6,7)="3",HLOOKUP(I$1,Bilanço!$1:$151,MATCH(Çeyreklik!$A27,Bilanço!$A:$A,0),0),HLOOKUP(I$1,Bilanço!$1:$151,MATCH(Çeyreklik!$A27,Bilanço!$A:$A,0),0)-HLOOKUP(H$1,Bilanço!$1:$151,MATCH(Çeyreklik!$A27,Bilanço!$A:$A,0),0)),"")</f>
        <v>-2025085000</v>
      </c>
      <c r="J27" s="2">
        <f>IFERROR(IF(MID(J$2,6,7)="3",HLOOKUP(J$1,Bilanço!$1:$151,MATCH(Çeyreklik!$A27,Bilanço!$A:$A,0),0),HLOOKUP(J$1,Bilanço!$1:$151,MATCH(Çeyreklik!$A27,Bilanço!$A:$A,0),0)-HLOOKUP(I$1,Bilanço!$1:$151,MATCH(Çeyreklik!$A27,Bilanço!$A:$A,0),0)),"")</f>
        <v>-2412951000</v>
      </c>
      <c r="K27" s="2">
        <f>IFERROR(IF(MID(K$2,6,7)="3",HLOOKUP(K$1,Bilanço!$1:$151,MATCH(Çeyreklik!$A27,Bilanço!$A:$A,0),0),HLOOKUP(K$1,Bilanço!$1:$151,MATCH(Çeyreklik!$A27,Bilanço!$A:$A,0),0)-HLOOKUP(J$1,Bilanço!$1:$151,MATCH(Çeyreklik!$A27,Bilanço!$A:$A,0),0)),"")</f>
        <v>-2581142000</v>
      </c>
      <c r="L27" s="2">
        <f>IFERROR(IF(MID(L$2,6,7)="3",HLOOKUP(L$1,Bilanço!$1:$151,MATCH(Çeyreklik!$A27,Bilanço!$A:$A,0),0),HLOOKUP(L$1,Bilanço!$1:$151,MATCH(Çeyreklik!$A27,Bilanço!$A:$A,0),0)-HLOOKUP(K$1,Bilanço!$1:$151,MATCH(Çeyreklik!$A27,Bilanço!$A:$A,0),0)),"")</f>
        <v>-3569607000</v>
      </c>
      <c r="M27" s="2">
        <f>IFERROR(IF(MID(M$2,6,7)="3",HLOOKUP(M$1,Bilanço!$1:$151,MATCH(Çeyreklik!$A27,Bilanço!$A:$A,0),0),HLOOKUP(M$1,Bilanço!$1:$151,MATCH(Çeyreklik!$A27,Bilanço!$A:$A,0),0)-HLOOKUP(L$1,Bilanço!$1:$151,MATCH(Çeyreklik!$A27,Bilanço!$A:$A,0),0)),"")</f>
        <v>-1180678000</v>
      </c>
      <c r="N27" s="2">
        <f>IFERROR(IF(MID(N$2,6,7)="3",HLOOKUP(N$1,Bilanço!$1:$151,MATCH(Çeyreklik!$A27,Bilanço!$A:$A,0),0),HLOOKUP(N$1,Bilanço!$1:$151,MATCH(Çeyreklik!$A27,Bilanço!$A:$A,0),0)-HLOOKUP(M$1,Bilanço!$1:$151,MATCH(Çeyreklik!$A27,Bilanço!$A:$A,0),0)),"")</f>
        <v>-13430936000</v>
      </c>
      <c r="O27" s="2">
        <f>IFERROR(IF(MID(O$2,6,7)="3",HLOOKUP(O$1,Bilanço!$1:$151,MATCH(Çeyreklik!$A27,Bilanço!$A:$A,0),0),HLOOKUP(O$1,Bilanço!$1:$151,MATCH(Çeyreklik!$A27,Bilanço!$A:$A,0),0)-HLOOKUP(N$1,Bilanço!$1:$151,MATCH(Çeyreklik!$A27,Bilanço!$A:$A,0),0)),"")</f>
        <v>351131000</v>
      </c>
      <c r="P27" s="2">
        <f>IFERROR(IF(MID(P$2,6,7)="3",HLOOKUP(P$1,Bilanço!$1:$151,MATCH(Çeyreklik!$A27,Bilanço!$A:$A,0),0),HLOOKUP(P$1,Bilanço!$1:$151,MATCH(Çeyreklik!$A27,Bilanço!$A:$A,0),0)-HLOOKUP(O$1,Bilanço!$1:$151,MATCH(Çeyreklik!$A27,Bilanço!$A:$A,0),0)),"")</f>
        <v>-5575669000</v>
      </c>
      <c r="Q27" s="2">
        <f>IFERROR(IF(MID(Q$2,6,7)="3",HLOOKUP(Q$1,Bilanço!$1:$151,MATCH(Çeyreklik!$A27,Bilanço!$A:$A,0),0),HLOOKUP(Q$1,Bilanço!$1:$151,MATCH(Çeyreklik!$A27,Bilanço!$A:$A,0),0)-HLOOKUP(P$1,Bilanço!$1:$151,MATCH(Çeyreklik!$A27,Bilanço!$A:$A,0),0)),"")</f>
        <v>-2622827000</v>
      </c>
      <c r="R27" s="2">
        <f>IFERROR(IF(MID(R$2,6,7)="3",HLOOKUP(R$1,Bilanço!$1:$151,MATCH(Çeyreklik!$A27,Bilanço!$A:$A,0),0),HLOOKUP(R$1,Bilanço!$1:$151,MATCH(Çeyreklik!$A27,Bilanço!$A:$A,0),0)-HLOOKUP(Q$1,Bilanço!$1:$151,MATCH(Çeyreklik!$A27,Bilanço!$A:$A,0),0)),"")</f>
        <v>-2178370000</v>
      </c>
      <c r="S27" s="2">
        <f>IFERROR(IF(MID(S$2,6,7)="3",HLOOKUP(S$1,Bilanço!$1:$151,MATCH(Çeyreklik!$A27,Bilanço!$A:$A,0),0),HLOOKUP(S$1,Bilanço!$1:$151,MATCH(Çeyreklik!$A27,Bilanço!$A:$A,0),0)-HLOOKUP(R$1,Bilanço!$1:$151,MATCH(Çeyreklik!$A27,Bilanço!$A:$A,0),0)),"")</f>
        <v>-4615632000</v>
      </c>
      <c r="T27" s="2">
        <f>IFERROR(IF(MID(T$2,6,7)="3",HLOOKUP(T$1,Bilanço!$1:$151,MATCH(Çeyreklik!$A27,Bilanço!$A:$A,0),0),HLOOKUP(T$1,Bilanço!$1:$151,MATCH(Çeyreklik!$A27,Bilanço!$A:$A,0),0)-HLOOKUP(S$1,Bilanço!$1:$151,MATCH(Çeyreklik!$A27,Bilanço!$A:$A,0),0)),"")</f>
        <v>-2396810664</v>
      </c>
      <c r="U27" s="2">
        <f>IFERROR(IF(MID(U$2,6,7)="3",HLOOKUP(U$1,Bilanço!$1:$151,MATCH(Çeyreklik!$A27,Bilanço!$A:$A,0),0),HLOOKUP(U$1,Bilanço!$1:$151,MATCH(Çeyreklik!$A27,Bilanço!$A:$A,0),0)-HLOOKUP(T$1,Bilanço!$1:$151,MATCH(Çeyreklik!$A27,Bilanço!$A:$A,0),0)),"")</f>
        <v>-4732062000</v>
      </c>
      <c r="V27" s="2">
        <f>IFERROR(IF(MID(V$2,6,7)="3",HLOOKUP(V$1,Bilanço!$1:$151,MATCH(Çeyreklik!$A27,Bilanço!$A:$A,0),0),HLOOKUP(V$1,Bilanço!$1:$151,MATCH(Çeyreklik!$A27,Bilanço!$A:$A,0),0)-HLOOKUP(U$1,Bilanço!$1:$151,MATCH(Çeyreklik!$A27,Bilanço!$A:$A,0),0)),"")</f>
        <v>-5339132000</v>
      </c>
      <c r="W27" s="2">
        <f>IFERROR(IF(MID(W$2,6,7)="3",HLOOKUP(W$1,Bilanço!$1:$151,MATCH(Çeyreklik!$A27,Bilanço!$A:$A,0),0),HLOOKUP(W$1,Bilanço!$1:$151,MATCH(Çeyreklik!$A27,Bilanço!$A:$A,0),0)-HLOOKUP(V$1,Bilanço!$1:$151,MATCH(Çeyreklik!$A27,Bilanço!$A:$A,0),0)),"")</f>
        <v>-5530895000</v>
      </c>
    </row>
    <row r="28" spans="1:23" x14ac:dyDescent="0.25">
      <c r="A28" t="str">
        <f>Data!A99</f>
        <v>Vergi Öncesi Diğer Gelir ve Giderler</v>
      </c>
      <c r="B28" s="2">
        <f>IFERROR(IF($B$2="2022/3",IF(MID(B$2,6,7)="3",HLOOKUP(B$1,Bilanço!$1:$151,MATCH(Çeyreklik!$A28,Bilanço!$A:$A,0),0),HLOOKUP(B$1,Bilanço!$1:$151,MATCH(Çeyreklik!$A28,Bilanço!$A:$A,0),0)-HLOOKUP(A$1,Bilanço!$1:$151,MATCH(Çeyreklik!$A28,Bilanço!$A:$A,0),0)),IF(MID(B$2,6,7)="3",HLOOKUP(B$1,Bilanço!$1:$151,MATCH(Çeyreklik!$A28,Bilanço!$A:$A,0),0),HLOOKUP(B$1,Bilanço!$1:$151,MATCH(Çeyreklik!$A28,Bilanço!$A:$A,0),0)-HLOOKUP(Bilanço!$B$1,Bilanço!$1:$151,MATCH(Çeyreklik!$A28,Bilanço!$A:$A,0),0))),"")</f>
        <v>748601000</v>
      </c>
      <c r="C28" s="2">
        <f>IFERROR(IF(MID(C$2,6,7)="3",HLOOKUP(C$1,Bilanço!$1:$151,MATCH(Çeyreklik!$A28,Bilanço!$A:$A,0),0),HLOOKUP(C$1,Bilanço!$1:$151,MATCH(Çeyreklik!$A28,Bilanço!$A:$A,0),0)-HLOOKUP(B$1,Bilanço!$1:$151,MATCH(Çeyreklik!$A28,Bilanço!$A:$A,0),0)),"")</f>
        <v>1388658000</v>
      </c>
      <c r="D28" s="2">
        <f>IFERROR(IF(MID(D$2,6,7)="3",HLOOKUP(D$1,Bilanço!$1:$151,MATCH(Çeyreklik!$A28,Bilanço!$A:$A,0),0),HLOOKUP(D$1,Bilanço!$1:$151,MATCH(Çeyreklik!$A28,Bilanço!$A:$A,0),0)-HLOOKUP(C$1,Bilanço!$1:$151,MATCH(Çeyreklik!$A28,Bilanço!$A:$A,0),0)),"")</f>
        <v>-294609000</v>
      </c>
      <c r="E28" s="2">
        <f>IFERROR(IF(MID(E$2,6,7)="3",HLOOKUP(E$1,Bilanço!$1:$151,MATCH(Çeyreklik!$A28,Bilanço!$A:$A,0),0),HLOOKUP(E$1,Bilanço!$1:$151,MATCH(Çeyreklik!$A28,Bilanço!$A:$A,0),0)-HLOOKUP(D$1,Bilanço!$1:$151,MATCH(Çeyreklik!$A28,Bilanço!$A:$A,0),0)),"")</f>
        <v>1479403000</v>
      </c>
      <c r="F28" s="2">
        <f>IFERROR(IF(MID(F$2,6,7)="3",HLOOKUP(F$1,Bilanço!$1:$151,MATCH(Çeyreklik!$A28,Bilanço!$A:$A,0),0),HLOOKUP(F$1,Bilanço!$1:$151,MATCH(Çeyreklik!$A28,Bilanço!$A:$A,0),0)-HLOOKUP(E$1,Bilanço!$1:$151,MATCH(Çeyreklik!$A28,Bilanço!$A:$A,0),0)),"")</f>
        <v>852235000</v>
      </c>
      <c r="G28" s="2">
        <f>IFERROR(IF(MID(G$2,6,7)="3",HLOOKUP(G$1,Bilanço!$1:$151,MATCH(Çeyreklik!$A28,Bilanço!$A:$A,0),0),HLOOKUP(G$1,Bilanço!$1:$151,MATCH(Çeyreklik!$A28,Bilanço!$A:$A,0),0)-HLOOKUP(F$1,Bilanço!$1:$151,MATCH(Çeyreklik!$A28,Bilanço!$A:$A,0),0)),"")</f>
        <v>-121000000</v>
      </c>
      <c r="H28" s="2">
        <f>IFERROR(IF(MID(H$2,6,7)="3",HLOOKUP(H$1,Bilanço!$1:$151,MATCH(Çeyreklik!$A28,Bilanço!$A:$A,0),0),HLOOKUP(H$1,Bilanço!$1:$151,MATCH(Çeyreklik!$A28,Bilanço!$A:$A,0),0)-HLOOKUP(G$1,Bilanço!$1:$151,MATCH(Çeyreklik!$A28,Bilanço!$A:$A,0),0)),"")</f>
        <v>3754573000</v>
      </c>
      <c r="I28" s="2">
        <f>IFERROR(IF(MID(I$2,6,7)="3",HLOOKUP(I$1,Bilanço!$1:$151,MATCH(Çeyreklik!$A28,Bilanço!$A:$A,0),0),HLOOKUP(I$1,Bilanço!$1:$151,MATCH(Çeyreklik!$A28,Bilanço!$A:$A,0),0)-HLOOKUP(H$1,Bilanço!$1:$151,MATCH(Çeyreklik!$A28,Bilanço!$A:$A,0),0)),"")</f>
        <v>343328000</v>
      </c>
      <c r="J28" s="2">
        <f>IFERROR(IF(MID(J$2,6,7)="3",HLOOKUP(J$1,Bilanço!$1:$151,MATCH(Çeyreklik!$A28,Bilanço!$A:$A,0),0),HLOOKUP(J$1,Bilanço!$1:$151,MATCH(Çeyreklik!$A28,Bilanço!$A:$A,0),0)-HLOOKUP(I$1,Bilanço!$1:$151,MATCH(Çeyreklik!$A28,Bilanço!$A:$A,0),0)),"")</f>
        <v>545554000</v>
      </c>
      <c r="K28" s="2">
        <f>IFERROR(IF(MID(K$2,6,7)="3",HLOOKUP(K$1,Bilanço!$1:$151,MATCH(Çeyreklik!$A28,Bilanço!$A:$A,0),0),HLOOKUP(K$1,Bilanço!$1:$151,MATCH(Çeyreklik!$A28,Bilanço!$A:$A,0),0)-HLOOKUP(J$1,Bilanço!$1:$151,MATCH(Çeyreklik!$A28,Bilanço!$A:$A,0),0)),"")</f>
        <v>902226000</v>
      </c>
      <c r="L28" s="2">
        <f>IFERROR(IF(MID(L$2,6,7)="3",HLOOKUP(L$1,Bilanço!$1:$151,MATCH(Çeyreklik!$A28,Bilanço!$A:$A,0),0),HLOOKUP(L$1,Bilanço!$1:$151,MATCH(Çeyreklik!$A28,Bilanço!$A:$A,0),0)-HLOOKUP(K$1,Bilanço!$1:$151,MATCH(Çeyreklik!$A28,Bilanço!$A:$A,0),0)),"")</f>
        <v>2773000000</v>
      </c>
      <c r="M28" s="2">
        <f>IFERROR(IF(MID(M$2,6,7)="3",HLOOKUP(M$1,Bilanço!$1:$151,MATCH(Çeyreklik!$A28,Bilanço!$A:$A,0),0),HLOOKUP(M$1,Bilanço!$1:$151,MATCH(Çeyreklik!$A28,Bilanço!$A:$A,0),0)-HLOOKUP(L$1,Bilanço!$1:$151,MATCH(Çeyreklik!$A28,Bilanço!$A:$A,0),0)),"")</f>
        <v>902847000</v>
      </c>
      <c r="N28" s="2">
        <f>IFERROR(IF(MID(N$2,6,7)="3",HLOOKUP(N$1,Bilanço!$1:$151,MATCH(Çeyreklik!$A28,Bilanço!$A:$A,0),0),HLOOKUP(N$1,Bilanço!$1:$151,MATCH(Çeyreklik!$A28,Bilanço!$A:$A,0),0)-HLOOKUP(M$1,Bilanço!$1:$151,MATCH(Çeyreklik!$A28,Bilanço!$A:$A,0),0)),"")</f>
        <v>5890079000</v>
      </c>
      <c r="O28" s="2">
        <f>IFERROR(IF(MID(O$2,6,7)="3",HLOOKUP(O$1,Bilanço!$1:$151,MATCH(Çeyreklik!$A28,Bilanço!$A:$A,0),0),HLOOKUP(O$1,Bilanço!$1:$151,MATCH(Çeyreklik!$A28,Bilanço!$A:$A,0),0)-HLOOKUP(N$1,Bilanço!$1:$151,MATCH(Çeyreklik!$A28,Bilanço!$A:$A,0),0)),"")</f>
        <v>1267555000</v>
      </c>
      <c r="P28" s="2">
        <f>IFERROR(IF(MID(P$2,6,7)="3",HLOOKUP(P$1,Bilanço!$1:$151,MATCH(Çeyreklik!$A28,Bilanço!$A:$A,0),0),HLOOKUP(P$1,Bilanço!$1:$151,MATCH(Çeyreklik!$A28,Bilanço!$A:$A,0),0)-HLOOKUP(O$1,Bilanço!$1:$151,MATCH(Çeyreklik!$A28,Bilanço!$A:$A,0),0)),"")</f>
        <v>2341770000</v>
      </c>
      <c r="Q28" s="2">
        <f>IFERROR(IF(MID(Q$2,6,7)="3",HLOOKUP(Q$1,Bilanço!$1:$151,MATCH(Çeyreklik!$A28,Bilanço!$A:$A,0),0),HLOOKUP(Q$1,Bilanço!$1:$151,MATCH(Çeyreklik!$A28,Bilanço!$A:$A,0),0)-HLOOKUP(P$1,Bilanço!$1:$151,MATCH(Çeyreklik!$A28,Bilanço!$A:$A,0),0)),"")</f>
        <v>1829064000</v>
      </c>
      <c r="R28" s="2">
        <f>IFERROR(IF(MID(R$2,6,7)="3",HLOOKUP(R$1,Bilanço!$1:$151,MATCH(Çeyreklik!$A28,Bilanço!$A:$A,0),0),HLOOKUP(R$1,Bilanço!$1:$151,MATCH(Çeyreklik!$A28,Bilanço!$A:$A,0),0)-HLOOKUP(Q$1,Bilanço!$1:$151,MATCH(Çeyreklik!$A28,Bilanço!$A:$A,0),0)),"")</f>
        <v>950682000</v>
      </c>
      <c r="S28" s="2">
        <f>IFERROR(IF(MID(S$2,6,7)="3",HLOOKUP(S$1,Bilanço!$1:$151,MATCH(Çeyreklik!$A28,Bilanço!$A:$A,0),0),HLOOKUP(S$1,Bilanço!$1:$151,MATCH(Çeyreklik!$A28,Bilanço!$A:$A,0),0)-HLOOKUP(R$1,Bilanço!$1:$151,MATCH(Çeyreklik!$A28,Bilanço!$A:$A,0),0)),"")</f>
        <v>2853878000</v>
      </c>
      <c r="T28" s="2">
        <f>IFERROR(IF(MID(T$2,6,7)="3",HLOOKUP(T$1,Bilanço!$1:$151,MATCH(Çeyreklik!$A28,Bilanço!$A:$A,0),0),HLOOKUP(T$1,Bilanço!$1:$151,MATCH(Çeyreklik!$A28,Bilanço!$A:$A,0),0)-HLOOKUP(S$1,Bilanço!$1:$151,MATCH(Çeyreklik!$A28,Bilanço!$A:$A,0),0)),"")</f>
        <v>1698006336</v>
      </c>
      <c r="U28" s="2">
        <f>IFERROR(IF(MID(U$2,6,7)="3",HLOOKUP(U$1,Bilanço!$1:$151,MATCH(Çeyreklik!$A28,Bilanço!$A:$A,0),0),HLOOKUP(U$1,Bilanço!$1:$151,MATCH(Çeyreklik!$A28,Bilanço!$A:$A,0),0)-HLOOKUP(T$1,Bilanço!$1:$151,MATCH(Çeyreklik!$A28,Bilanço!$A:$A,0),0)),"")</f>
        <v>2814462000</v>
      </c>
      <c r="V28" s="2">
        <f>IFERROR(IF(MID(V$2,6,7)="3",HLOOKUP(V$1,Bilanço!$1:$151,MATCH(Çeyreklik!$A28,Bilanço!$A:$A,0),0),HLOOKUP(V$1,Bilanço!$1:$151,MATCH(Çeyreklik!$A28,Bilanço!$A:$A,0),0)-HLOOKUP(U$1,Bilanço!$1:$151,MATCH(Çeyreklik!$A28,Bilanço!$A:$A,0),0)),"")</f>
        <v>3260817000</v>
      </c>
      <c r="W28" s="2">
        <f>IFERROR(IF(MID(W$2,6,7)="3",HLOOKUP(W$1,Bilanço!$1:$151,MATCH(Çeyreklik!$A28,Bilanço!$A:$A,0),0),HLOOKUP(W$1,Bilanço!$1:$151,MATCH(Çeyreklik!$A28,Bilanço!$A:$A,0),0)-HLOOKUP(V$1,Bilanço!$1:$151,MATCH(Çeyreklik!$A28,Bilanço!$A:$A,0),0)),"")</f>
        <v>3040935000</v>
      </c>
    </row>
    <row r="29" spans="1:23" x14ac:dyDescent="0.25">
      <c r="A29" t="str">
        <f>Data!A100</f>
        <v>SÜRDÜRÜLEN FAALİYETLER VERGİ ÖNCESİ KARI (ZARARI)</v>
      </c>
      <c r="B29" s="2">
        <f>IFERROR(IF($B$2="2022/3",IF(MID(B$2,6,7)="3",HLOOKUP(B$1,Bilanço!$1:$151,MATCH(Çeyreklik!$A29,Bilanço!$A:$A,0),0),HLOOKUP(B$1,Bilanço!$1:$151,MATCH(Çeyreklik!$A29,Bilanço!$A:$A,0),0)-HLOOKUP(A$1,Bilanço!$1:$151,MATCH(Çeyreklik!$A29,Bilanço!$A:$A,0),0)),IF(MID(B$2,6,7)="3",HLOOKUP(B$1,Bilanço!$1:$151,MATCH(Çeyreklik!$A29,Bilanço!$A:$A,0),0),HLOOKUP(B$1,Bilanço!$1:$151,MATCH(Çeyreklik!$A29,Bilanço!$A:$A,0),0)-HLOOKUP(Bilanço!$B$1,Bilanço!$1:$151,MATCH(Çeyreklik!$A29,Bilanço!$A:$A,0),0))),"")</f>
        <v>682080000</v>
      </c>
      <c r="C29" s="2">
        <f>IFERROR(IF(MID(C$2,6,7)="3",HLOOKUP(C$1,Bilanço!$1:$151,MATCH(Çeyreklik!$A29,Bilanço!$A:$A,0),0),HLOOKUP(C$1,Bilanço!$1:$151,MATCH(Çeyreklik!$A29,Bilanço!$A:$A,0),0)-HLOOKUP(B$1,Bilanço!$1:$151,MATCH(Çeyreklik!$A29,Bilanço!$A:$A,0),0)),"")</f>
        <v>403960000</v>
      </c>
      <c r="D29" s="2">
        <f>IFERROR(IF(MID(D$2,6,7)="3",HLOOKUP(D$1,Bilanço!$1:$151,MATCH(Çeyreklik!$A29,Bilanço!$A:$A,0),0),HLOOKUP(D$1,Bilanço!$1:$151,MATCH(Çeyreklik!$A29,Bilanço!$A:$A,0),0)-HLOOKUP(C$1,Bilanço!$1:$151,MATCH(Çeyreklik!$A29,Bilanço!$A:$A,0),0)),"")</f>
        <v>560708000</v>
      </c>
      <c r="E29" s="2">
        <f>IFERROR(IF(MID(E$2,6,7)="3",HLOOKUP(E$1,Bilanço!$1:$151,MATCH(Çeyreklik!$A29,Bilanço!$A:$A,0),0),HLOOKUP(E$1,Bilanço!$1:$151,MATCH(Çeyreklik!$A29,Bilanço!$A:$A,0),0)-HLOOKUP(D$1,Bilanço!$1:$151,MATCH(Çeyreklik!$A29,Bilanço!$A:$A,0),0)),"")</f>
        <v>607630000</v>
      </c>
      <c r="F29" s="2">
        <f>IFERROR(IF(MID(F$2,6,7)="3",HLOOKUP(F$1,Bilanço!$1:$151,MATCH(Çeyreklik!$A29,Bilanço!$A:$A,0),0),HLOOKUP(F$1,Bilanço!$1:$151,MATCH(Çeyreklik!$A29,Bilanço!$A:$A,0),0)-HLOOKUP(E$1,Bilanço!$1:$151,MATCH(Çeyreklik!$A29,Bilanço!$A:$A,0),0)),"")</f>
        <v>396406000</v>
      </c>
      <c r="G29" s="2">
        <f>IFERROR(IF(MID(G$2,6,7)="3",HLOOKUP(G$1,Bilanço!$1:$151,MATCH(Çeyreklik!$A29,Bilanço!$A:$A,0),0),HLOOKUP(G$1,Bilanço!$1:$151,MATCH(Çeyreklik!$A29,Bilanço!$A:$A,0),0)-HLOOKUP(F$1,Bilanço!$1:$151,MATCH(Çeyreklik!$A29,Bilanço!$A:$A,0),0)),"")</f>
        <v>39330000</v>
      </c>
      <c r="H29" s="2">
        <f>IFERROR(IF(MID(H$2,6,7)="3",HLOOKUP(H$1,Bilanço!$1:$151,MATCH(Çeyreklik!$A29,Bilanço!$A:$A,0),0),HLOOKUP(H$1,Bilanço!$1:$151,MATCH(Çeyreklik!$A29,Bilanço!$A:$A,0),0)-HLOOKUP(G$1,Bilanço!$1:$151,MATCH(Çeyreklik!$A29,Bilanço!$A:$A,0),0)),"")</f>
        <v>-1113900000</v>
      </c>
      <c r="I29" s="2">
        <f>IFERROR(IF(MID(I$2,6,7)="3",HLOOKUP(I$1,Bilanço!$1:$151,MATCH(Çeyreklik!$A29,Bilanço!$A:$A,0),0),HLOOKUP(I$1,Bilanço!$1:$151,MATCH(Çeyreklik!$A29,Bilanço!$A:$A,0),0)-HLOOKUP(H$1,Bilanço!$1:$151,MATCH(Çeyreklik!$A29,Bilanço!$A:$A,0),0)),"")</f>
        <v>-318944000</v>
      </c>
      <c r="J29" s="2">
        <f>IFERROR(IF(MID(J$2,6,7)="3",HLOOKUP(J$1,Bilanço!$1:$151,MATCH(Çeyreklik!$A29,Bilanço!$A:$A,0),0),HLOOKUP(J$1,Bilanço!$1:$151,MATCH(Çeyreklik!$A29,Bilanço!$A:$A,0),0)-HLOOKUP(I$1,Bilanço!$1:$151,MATCH(Çeyreklik!$A29,Bilanço!$A:$A,0),0)),"")</f>
        <v>-603941000</v>
      </c>
      <c r="K29" s="2">
        <f>IFERROR(IF(MID(K$2,6,7)="3",HLOOKUP(K$1,Bilanço!$1:$151,MATCH(Çeyreklik!$A29,Bilanço!$A:$A,0),0),HLOOKUP(K$1,Bilanço!$1:$151,MATCH(Çeyreklik!$A29,Bilanço!$A:$A,0),0)-HLOOKUP(J$1,Bilanço!$1:$151,MATCH(Çeyreklik!$A29,Bilanço!$A:$A,0),0)),"")</f>
        <v>-30819000</v>
      </c>
      <c r="L29" s="2">
        <f>IFERROR(IF(MID(L$2,6,7)="3",HLOOKUP(L$1,Bilanço!$1:$151,MATCH(Çeyreklik!$A29,Bilanço!$A:$A,0),0),HLOOKUP(L$1,Bilanço!$1:$151,MATCH(Çeyreklik!$A29,Bilanço!$A:$A,0),0)-HLOOKUP(K$1,Bilanço!$1:$151,MATCH(Çeyreklik!$A29,Bilanço!$A:$A,0),0)),"")</f>
        <v>2326699000</v>
      </c>
      <c r="M29" s="2">
        <f>IFERROR(IF(MID(M$2,6,7)="3",HLOOKUP(M$1,Bilanço!$1:$151,MATCH(Çeyreklik!$A29,Bilanço!$A:$A,0),0),HLOOKUP(M$1,Bilanço!$1:$151,MATCH(Çeyreklik!$A29,Bilanço!$A:$A,0),0)-HLOOKUP(L$1,Bilanço!$1:$151,MATCH(Çeyreklik!$A29,Bilanço!$A:$A,0),0)),"")</f>
        <v>3495024000</v>
      </c>
      <c r="N29" s="2">
        <f>IFERROR(IF(MID(N$2,6,7)="3",HLOOKUP(N$1,Bilanço!$1:$151,MATCH(Çeyreklik!$A29,Bilanço!$A:$A,0),0),HLOOKUP(N$1,Bilanço!$1:$151,MATCH(Çeyreklik!$A29,Bilanço!$A:$A,0),0)-HLOOKUP(M$1,Bilanço!$1:$151,MATCH(Çeyreklik!$A29,Bilanço!$A:$A,0),0)),"")</f>
        <v>-2565192000</v>
      </c>
      <c r="O29" s="2">
        <f>IFERROR(IF(MID(O$2,6,7)="3",HLOOKUP(O$1,Bilanço!$1:$151,MATCH(Çeyreklik!$A29,Bilanço!$A:$A,0),0),HLOOKUP(O$1,Bilanço!$1:$151,MATCH(Çeyreklik!$A29,Bilanço!$A:$A,0),0)-HLOOKUP(N$1,Bilanço!$1:$151,MATCH(Çeyreklik!$A29,Bilanço!$A:$A,0),0)),"")</f>
        <v>4737423000</v>
      </c>
      <c r="P29" s="2">
        <f>IFERROR(IF(MID(P$2,6,7)="3",HLOOKUP(P$1,Bilanço!$1:$151,MATCH(Çeyreklik!$A29,Bilanço!$A:$A,0),0),HLOOKUP(P$1,Bilanço!$1:$151,MATCH(Çeyreklik!$A29,Bilanço!$A:$A,0),0)-HLOOKUP(O$1,Bilanço!$1:$151,MATCH(Çeyreklik!$A29,Bilanço!$A:$A,0),0)),"")</f>
        <v>1229918000</v>
      </c>
      <c r="Q29" s="2">
        <f>IFERROR(IF(MID(Q$2,6,7)="3",HLOOKUP(Q$1,Bilanço!$1:$151,MATCH(Çeyreklik!$A29,Bilanço!$A:$A,0),0),HLOOKUP(Q$1,Bilanço!$1:$151,MATCH(Çeyreklik!$A29,Bilanço!$A:$A,0),0)-HLOOKUP(P$1,Bilanço!$1:$151,MATCH(Çeyreklik!$A29,Bilanço!$A:$A,0),0)),"")</f>
        <v>5011090000</v>
      </c>
      <c r="R29" s="2">
        <f>IFERROR(IF(MID(R$2,6,7)="3",HLOOKUP(R$1,Bilanço!$1:$151,MATCH(Çeyreklik!$A29,Bilanço!$A:$A,0),0),HLOOKUP(R$1,Bilanço!$1:$151,MATCH(Çeyreklik!$A29,Bilanço!$A:$A,0),0)-HLOOKUP(Q$1,Bilanço!$1:$151,MATCH(Çeyreklik!$A29,Bilanço!$A:$A,0),0)),"")</f>
        <v>2639448000</v>
      </c>
      <c r="S29" s="2">
        <f>IFERROR(IF(MID(S$2,6,7)="3",HLOOKUP(S$1,Bilanço!$1:$151,MATCH(Çeyreklik!$A29,Bilanço!$A:$A,0),0),HLOOKUP(S$1,Bilanço!$1:$151,MATCH(Çeyreklik!$A29,Bilanço!$A:$A,0),0)-HLOOKUP(R$1,Bilanço!$1:$151,MATCH(Çeyreklik!$A29,Bilanço!$A:$A,0),0)),"")</f>
        <v>2244127000</v>
      </c>
      <c r="T29" s="2">
        <f>IFERROR(IF(MID(T$2,6,7)="3",HLOOKUP(T$1,Bilanço!$1:$151,MATCH(Çeyreklik!$A29,Bilanço!$A:$A,0),0),HLOOKUP(T$1,Bilanço!$1:$151,MATCH(Çeyreklik!$A29,Bilanço!$A:$A,0),0)-HLOOKUP(S$1,Bilanço!$1:$151,MATCH(Çeyreklik!$A29,Bilanço!$A:$A,0),0)),"")</f>
        <v>3858911316</v>
      </c>
      <c r="U29" s="2">
        <f>IFERROR(IF(MID(U$2,6,7)="3",HLOOKUP(U$1,Bilanço!$1:$151,MATCH(Çeyreklik!$A29,Bilanço!$A:$A,0),0),HLOOKUP(U$1,Bilanço!$1:$151,MATCH(Çeyreklik!$A29,Bilanço!$A:$A,0),0)-HLOOKUP(T$1,Bilanço!$1:$151,MATCH(Çeyreklik!$A29,Bilanço!$A:$A,0),0)),"")</f>
        <v>3458209000</v>
      </c>
      <c r="V29" s="2">
        <f>IFERROR(IF(MID(V$2,6,7)="3",HLOOKUP(V$1,Bilanço!$1:$151,MATCH(Çeyreklik!$A29,Bilanço!$A:$A,0),0),HLOOKUP(V$1,Bilanço!$1:$151,MATCH(Çeyreklik!$A29,Bilanço!$A:$A,0),0)-HLOOKUP(U$1,Bilanço!$1:$151,MATCH(Çeyreklik!$A29,Bilanço!$A:$A,0),0)),"")</f>
        <v>1166191000</v>
      </c>
      <c r="W29" s="2">
        <f>IFERROR(IF(MID(W$2,6,7)="3",HLOOKUP(W$1,Bilanço!$1:$151,MATCH(Çeyreklik!$A29,Bilanço!$A:$A,0),0),HLOOKUP(W$1,Bilanço!$1:$151,MATCH(Çeyreklik!$A29,Bilanço!$A:$A,0),0)-HLOOKUP(V$1,Bilanço!$1:$151,MATCH(Çeyreklik!$A29,Bilanço!$A:$A,0),0)),"")</f>
        <v>2245959000</v>
      </c>
    </row>
    <row r="30" spans="1:23" x14ac:dyDescent="0.25">
      <c r="A30" t="str">
        <f>Data!A101</f>
        <v>Sürdürülen Faaliyetler Vergi Geliri (Gideri)</v>
      </c>
      <c r="B30" s="2">
        <f>IFERROR(IF($B$2="2022/3",IF(MID(B$2,6,7)="3",HLOOKUP(B$1,Bilanço!$1:$151,MATCH(Çeyreklik!$A30,Bilanço!$A:$A,0),0),HLOOKUP(B$1,Bilanço!$1:$151,MATCH(Çeyreklik!$A30,Bilanço!$A:$A,0),0)-HLOOKUP(A$1,Bilanço!$1:$151,MATCH(Çeyreklik!$A30,Bilanço!$A:$A,0),0)),IF(MID(B$2,6,7)="3",HLOOKUP(B$1,Bilanço!$1:$151,MATCH(Çeyreklik!$A30,Bilanço!$A:$A,0),0),HLOOKUP(B$1,Bilanço!$1:$151,MATCH(Çeyreklik!$A30,Bilanço!$A:$A,0),0)-HLOOKUP(Bilanço!$B$1,Bilanço!$1:$151,MATCH(Çeyreklik!$A30,Bilanço!$A:$A,0),0))),"")</f>
        <v>-142606000</v>
      </c>
      <c r="C30" s="2">
        <f>IFERROR(IF(MID(C$2,6,7)="3",HLOOKUP(C$1,Bilanço!$1:$151,MATCH(Çeyreklik!$A30,Bilanço!$A:$A,0),0),HLOOKUP(C$1,Bilanço!$1:$151,MATCH(Çeyreklik!$A30,Bilanço!$A:$A,0),0)-HLOOKUP(B$1,Bilanço!$1:$151,MATCH(Çeyreklik!$A30,Bilanço!$A:$A,0),0)),"")</f>
        <v>-78320000</v>
      </c>
      <c r="D30" s="2">
        <f>IFERROR(IF(MID(D$2,6,7)="3",HLOOKUP(D$1,Bilanço!$1:$151,MATCH(Çeyreklik!$A30,Bilanço!$A:$A,0),0),HLOOKUP(D$1,Bilanço!$1:$151,MATCH(Çeyreklik!$A30,Bilanço!$A:$A,0),0)-HLOOKUP(C$1,Bilanço!$1:$151,MATCH(Çeyreklik!$A30,Bilanço!$A:$A,0),0)),"")</f>
        <v>-113114000</v>
      </c>
      <c r="E30" s="2">
        <f>IFERROR(IF(MID(E$2,6,7)="3",HLOOKUP(E$1,Bilanço!$1:$151,MATCH(Çeyreklik!$A30,Bilanço!$A:$A,0),0),HLOOKUP(E$1,Bilanço!$1:$151,MATCH(Çeyreklik!$A30,Bilanço!$A:$A,0),0)-HLOOKUP(D$1,Bilanço!$1:$151,MATCH(Çeyreklik!$A30,Bilanço!$A:$A,0),0)),"")</f>
        <v>-114654000</v>
      </c>
      <c r="F30" s="2">
        <f>IFERROR(IF(MID(F$2,6,7)="3",HLOOKUP(F$1,Bilanço!$1:$151,MATCH(Çeyreklik!$A30,Bilanço!$A:$A,0),0),HLOOKUP(F$1,Bilanço!$1:$151,MATCH(Çeyreklik!$A30,Bilanço!$A:$A,0),0)-HLOOKUP(E$1,Bilanço!$1:$151,MATCH(Çeyreklik!$A30,Bilanço!$A:$A,0),0)),"")</f>
        <v>-149343000</v>
      </c>
      <c r="G30" s="2">
        <f>IFERROR(IF(MID(G$2,6,7)="3",HLOOKUP(G$1,Bilanço!$1:$151,MATCH(Çeyreklik!$A30,Bilanço!$A:$A,0),0),HLOOKUP(G$1,Bilanço!$1:$151,MATCH(Çeyreklik!$A30,Bilanço!$A:$A,0),0)-HLOOKUP(F$1,Bilanço!$1:$151,MATCH(Çeyreklik!$A30,Bilanço!$A:$A,0),0)),"")</f>
        <v>-6126000</v>
      </c>
      <c r="H30" s="2">
        <f>IFERROR(IF(MID(H$2,6,7)="3",HLOOKUP(H$1,Bilanço!$1:$151,MATCH(Çeyreklik!$A30,Bilanço!$A:$A,0),0),HLOOKUP(H$1,Bilanço!$1:$151,MATCH(Çeyreklik!$A30,Bilanço!$A:$A,0),0)-HLOOKUP(G$1,Bilanço!$1:$151,MATCH(Çeyreklik!$A30,Bilanço!$A:$A,0),0)),"")</f>
        <v>178238000</v>
      </c>
      <c r="I30" s="2">
        <f>IFERROR(IF(MID(I$2,6,7)="3",HLOOKUP(I$1,Bilanço!$1:$151,MATCH(Çeyreklik!$A30,Bilanço!$A:$A,0),0),HLOOKUP(I$1,Bilanço!$1:$151,MATCH(Çeyreklik!$A30,Bilanço!$A:$A,0),0)-HLOOKUP(H$1,Bilanço!$1:$151,MATCH(Çeyreklik!$A30,Bilanço!$A:$A,0),0)),"")</f>
        <v>-12112000</v>
      </c>
      <c r="J30" s="2">
        <f>IFERROR(IF(MID(J$2,6,7)="3",HLOOKUP(J$1,Bilanço!$1:$151,MATCH(Çeyreklik!$A30,Bilanço!$A:$A,0),0),HLOOKUP(J$1,Bilanço!$1:$151,MATCH(Çeyreklik!$A30,Bilanço!$A:$A,0),0)-HLOOKUP(I$1,Bilanço!$1:$151,MATCH(Çeyreklik!$A30,Bilanço!$A:$A,0),0)),"")</f>
        <v>49306000</v>
      </c>
      <c r="K30" s="2">
        <f>IFERROR(IF(MID(K$2,6,7)="3",HLOOKUP(K$1,Bilanço!$1:$151,MATCH(Çeyreklik!$A30,Bilanço!$A:$A,0),0),HLOOKUP(K$1,Bilanço!$1:$151,MATCH(Çeyreklik!$A30,Bilanço!$A:$A,0),0)-HLOOKUP(J$1,Bilanço!$1:$151,MATCH(Çeyreklik!$A30,Bilanço!$A:$A,0),0)),"")</f>
        <v>-69283000</v>
      </c>
      <c r="L30" s="2">
        <f>IFERROR(IF(MID(L$2,6,7)="3",HLOOKUP(L$1,Bilanço!$1:$151,MATCH(Çeyreklik!$A30,Bilanço!$A:$A,0),0),HLOOKUP(L$1,Bilanço!$1:$151,MATCH(Çeyreklik!$A30,Bilanço!$A:$A,0),0)-HLOOKUP(K$1,Bilanço!$1:$151,MATCH(Çeyreklik!$A30,Bilanço!$A:$A,0),0)),"")</f>
        <v>88600000</v>
      </c>
      <c r="M30" s="2">
        <f>IFERROR(IF(MID(M$2,6,7)="3",HLOOKUP(M$1,Bilanço!$1:$151,MATCH(Çeyreklik!$A30,Bilanço!$A:$A,0),0),HLOOKUP(M$1,Bilanço!$1:$151,MATCH(Çeyreklik!$A30,Bilanço!$A:$A,0),0)-HLOOKUP(L$1,Bilanço!$1:$151,MATCH(Çeyreklik!$A30,Bilanço!$A:$A,0),0)),"")</f>
        <v>-795511000</v>
      </c>
      <c r="N30" s="2">
        <f>IFERROR(IF(MID(N$2,6,7)="3",HLOOKUP(N$1,Bilanço!$1:$151,MATCH(Çeyreklik!$A30,Bilanço!$A:$A,0),0),HLOOKUP(N$1,Bilanço!$1:$151,MATCH(Çeyreklik!$A30,Bilanço!$A:$A,0),0)-HLOOKUP(M$1,Bilanço!$1:$151,MATCH(Çeyreklik!$A30,Bilanço!$A:$A,0),0)),"")</f>
        <v>545676000</v>
      </c>
      <c r="O30" s="2">
        <f>IFERROR(IF(MID(O$2,6,7)="3",HLOOKUP(O$1,Bilanço!$1:$151,MATCH(Çeyreklik!$A30,Bilanço!$A:$A,0),0),HLOOKUP(O$1,Bilanço!$1:$151,MATCH(Çeyreklik!$A30,Bilanço!$A:$A,0),0)-HLOOKUP(N$1,Bilanço!$1:$151,MATCH(Çeyreklik!$A30,Bilanço!$A:$A,0),0)),"")</f>
        <v>-1348019000</v>
      </c>
      <c r="P30" s="2">
        <f>IFERROR(IF(MID(P$2,6,7)="3",HLOOKUP(P$1,Bilanço!$1:$151,MATCH(Çeyreklik!$A30,Bilanço!$A:$A,0),0),HLOOKUP(P$1,Bilanço!$1:$151,MATCH(Çeyreklik!$A30,Bilanço!$A:$A,0),0)-HLOOKUP(O$1,Bilanço!$1:$151,MATCH(Çeyreklik!$A30,Bilanço!$A:$A,0),0)),"")</f>
        <v>797456000</v>
      </c>
      <c r="Q30" s="2">
        <f>IFERROR(IF(MID(Q$2,6,7)="3",HLOOKUP(Q$1,Bilanço!$1:$151,MATCH(Çeyreklik!$A30,Bilanço!$A:$A,0),0),HLOOKUP(Q$1,Bilanço!$1:$151,MATCH(Çeyreklik!$A30,Bilanço!$A:$A,0),0)-HLOOKUP(P$1,Bilanço!$1:$151,MATCH(Çeyreklik!$A30,Bilanço!$A:$A,0),0)),"")</f>
        <v>-1584619000</v>
      </c>
      <c r="R30" s="2">
        <f>IFERROR(IF(MID(R$2,6,7)="3",HLOOKUP(R$1,Bilanço!$1:$151,MATCH(Çeyreklik!$A30,Bilanço!$A:$A,0),0),HLOOKUP(R$1,Bilanço!$1:$151,MATCH(Çeyreklik!$A30,Bilanço!$A:$A,0),0)-HLOOKUP(Q$1,Bilanço!$1:$151,MATCH(Çeyreklik!$A30,Bilanço!$A:$A,0),0)),"")</f>
        <v>-631439000</v>
      </c>
      <c r="S30" s="2">
        <f>IFERROR(IF(MID(S$2,6,7)="3",HLOOKUP(S$1,Bilanço!$1:$151,MATCH(Çeyreklik!$A30,Bilanço!$A:$A,0),0),HLOOKUP(S$1,Bilanço!$1:$151,MATCH(Çeyreklik!$A30,Bilanço!$A:$A,0),0)-HLOOKUP(R$1,Bilanço!$1:$151,MATCH(Çeyreklik!$A30,Bilanço!$A:$A,0),0)),"")</f>
        <v>-1157872000</v>
      </c>
      <c r="T30" s="2">
        <f>IFERROR(IF(MID(T$2,6,7)="3",HLOOKUP(T$1,Bilanço!$1:$151,MATCH(Çeyreklik!$A30,Bilanço!$A:$A,0),0),HLOOKUP(T$1,Bilanço!$1:$151,MATCH(Çeyreklik!$A30,Bilanço!$A:$A,0),0)-HLOOKUP(S$1,Bilanço!$1:$151,MATCH(Çeyreklik!$A30,Bilanço!$A:$A,0),0)),"")</f>
        <v>-325077600</v>
      </c>
      <c r="U30" s="2">
        <f>IFERROR(IF(MID(U$2,6,7)="3",HLOOKUP(U$1,Bilanço!$1:$151,MATCH(Çeyreklik!$A30,Bilanço!$A:$A,0),0),HLOOKUP(U$1,Bilanço!$1:$151,MATCH(Çeyreklik!$A30,Bilanço!$A:$A,0),0)-HLOOKUP(T$1,Bilanço!$1:$151,MATCH(Çeyreklik!$A30,Bilanço!$A:$A,0),0)),"")</f>
        <v>-879164000</v>
      </c>
      <c r="V30" s="2">
        <f>IFERROR(IF(MID(V$2,6,7)="3",HLOOKUP(V$1,Bilanço!$1:$151,MATCH(Çeyreklik!$A30,Bilanço!$A:$A,0),0),HLOOKUP(V$1,Bilanço!$1:$151,MATCH(Çeyreklik!$A30,Bilanço!$A:$A,0),0)-HLOOKUP(U$1,Bilanço!$1:$151,MATCH(Çeyreklik!$A30,Bilanço!$A:$A,0),0)),"")</f>
        <v>-255098000</v>
      </c>
      <c r="W30" s="2">
        <f>IFERROR(IF(MID(W$2,6,7)="3",HLOOKUP(W$1,Bilanço!$1:$151,MATCH(Çeyreklik!$A30,Bilanço!$A:$A,0),0),HLOOKUP(W$1,Bilanço!$1:$151,MATCH(Çeyreklik!$A30,Bilanço!$A:$A,0),0)-HLOOKUP(V$1,Bilanço!$1:$151,MATCH(Çeyreklik!$A30,Bilanço!$A:$A,0),0)),"")</f>
        <v>-881065000</v>
      </c>
    </row>
    <row r="31" spans="1:23" x14ac:dyDescent="0.25">
      <c r="A31" t="str">
        <f>Data!A102</f>
        <v xml:space="preserve">  Dönem Vergi Geliri (Gideri)</v>
      </c>
      <c r="B31" s="2">
        <f>IFERROR(IF($B$2="2022/3",IF(MID(B$2,6,7)="3",HLOOKUP(B$1,Bilanço!$1:$151,MATCH(Çeyreklik!$A31,Bilanço!$A:$A,0),0),HLOOKUP(B$1,Bilanço!$1:$151,MATCH(Çeyreklik!$A31,Bilanço!$A:$A,0),0)-HLOOKUP(A$1,Bilanço!$1:$151,MATCH(Çeyreklik!$A31,Bilanço!$A:$A,0),0)),IF(MID(B$2,6,7)="3",HLOOKUP(B$1,Bilanço!$1:$151,MATCH(Çeyreklik!$A31,Bilanço!$A:$A,0),0),HLOOKUP(B$1,Bilanço!$1:$151,MATCH(Çeyreklik!$A31,Bilanço!$A:$A,0),0)-HLOOKUP(Bilanço!$B$1,Bilanço!$1:$151,MATCH(Çeyreklik!$A31,Bilanço!$A:$A,0),0))),"")</f>
        <v>-134062000</v>
      </c>
      <c r="C31" s="2">
        <f>IFERROR(IF(MID(C$2,6,7)="3",HLOOKUP(C$1,Bilanço!$1:$151,MATCH(Çeyreklik!$A31,Bilanço!$A:$A,0),0),HLOOKUP(C$1,Bilanço!$1:$151,MATCH(Çeyreklik!$A31,Bilanço!$A:$A,0),0)-HLOOKUP(B$1,Bilanço!$1:$151,MATCH(Çeyreklik!$A31,Bilanço!$A:$A,0),0)),"")</f>
        <v>-97953000</v>
      </c>
      <c r="D31" s="2">
        <f>IFERROR(IF(MID(D$2,6,7)="3",HLOOKUP(D$1,Bilanço!$1:$151,MATCH(Çeyreklik!$A31,Bilanço!$A:$A,0),0),HLOOKUP(D$1,Bilanço!$1:$151,MATCH(Çeyreklik!$A31,Bilanço!$A:$A,0),0)-HLOOKUP(C$1,Bilanço!$1:$151,MATCH(Çeyreklik!$A31,Bilanço!$A:$A,0),0)),"")</f>
        <v>-54962000</v>
      </c>
      <c r="E31" s="2">
        <f>IFERROR(IF(MID(E$2,6,7)="3",HLOOKUP(E$1,Bilanço!$1:$151,MATCH(Çeyreklik!$A31,Bilanço!$A:$A,0),0),HLOOKUP(E$1,Bilanço!$1:$151,MATCH(Çeyreklik!$A31,Bilanço!$A:$A,0),0)-HLOOKUP(D$1,Bilanço!$1:$151,MATCH(Çeyreklik!$A31,Bilanço!$A:$A,0),0)),"")</f>
        <v>-133122000</v>
      </c>
      <c r="F31" s="2">
        <f>IFERROR(IF(MID(F$2,6,7)="3",HLOOKUP(F$1,Bilanço!$1:$151,MATCH(Çeyreklik!$A31,Bilanço!$A:$A,0),0),HLOOKUP(F$1,Bilanço!$1:$151,MATCH(Çeyreklik!$A31,Bilanço!$A:$A,0),0)-HLOOKUP(E$1,Bilanço!$1:$151,MATCH(Çeyreklik!$A31,Bilanço!$A:$A,0),0)),"")</f>
        <v>-159466000</v>
      </c>
      <c r="G31" s="2">
        <f>IFERROR(IF(MID(G$2,6,7)="3",HLOOKUP(G$1,Bilanço!$1:$151,MATCH(Çeyreklik!$A31,Bilanço!$A:$A,0),0),HLOOKUP(G$1,Bilanço!$1:$151,MATCH(Çeyreklik!$A31,Bilanço!$A:$A,0),0)-HLOOKUP(F$1,Bilanço!$1:$151,MATCH(Çeyreklik!$A31,Bilanço!$A:$A,0),0)),"")</f>
        <v>-16480000</v>
      </c>
      <c r="H31" s="2">
        <f>IFERROR(IF(MID(H$2,6,7)="3",HLOOKUP(H$1,Bilanço!$1:$151,MATCH(Çeyreklik!$A31,Bilanço!$A:$A,0),0),HLOOKUP(H$1,Bilanço!$1:$151,MATCH(Çeyreklik!$A31,Bilanço!$A:$A,0),0)-HLOOKUP(G$1,Bilanço!$1:$151,MATCH(Çeyreklik!$A31,Bilanço!$A:$A,0),0)),"")</f>
        <v>-141643000</v>
      </c>
      <c r="I31" s="2">
        <f>IFERROR(IF(MID(I$2,6,7)="3",HLOOKUP(I$1,Bilanço!$1:$151,MATCH(Çeyreklik!$A31,Bilanço!$A:$A,0),0),HLOOKUP(I$1,Bilanço!$1:$151,MATCH(Çeyreklik!$A31,Bilanço!$A:$A,0),0)-HLOOKUP(H$1,Bilanço!$1:$151,MATCH(Çeyreklik!$A31,Bilanço!$A:$A,0),0)),"")</f>
        <v>-190297000</v>
      </c>
      <c r="J31" s="2">
        <f>IFERROR(IF(MID(J$2,6,7)="3",HLOOKUP(J$1,Bilanço!$1:$151,MATCH(Çeyreklik!$A31,Bilanço!$A:$A,0),0),HLOOKUP(J$1,Bilanço!$1:$151,MATCH(Çeyreklik!$A31,Bilanço!$A:$A,0),0)-HLOOKUP(I$1,Bilanço!$1:$151,MATCH(Çeyreklik!$A31,Bilanço!$A:$A,0),0)),"")</f>
        <v>-173977000</v>
      </c>
      <c r="K31" s="2">
        <f>IFERROR(IF(MID(K$2,6,7)="3",HLOOKUP(K$1,Bilanço!$1:$151,MATCH(Çeyreklik!$A31,Bilanço!$A:$A,0),0),HLOOKUP(K$1,Bilanço!$1:$151,MATCH(Çeyreklik!$A31,Bilanço!$A:$A,0),0)-HLOOKUP(J$1,Bilanço!$1:$151,MATCH(Çeyreklik!$A31,Bilanço!$A:$A,0),0)),"")</f>
        <v>-203894000</v>
      </c>
      <c r="L31" s="2">
        <f>IFERROR(IF(MID(L$2,6,7)="3",HLOOKUP(L$1,Bilanço!$1:$151,MATCH(Çeyreklik!$A31,Bilanço!$A:$A,0),0),HLOOKUP(L$1,Bilanço!$1:$151,MATCH(Çeyreklik!$A31,Bilanço!$A:$A,0),0)-HLOOKUP(K$1,Bilanço!$1:$151,MATCH(Çeyreklik!$A31,Bilanço!$A:$A,0),0)),"")</f>
        <v>-732551000</v>
      </c>
      <c r="M31" s="2">
        <f>IFERROR(IF(MID(M$2,6,7)="3",HLOOKUP(M$1,Bilanço!$1:$151,MATCH(Çeyreklik!$A31,Bilanço!$A:$A,0),0),HLOOKUP(M$1,Bilanço!$1:$151,MATCH(Çeyreklik!$A31,Bilanço!$A:$A,0),0)-HLOOKUP(L$1,Bilanço!$1:$151,MATCH(Çeyreklik!$A31,Bilanço!$A:$A,0),0)),"")</f>
        <v>-530223000</v>
      </c>
      <c r="N31" s="2">
        <f>IFERROR(IF(MID(N$2,6,7)="3",HLOOKUP(N$1,Bilanço!$1:$151,MATCH(Çeyreklik!$A31,Bilanço!$A:$A,0),0),HLOOKUP(N$1,Bilanço!$1:$151,MATCH(Çeyreklik!$A31,Bilanço!$A:$A,0),0)-HLOOKUP(M$1,Bilanço!$1:$151,MATCH(Çeyreklik!$A31,Bilanço!$A:$A,0),0)),"")</f>
        <v>-502389000</v>
      </c>
      <c r="O31" s="2">
        <f>IFERROR(IF(MID(O$2,6,7)="3",HLOOKUP(O$1,Bilanço!$1:$151,MATCH(Çeyreklik!$A31,Bilanço!$A:$A,0),0),HLOOKUP(O$1,Bilanço!$1:$151,MATCH(Çeyreklik!$A31,Bilanço!$A:$A,0),0)-HLOOKUP(N$1,Bilanço!$1:$151,MATCH(Çeyreklik!$A31,Bilanço!$A:$A,0),0)),"")</f>
        <v>-484030000</v>
      </c>
      <c r="P31" s="2">
        <f>IFERROR(IF(MID(P$2,6,7)="3",HLOOKUP(P$1,Bilanço!$1:$151,MATCH(Çeyreklik!$A31,Bilanço!$A:$A,0),0),HLOOKUP(P$1,Bilanço!$1:$151,MATCH(Çeyreklik!$A31,Bilanço!$A:$A,0),0)-HLOOKUP(O$1,Bilanço!$1:$151,MATCH(Çeyreklik!$A31,Bilanço!$A:$A,0),0)),"")</f>
        <v>-355952000</v>
      </c>
      <c r="Q31" s="2">
        <f>IFERROR(IF(MID(Q$2,6,7)="3",HLOOKUP(Q$1,Bilanço!$1:$151,MATCH(Çeyreklik!$A31,Bilanço!$A:$A,0),0),HLOOKUP(Q$1,Bilanço!$1:$151,MATCH(Çeyreklik!$A31,Bilanço!$A:$A,0),0)-HLOOKUP(P$1,Bilanço!$1:$151,MATCH(Çeyreklik!$A31,Bilanço!$A:$A,0),0)),"")</f>
        <v>-281770000</v>
      </c>
      <c r="R31" s="2">
        <f>IFERROR(IF(MID(R$2,6,7)="3",HLOOKUP(R$1,Bilanço!$1:$151,MATCH(Çeyreklik!$A31,Bilanço!$A:$A,0),0),HLOOKUP(R$1,Bilanço!$1:$151,MATCH(Çeyreklik!$A31,Bilanço!$A:$A,0),0)-HLOOKUP(Q$1,Bilanço!$1:$151,MATCH(Çeyreklik!$A31,Bilanço!$A:$A,0),0)),"")</f>
        <v>-335841000</v>
      </c>
      <c r="S31" s="2">
        <f>IFERROR(IF(MID(S$2,6,7)="3",HLOOKUP(S$1,Bilanço!$1:$151,MATCH(Çeyreklik!$A31,Bilanço!$A:$A,0),0),HLOOKUP(S$1,Bilanço!$1:$151,MATCH(Çeyreklik!$A31,Bilanço!$A:$A,0),0)-HLOOKUP(R$1,Bilanço!$1:$151,MATCH(Çeyreklik!$A31,Bilanço!$A:$A,0),0)),"")</f>
        <v>-12527000</v>
      </c>
      <c r="T31" s="2">
        <f>IFERROR(IF(MID(T$2,6,7)="3",HLOOKUP(T$1,Bilanço!$1:$151,MATCH(Çeyreklik!$A31,Bilanço!$A:$A,0),0),HLOOKUP(T$1,Bilanço!$1:$151,MATCH(Çeyreklik!$A31,Bilanço!$A:$A,0),0)-HLOOKUP(S$1,Bilanço!$1:$151,MATCH(Çeyreklik!$A31,Bilanço!$A:$A,0),0)),"")</f>
        <v>-157845791</v>
      </c>
      <c r="U31" s="2">
        <f>IFERROR(IF(MID(U$2,6,7)="3",HLOOKUP(U$1,Bilanço!$1:$151,MATCH(Çeyreklik!$A31,Bilanço!$A:$A,0),0),HLOOKUP(U$1,Bilanço!$1:$151,MATCH(Çeyreklik!$A31,Bilanço!$A:$A,0),0)-HLOOKUP(T$1,Bilanço!$1:$151,MATCH(Çeyreklik!$A31,Bilanço!$A:$A,0),0)),"")</f>
        <v>-287036000</v>
      </c>
      <c r="V31" s="2">
        <f>IFERROR(IF(MID(V$2,6,7)="3",HLOOKUP(V$1,Bilanço!$1:$151,MATCH(Çeyreklik!$A31,Bilanço!$A:$A,0),0),HLOOKUP(V$1,Bilanço!$1:$151,MATCH(Çeyreklik!$A31,Bilanço!$A:$A,0),0)-HLOOKUP(U$1,Bilanço!$1:$151,MATCH(Çeyreklik!$A31,Bilanço!$A:$A,0),0)),"")</f>
        <v>-40434000</v>
      </c>
      <c r="W31" s="2">
        <f>IFERROR(IF(MID(W$2,6,7)="3",HLOOKUP(W$1,Bilanço!$1:$151,MATCH(Çeyreklik!$A31,Bilanço!$A:$A,0),0),HLOOKUP(W$1,Bilanço!$1:$151,MATCH(Çeyreklik!$A31,Bilanço!$A:$A,0),0)-HLOOKUP(V$1,Bilanço!$1:$151,MATCH(Çeyreklik!$A31,Bilanço!$A:$A,0),0)),"")</f>
        <v>-689483000</v>
      </c>
    </row>
    <row r="32" spans="1:23" x14ac:dyDescent="0.25">
      <c r="A32" t="str">
        <f>Data!A103</f>
        <v xml:space="preserve">  Ertelenmiş Vergi Geliri (Gideri)</v>
      </c>
      <c r="B32" s="2">
        <f>IFERROR(IF($B$2="2022/3",IF(MID(B$2,6,7)="3",HLOOKUP(B$1,Bilanço!$1:$151,MATCH(Çeyreklik!$A32,Bilanço!$A:$A,0),0),HLOOKUP(B$1,Bilanço!$1:$151,MATCH(Çeyreklik!$A32,Bilanço!$A:$A,0),0)-HLOOKUP(A$1,Bilanço!$1:$151,MATCH(Çeyreklik!$A32,Bilanço!$A:$A,0),0)),IF(MID(B$2,6,7)="3",HLOOKUP(B$1,Bilanço!$1:$151,MATCH(Çeyreklik!$A32,Bilanço!$A:$A,0),0),HLOOKUP(B$1,Bilanço!$1:$151,MATCH(Çeyreklik!$A32,Bilanço!$A:$A,0),0)-HLOOKUP(Bilanço!$B$1,Bilanço!$1:$151,MATCH(Çeyreklik!$A32,Bilanço!$A:$A,0),0))),"")</f>
        <v>-8544000</v>
      </c>
      <c r="C32" s="2">
        <f>IFERROR(IF(MID(C$2,6,7)="3",HLOOKUP(C$1,Bilanço!$1:$151,MATCH(Çeyreklik!$A32,Bilanço!$A:$A,0),0),HLOOKUP(C$1,Bilanço!$1:$151,MATCH(Çeyreklik!$A32,Bilanço!$A:$A,0),0)-HLOOKUP(B$1,Bilanço!$1:$151,MATCH(Çeyreklik!$A32,Bilanço!$A:$A,0),0)),"")</f>
        <v>19633000</v>
      </c>
      <c r="D32" s="2">
        <f>IFERROR(IF(MID(D$2,6,7)="3",HLOOKUP(D$1,Bilanço!$1:$151,MATCH(Çeyreklik!$A32,Bilanço!$A:$A,0),0),HLOOKUP(D$1,Bilanço!$1:$151,MATCH(Çeyreklik!$A32,Bilanço!$A:$A,0),0)-HLOOKUP(C$1,Bilanço!$1:$151,MATCH(Çeyreklik!$A32,Bilanço!$A:$A,0),0)),"")</f>
        <v>-58152000</v>
      </c>
      <c r="E32" s="2">
        <f>IFERROR(IF(MID(E$2,6,7)="3",HLOOKUP(E$1,Bilanço!$1:$151,MATCH(Çeyreklik!$A32,Bilanço!$A:$A,0),0),HLOOKUP(E$1,Bilanço!$1:$151,MATCH(Çeyreklik!$A32,Bilanço!$A:$A,0),0)-HLOOKUP(D$1,Bilanço!$1:$151,MATCH(Çeyreklik!$A32,Bilanço!$A:$A,0),0)),"")</f>
        <v>18468000</v>
      </c>
      <c r="F32" s="2">
        <f>IFERROR(IF(MID(F$2,6,7)="3",HLOOKUP(F$1,Bilanço!$1:$151,MATCH(Çeyreklik!$A32,Bilanço!$A:$A,0),0),HLOOKUP(F$1,Bilanço!$1:$151,MATCH(Çeyreklik!$A32,Bilanço!$A:$A,0),0)-HLOOKUP(E$1,Bilanço!$1:$151,MATCH(Çeyreklik!$A32,Bilanço!$A:$A,0),0)),"")</f>
        <v>10123000</v>
      </c>
      <c r="G32" s="2">
        <f>IFERROR(IF(MID(G$2,6,7)="3",HLOOKUP(G$1,Bilanço!$1:$151,MATCH(Çeyreklik!$A32,Bilanço!$A:$A,0),0),HLOOKUP(G$1,Bilanço!$1:$151,MATCH(Çeyreklik!$A32,Bilanço!$A:$A,0),0)-HLOOKUP(F$1,Bilanço!$1:$151,MATCH(Çeyreklik!$A32,Bilanço!$A:$A,0),0)),"")</f>
        <v>10354000</v>
      </c>
      <c r="H32" s="2">
        <f>IFERROR(IF(MID(H$2,6,7)="3",HLOOKUP(H$1,Bilanço!$1:$151,MATCH(Çeyreklik!$A32,Bilanço!$A:$A,0),0),HLOOKUP(H$1,Bilanço!$1:$151,MATCH(Çeyreklik!$A32,Bilanço!$A:$A,0),0)-HLOOKUP(G$1,Bilanço!$1:$151,MATCH(Çeyreklik!$A32,Bilanço!$A:$A,0),0)),"")</f>
        <v>319881000</v>
      </c>
      <c r="I32" s="2">
        <f>IFERROR(IF(MID(I$2,6,7)="3",HLOOKUP(I$1,Bilanço!$1:$151,MATCH(Çeyreklik!$A32,Bilanço!$A:$A,0),0),HLOOKUP(I$1,Bilanço!$1:$151,MATCH(Çeyreklik!$A32,Bilanço!$A:$A,0),0)-HLOOKUP(H$1,Bilanço!$1:$151,MATCH(Çeyreklik!$A32,Bilanço!$A:$A,0),0)),"")</f>
        <v>178185000</v>
      </c>
      <c r="J32" s="2">
        <f>IFERROR(IF(MID(J$2,6,7)="3",HLOOKUP(J$1,Bilanço!$1:$151,MATCH(Çeyreklik!$A32,Bilanço!$A:$A,0),0),HLOOKUP(J$1,Bilanço!$1:$151,MATCH(Çeyreklik!$A32,Bilanço!$A:$A,0),0)-HLOOKUP(I$1,Bilanço!$1:$151,MATCH(Çeyreklik!$A32,Bilanço!$A:$A,0),0)),"")</f>
        <v>223283000</v>
      </c>
      <c r="K32" s="2">
        <f>IFERROR(IF(MID(K$2,6,7)="3",HLOOKUP(K$1,Bilanço!$1:$151,MATCH(Çeyreklik!$A32,Bilanço!$A:$A,0),0),HLOOKUP(K$1,Bilanço!$1:$151,MATCH(Çeyreklik!$A32,Bilanço!$A:$A,0),0)-HLOOKUP(J$1,Bilanço!$1:$151,MATCH(Çeyreklik!$A32,Bilanço!$A:$A,0),0)),"")</f>
        <v>134611000</v>
      </c>
      <c r="L32" s="2">
        <f>IFERROR(IF(MID(L$2,6,7)="3",HLOOKUP(L$1,Bilanço!$1:$151,MATCH(Çeyreklik!$A32,Bilanço!$A:$A,0),0),HLOOKUP(L$1,Bilanço!$1:$151,MATCH(Çeyreklik!$A32,Bilanço!$A:$A,0),0)-HLOOKUP(K$1,Bilanço!$1:$151,MATCH(Çeyreklik!$A32,Bilanço!$A:$A,0),0)),"")</f>
        <v>821151000</v>
      </c>
      <c r="M32" s="2">
        <f>IFERROR(IF(MID(M$2,6,7)="3",HLOOKUP(M$1,Bilanço!$1:$151,MATCH(Çeyreklik!$A32,Bilanço!$A:$A,0),0),HLOOKUP(M$1,Bilanço!$1:$151,MATCH(Çeyreklik!$A32,Bilanço!$A:$A,0),0)-HLOOKUP(L$1,Bilanço!$1:$151,MATCH(Çeyreklik!$A32,Bilanço!$A:$A,0),0)),"")</f>
        <v>-265288000</v>
      </c>
      <c r="N32" s="2">
        <f>IFERROR(IF(MID(N$2,6,7)="3",HLOOKUP(N$1,Bilanço!$1:$151,MATCH(Çeyreklik!$A32,Bilanço!$A:$A,0),0),HLOOKUP(N$1,Bilanço!$1:$151,MATCH(Çeyreklik!$A32,Bilanço!$A:$A,0),0)-HLOOKUP(M$1,Bilanço!$1:$151,MATCH(Çeyreklik!$A32,Bilanço!$A:$A,0),0)),"")</f>
        <v>1048065000</v>
      </c>
      <c r="O32" s="2">
        <f>IFERROR(IF(MID(O$2,6,7)="3",HLOOKUP(O$1,Bilanço!$1:$151,MATCH(Çeyreklik!$A32,Bilanço!$A:$A,0),0),HLOOKUP(O$1,Bilanço!$1:$151,MATCH(Çeyreklik!$A32,Bilanço!$A:$A,0),0)-HLOOKUP(N$1,Bilanço!$1:$151,MATCH(Çeyreklik!$A32,Bilanço!$A:$A,0),0)),"")</f>
        <v>-863989000</v>
      </c>
      <c r="P32" s="2">
        <f>IFERROR(IF(MID(P$2,6,7)="3",HLOOKUP(P$1,Bilanço!$1:$151,MATCH(Çeyreklik!$A32,Bilanço!$A:$A,0),0),HLOOKUP(P$1,Bilanço!$1:$151,MATCH(Çeyreklik!$A32,Bilanço!$A:$A,0),0)-HLOOKUP(O$1,Bilanço!$1:$151,MATCH(Çeyreklik!$A32,Bilanço!$A:$A,0),0)),"")</f>
        <v>1153408000</v>
      </c>
      <c r="Q32" s="2">
        <f>IFERROR(IF(MID(Q$2,6,7)="3",HLOOKUP(Q$1,Bilanço!$1:$151,MATCH(Çeyreklik!$A32,Bilanço!$A:$A,0),0),HLOOKUP(Q$1,Bilanço!$1:$151,MATCH(Çeyreklik!$A32,Bilanço!$A:$A,0),0)-HLOOKUP(P$1,Bilanço!$1:$151,MATCH(Çeyreklik!$A32,Bilanço!$A:$A,0),0)),"")</f>
        <v>-1302849000</v>
      </c>
      <c r="R32" s="2">
        <f>IFERROR(IF(MID(R$2,6,7)="3",HLOOKUP(R$1,Bilanço!$1:$151,MATCH(Çeyreklik!$A32,Bilanço!$A:$A,0),0),HLOOKUP(R$1,Bilanço!$1:$151,MATCH(Çeyreklik!$A32,Bilanço!$A:$A,0),0)-HLOOKUP(Q$1,Bilanço!$1:$151,MATCH(Çeyreklik!$A32,Bilanço!$A:$A,0),0)),"")</f>
        <v>-295598000</v>
      </c>
      <c r="S32" s="2">
        <f>IFERROR(IF(MID(S$2,6,7)="3",HLOOKUP(S$1,Bilanço!$1:$151,MATCH(Çeyreklik!$A32,Bilanço!$A:$A,0),0),HLOOKUP(S$1,Bilanço!$1:$151,MATCH(Çeyreklik!$A32,Bilanço!$A:$A,0),0)-HLOOKUP(R$1,Bilanço!$1:$151,MATCH(Çeyreklik!$A32,Bilanço!$A:$A,0),0)),"")</f>
        <v>-1145345000</v>
      </c>
      <c r="T32" s="2">
        <f>IFERROR(IF(MID(T$2,6,7)="3",HLOOKUP(T$1,Bilanço!$1:$151,MATCH(Çeyreklik!$A32,Bilanço!$A:$A,0),0),HLOOKUP(T$1,Bilanço!$1:$151,MATCH(Çeyreklik!$A32,Bilanço!$A:$A,0),0)-HLOOKUP(S$1,Bilanço!$1:$151,MATCH(Çeyreklik!$A32,Bilanço!$A:$A,0),0)),"")</f>
        <v>-167231809</v>
      </c>
      <c r="U32" s="2">
        <f>IFERROR(IF(MID(U$2,6,7)="3",HLOOKUP(U$1,Bilanço!$1:$151,MATCH(Çeyreklik!$A32,Bilanço!$A:$A,0),0),HLOOKUP(U$1,Bilanço!$1:$151,MATCH(Çeyreklik!$A32,Bilanço!$A:$A,0),0)-HLOOKUP(T$1,Bilanço!$1:$151,MATCH(Çeyreklik!$A32,Bilanço!$A:$A,0),0)),"")</f>
        <v>-592128000</v>
      </c>
      <c r="V32" s="2">
        <f>IFERROR(IF(MID(V$2,6,7)="3",HLOOKUP(V$1,Bilanço!$1:$151,MATCH(Çeyreklik!$A32,Bilanço!$A:$A,0),0),HLOOKUP(V$1,Bilanço!$1:$151,MATCH(Çeyreklik!$A32,Bilanço!$A:$A,0),0)-HLOOKUP(U$1,Bilanço!$1:$151,MATCH(Çeyreklik!$A32,Bilanço!$A:$A,0),0)),"")</f>
        <v>-214664000</v>
      </c>
      <c r="W32" s="2">
        <f>IFERROR(IF(MID(W$2,6,7)="3",HLOOKUP(W$1,Bilanço!$1:$151,MATCH(Çeyreklik!$A32,Bilanço!$A:$A,0),0),HLOOKUP(W$1,Bilanço!$1:$151,MATCH(Çeyreklik!$A32,Bilanço!$A:$A,0),0)-HLOOKUP(V$1,Bilanço!$1:$151,MATCH(Çeyreklik!$A32,Bilanço!$A:$A,0),0)),"")</f>
        <v>-191582000</v>
      </c>
    </row>
    <row r="33" spans="1:23" x14ac:dyDescent="0.25">
      <c r="A33" t="str">
        <f>Data!A104</f>
        <v xml:space="preserve">  Diğer Vergi Geliri (Gideri)</v>
      </c>
      <c r="B33" s="2">
        <f>IFERROR(IF($B$2="2022/3",IF(MID(B$2,6,7)="3",HLOOKUP(B$1,Bilanço!$1:$151,MATCH(Çeyreklik!$A33,Bilanço!$A:$A,0),0),HLOOKUP(B$1,Bilanço!$1:$151,MATCH(Çeyreklik!$A33,Bilanço!$A:$A,0),0)-HLOOKUP(A$1,Bilanço!$1:$151,MATCH(Çeyreklik!$A33,Bilanço!$A:$A,0),0)),IF(MID(B$2,6,7)="3",HLOOKUP(B$1,Bilanço!$1:$151,MATCH(Çeyreklik!$A33,Bilanço!$A:$A,0),0),HLOOKUP(B$1,Bilanço!$1:$151,MATCH(Çeyreklik!$A33,Bilanço!$A:$A,0),0)-HLOOKUP(Bilanço!$B$1,Bilanço!$1:$151,MATCH(Çeyreklik!$A33,Bilanço!$A:$A,0),0))),"")</f>
        <v>0</v>
      </c>
      <c r="C33" s="2">
        <f>IFERROR(IF(MID(C$2,6,7)="3",HLOOKUP(C$1,Bilanço!$1:$151,MATCH(Çeyreklik!$A33,Bilanço!$A:$A,0),0),HLOOKUP(C$1,Bilanço!$1:$151,MATCH(Çeyreklik!$A33,Bilanço!$A:$A,0),0)-HLOOKUP(B$1,Bilanço!$1:$151,MATCH(Çeyreklik!$A33,Bilanço!$A:$A,0),0)),"")</f>
        <v>0</v>
      </c>
      <c r="D33" s="2">
        <f>IFERROR(IF(MID(D$2,6,7)="3",HLOOKUP(D$1,Bilanço!$1:$151,MATCH(Çeyreklik!$A33,Bilanço!$A:$A,0),0),HLOOKUP(D$1,Bilanço!$1:$151,MATCH(Çeyreklik!$A33,Bilanço!$A:$A,0),0)-HLOOKUP(C$1,Bilanço!$1:$151,MATCH(Çeyreklik!$A33,Bilanço!$A:$A,0),0)),"")</f>
        <v>0</v>
      </c>
      <c r="E33" s="2">
        <f>IFERROR(IF(MID(E$2,6,7)="3",HLOOKUP(E$1,Bilanço!$1:$151,MATCH(Çeyreklik!$A33,Bilanço!$A:$A,0),0),HLOOKUP(E$1,Bilanço!$1:$151,MATCH(Çeyreklik!$A33,Bilanço!$A:$A,0),0)-HLOOKUP(D$1,Bilanço!$1:$151,MATCH(Çeyreklik!$A33,Bilanço!$A:$A,0),0)),"")</f>
        <v>0</v>
      </c>
      <c r="F33" s="2">
        <f>IFERROR(IF(MID(F$2,6,7)="3",HLOOKUP(F$1,Bilanço!$1:$151,MATCH(Çeyreklik!$A33,Bilanço!$A:$A,0),0),HLOOKUP(F$1,Bilanço!$1:$151,MATCH(Çeyreklik!$A33,Bilanço!$A:$A,0),0)-HLOOKUP(E$1,Bilanço!$1:$151,MATCH(Çeyreklik!$A33,Bilanço!$A:$A,0),0)),"")</f>
        <v>0</v>
      </c>
      <c r="G33" s="2">
        <f>IFERROR(IF(MID(G$2,6,7)="3",HLOOKUP(G$1,Bilanço!$1:$151,MATCH(Çeyreklik!$A33,Bilanço!$A:$A,0),0),HLOOKUP(G$1,Bilanço!$1:$151,MATCH(Çeyreklik!$A33,Bilanço!$A:$A,0),0)-HLOOKUP(F$1,Bilanço!$1:$151,MATCH(Çeyreklik!$A33,Bilanço!$A:$A,0),0)),"")</f>
        <v>0</v>
      </c>
      <c r="H33" s="2">
        <f>IFERROR(IF(MID(H$2,6,7)="3",HLOOKUP(H$1,Bilanço!$1:$151,MATCH(Çeyreklik!$A33,Bilanço!$A:$A,0),0),HLOOKUP(H$1,Bilanço!$1:$151,MATCH(Çeyreklik!$A33,Bilanço!$A:$A,0),0)-HLOOKUP(G$1,Bilanço!$1:$151,MATCH(Çeyreklik!$A33,Bilanço!$A:$A,0),0)),"")</f>
        <v>0</v>
      </c>
      <c r="I33" s="2">
        <f>IFERROR(IF(MID(I$2,6,7)="3",HLOOKUP(I$1,Bilanço!$1:$151,MATCH(Çeyreklik!$A33,Bilanço!$A:$A,0),0),HLOOKUP(I$1,Bilanço!$1:$151,MATCH(Çeyreklik!$A33,Bilanço!$A:$A,0),0)-HLOOKUP(H$1,Bilanço!$1:$151,MATCH(Çeyreklik!$A33,Bilanço!$A:$A,0),0)),"")</f>
        <v>0</v>
      </c>
      <c r="J33" s="2">
        <f>IFERROR(IF(MID(J$2,6,7)="3",HLOOKUP(J$1,Bilanço!$1:$151,MATCH(Çeyreklik!$A33,Bilanço!$A:$A,0),0),HLOOKUP(J$1,Bilanço!$1:$151,MATCH(Çeyreklik!$A33,Bilanço!$A:$A,0),0)-HLOOKUP(I$1,Bilanço!$1:$151,MATCH(Çeyreklik!$A33,Bilanço!$A:$A,0),0)),"")</f>
        <v>0</v>
      </c>
      <c r="K33" s="2">
        <f>IFERROR(IF(MID(K$2,6,7)="3",HLOOKUP(K$1,Bilanço!$1:$151,MATCH(Çeyreklik!$A33,Bilanço!$A:$A,0),0),HLOOKUP(K$1,Bilanço!$1:$151,MATCH(Çeyreklik!$A33,Bilanço!$A:$A,0),0)-HLOOKUP(J$1,Bilanço!$1:$151,MATCH(Çeyreklik!$A33,Bilanço!$A:$A,0),0)),"")</f>
        <v>0</v>
      </c>
      <c r="L33" s="2">
        <f>IFERROR(IF(MID(L$2,6,7)="3",HLOOKUP(L$1,Bilanço!$1:$151,MATCH(Çeyreklik!$A33,Bilanço!$A:$A,0),0),HLOOKUP(L$1,Bilanço!$1:$151,MATCH(Çeyreklik!$A33,Bilanço!$A:$A,0),0)-HLOOKUP(K$1,Bilanço!$1:$151,MATCH(Çeyreklik!$A33,Bilanço!$A:$A,0),0)),"")</f>
        <v>0</v>
      </c>
      <c r="M33" s="2">
        <f>IFERROR(IF(MID(M$2,6,7)="3",HLOOKUP(M$1,Bilanço!$1:$151,MATCH(Çeyreklik!$A33,Bilanço!$A:$A,0),0),HLOOKUP(M$1,Bilanço!$1:$151,MATCH(Çeyreklik!$A33,Bilanço!$A:$A,0),0)-HLOOKUP(L$1,Bilanço!$1:$151,MATCH(Çeyreklik!$A33,Bilanço!$A:$A,0),0)),"")</f>
        <v>0</v>
      </c>
      <c r="N33" s="2">
        <f>IFERROR(IF(MID(N$2,6,7)="3",HLOOKUP(N$1,Bilanço!$1:$151,MATCH(Çeyreklik!$A33,Bilanço!$A:$A,0),0),HLOOKUP(N$1,Bilanço!$1:$151,MATCH(Çeyreklik!$A33,Bilanço!$A:$A,0),0)-HLOOKUP(M$1,Bilanço!$1:$151,MATCH(Çeyreklik!$A33,Bilanço!$A:$A,0),0)),"")</f>
        <v>0</v>
      </c>
      <c r="O33" s="2">
        <f>IFERROR(IF(MID(O$2,6,7)="3",HLOOKUP(O$1,Bilanço!$1:$151,MATCH(Çeyreklik!$A33,Bilanço!$A:$A,0),0),HLOOKUP(O$1,Bilanço!$1:$151,MATCH(Çeyreklik!$A33,Bilanço!$A:$A,0),0)-HLOOKUP(N$1,Bilanço!$1:$151,MATCH(Çeyreklik!$A33,Bilanço!$A:$A,0),0)),"")</f>
        <v>0</v>
      </c>
      <c r="P33" s="2">
        <f>IFERROR(IF(MID(P$2,6,7)="3",HLOOKUP(P$1,Bilanço!$1:$151,MATCH(Çeyreklik!$A33,Bilanço!$A:$A,0),0),HLOOKUP(P$1,Bilanço!$1:$151,MATCH(Çeyreklik!$A33,Bilanço!$A:$A,0),0)-HLOOKUP(O$1,Bilanço!$1:$151,MATCH(Çeyreklik!$A33,Bilanço!$A:$A,0),0)),"")</f>
        <v>0</v>
      </c>
      <c r="Q33" s="2">
        <f>IFERROR(IF(MID(Q$2,6,7)="3",HLOOKUP(Q$1,Bilanço!$1:$151,MATCH(Çeyreklik!$A33,Bilanço!$A:$A,0),0),HLOOKUP(Q$1,Bilanço!$1:$151,MATCH(Çeyreklik!$A33,Bilanço!$A:$A,0),0)-HLOOKUP(P$1,Bilanço!$1:$151,MATCH(Çeyreklik!$A33,Bilanço!$A:$A,0),0)),"")</f>
        <v>0</v>
      </c>
      <c r="R33" s="2">
        <f>IFERROR(IF(MID(R$2,6,7)="3",HLOOKUP(R$1,Bilanço!$1:$151,MATCH(Çeyreklik!$A33,Bilanço!$A:$A,0),0),HLOOKUP(R$1,Bilanço!$1:$151,MATCH(Çeyreklik!$A33,Bilanço!$A:$A,0),0)-HLOOKUP(Q$1,Bilanço!$1:$151,MATCH(Çeyreklik!$A33,Bilanço!$A:$A,0),0)),"")</f>
        <v>0</v>
      </c>
      <c r="S33" s="2">
        <f>IFERROR(IF(MID(S$2,6,7)="3",HLOOKUP(S$1,Bilanço!$1:$151,MATCH(Çeyreklik!$A33,Bilanço!$A:$A,0),0),HLOOKUP(S$1,Bilanço!$1:$151,MATCH(Çeyreklik!$A33,Bilanço!$A:$A,0),0)-HLOOKUP(R$1,Bilanço!$1:$151,MATCH(Çeyreklik!$A33,Bilanço!$A:$A,0),0)),"")</f>
        <v>0</v>
      </c>
      <c r="T33" s="2">
        <f>IFERROR(IF(MID(T$2,6,7)="3",HLOOKUP(T$1,Bilanço!$1:$151,MATCH(Çeyreklik!$A33,Bilanço!$A:$A,0),0),HLOOKUP(T$1,Bilanço!$1:$151,MATCH(Çeyreklik!$A33,Bilanço!$A:$A,0),0)-HLOOKUP(S$1,Bilanço!$1:$151,MATCH(Çeyreklik!$A33,Bilanço!$A:$A,0),0)),"")</f>
        <v>0</v>
      </c>
      <c r="U33" s="2">
        <f>IFERROR(IF(MID(U$2,6,7)="3",HLOOKUP(U$1,Bilanço!$1:$151,MATCH(Çeyreklik!$A33,Bilanço!$A:$A,0),0),HLOOKUP(U$1,Bilanço!$1:$151,MATCH(Çeyreklik!$A33,Bilanço!$A:$A,0),0)-HLOOKUP(T$1,Bilanço!$1:$151,MATCH(Çeyreklik!$A33,Bilanço!$A:$A,0),0)),"")</f>
        <v>0</v>
      </c>
      <c r="V33" s="2">
        <f>IFERROR(IF(MID(V$2,6,7)="3",HLOOKUP(V$1,Bilanço!$1:$151,MATCH(Çeyreklik!$A33,Bilanço!$A:$A,0),0),HLOOKUP(V$1,Bilanço!$1:$151,MATCH(Çeyreklik!$A33,Bilanço!$A:$A,0),0)-HLOOKUP(U$1,Bilanço!$1:$151,MATCH(Çeyreklik!$A33,Bilanço!$A:$A,0),0)),"")</f>
        <v>0</v>
      </c>
      <c r="W33" s="2">
        <f>IFERROR(IF(MID(W$2,6,7)="3",HLOOKUP(W$1,Bilanço!$1:$151,MATCH(Çeyreklik!$A33,Bilanço!$A:$A,0),0),HLOOKUP(W$1,Bilanço!$1:$151,MATCH(Çeyreklik!$A33,Bilanço!$A:$A,0),0)-HLOOKUP(V$1,Bilanço!$1:$151,MATCH(Çeyreklik!$A33,Bilanço!$A:$A,0),0)),"")</f>
        <v>0</v>
      </c>
    </row>
    <row r="34" spans="1:23" x14ac:dyDescent="0.25">
      <c r="A34" t="str">
        <f>Data!A105</f>
        <v>SÜRDÜRÜLEN FAALİYETLER DÖNEM KARI/ZARARI</v>
      </c>
      <c r="B34" s="2">
        <f>IFERROR(IF($B$2="2022/3",IF(MID(B$2,6,7)="3",HLOOKUP(B$1,Bilanço!$1:$151,MATCH(Çeyreklik!$A34,Bilanço!$A:$A,0),0),HLOOKUP(B$1,Bilanço!$1:$151,MATCH(Çeyreklik!$A34,Bilanço!$A:$A,0),0)-HLOOKUP(A$1,Bilanço!$1:$151,MATCH(Çeyreklik!$A34,Bilanço!$A:$A,0),0)),IF(MID(B$2,6,7)="3",HLOOKUP(B$1,Bilanço!$1:$151,MATCH(Çeyreklik!$A34,Bilanço!$A:$A,0),0),HLOOKUP(B$1,Bilanço!$1:$151,MATCH(Çeyreklik!$A34,Bilanço!$A:$A,0),0)-HLOOKUP(Bilanço!$B$1,Bilanço!$1:$151,MATCH(Çeyreklik!$A34,Bilanço!$A:$A,0),0))),"")</f>
        <v>539474000</v>
      </c>
      <c r="C34" s="2">
        <f>IFERROR(IF(MID(C$2,6,7)="3",HLOOKUP(C$1,Bilanço!$1:$151,MATCH(Çeyreklik!$A34,Bilanço!$A:$A,0),0),HLOOKUP(C$1,Bilanço!$1:$151,MATCH(Çeyreklik!$A34,Bilanço!$A:$A,0),0)-HLOOKUP(B$1,Bilanço!$1:$151,MATCH(Çeyreklik!$A34,Bilanço!$A:$A,0),0)),"")</f>
        <v>325640000</v>
      </c>
      <c r="D34" s="2">
        <f>IFERROR(IF(MID(D$2,6,7)="3",HLOOKUP(D$1,Bilanço!$1:$151,MATCH(Çeyreklik!$A34,Bilanço!$A:$A,0),0),HLOOKUP(D$1,Bilanço!$1:$151,MATCH(Çeyreklik!$A34,Bilanço!$A:$A,0),0)-HLOOKUP(C$1,Bilanço!$1:$151,MATCH(Çeyreklik!$A34,Bilanço!$A:$A,0),0)),"")</f>
        <v>447594000</v>
      </c>
      <c r="E34" s="2">
        <f>IFERROR(IF(MID(E$2,6,7)="3",HLOOKUP(E$1,Bilanço!$1:$151,MATCH(Çeyreklik!$A34,Bilanço!$A:$A,0),0),HLOOKUP(E$1,Bilanço!$1:$151,MATCH(Çeyreklik!$A34,Bilanço!$A:$A,0),0)-HLOOKUP(D$1,Bilanço!$1:$151,MATCH(Çeyreklik!$A34,Bilanço!$A:$A,0),0)),"")</f>
        <v>492976000</v>
      </c>
      <c r="F34" s="2">
        <f>IFERROR(IF(MID(F$2,6,7)="3",HLOOKUP(F$1,Bilanço!$1:$151,MATCH(Çeyreklik!$A34,Bilanço!$A:$A,0),0),HLOOKUP(F$1,Bilanço!$1:$151,MATCH(Çeyreklik!$A34,Bilanço!$A:$A,0),0)-HLOOKUP(E$1,Bilanço!$1:$151,MATCH(Çeyreklik!$A34,Bilanço!$A:$A,0),0)),"")</f>
        <v>247063000</v>
      </c>
      <c r="G34" s="2">
        <f>IFERROR(IF(MID(G$2,6,7)="3",HLOOKUP(G$1,Bilanço!$1:$151,MATCH(Çeyreklik!$A34,Bilanço!$A:$A,0),0),HLOOKUP(G$1,Bilanço!$1:$151,MATCH(Çeyreklik!$A34,Bilanço!$A:$A,0),0)-HLOOKUP(F$1,Bilanço!$1:$151,MATCH(Çeyreklik!$A34,Bilanço!$A:$A,0),0)),"")</f>
        <v>33204000</v>
      </c>
      <c r="H34" s="2">
        <f>IFERROR(IF(MID(H$2,6,7)="3",HLOOKUP(H$1,Bilanço!$1:$151,MATCH(Çeyreklik!$A34,Bilanço!$A:$A,0),0),HLOOKUP(H$1,Bilanço!$1:$151,MATCH(Çeyreklik!$A34,Bilanço!$A:$A,0),0)-HLOOKUP(G$1,Bilanço!$1:$151,MATCH(Çeyreklik!$A34,Bilanço!$A:$A,0),0)),"")</f>
        <v>-935662000</v>
      </c>
      <c r="I34" s="2">
        <f>IFERROR(IF(MID(I$2,6,7)="3",HLOOKUP(I$1,Bilanço!$1:$151,MATCH(Çeyreklik!$A34,Bilanço!$A:$A,0),0),HLOOKUP(I$1,Bilanço!$1:$151,MATCH(Çeyreklik!$A34,Bilanço!$A:$A,0),0)-HLOOKUP(H$1,Bilanço!$1:$151,MATCH(Çeyreklik!$A34,Bilanço!$A:$A,0),0)),"")</f>
        <v>-331056000</v>
      </c>
      <c r="J34" s="2">
        <f>IFERROR(IF(MID(J$2,6,7)="3",HLOOKUP(J$1,Bilanço!$1:$151,MATCH(Çeyreklik!$A34,Bilanço!$A:$A,0),0),HLOOKUP(J$1,Bilanço!$1:$151,MATCH(Çeyreklik!$A34,Bilanço!$A:$A,0),0)-HLOOKUP(I$1,Bilanço!$1:$151,MATCH(Çeyreklik!$A34,Bilanço!$A:$A,0),0)),"")</f>
        <v>-554635000</v>
      </c>
      <c r="K34" s="2">
        <f>IFERROR(IF(MID(K$2,6,7)="3",HLOOKUP(K$1,Bilanço!$1:$151,MATCH(Çeyreklik!$A34,Bilanço!$A:$A,0),0),HLOOKUP(K$1,Bilanço!$1:$151,MATCH(Çeyreklik!$A34,Bilanço!$A:$A,0),0)-HLOOKUP(J$1,Bilanço!$1:$151,MATCH(Çeyreklik!$A34,Bilanço!$A:$A,0),0)),"")</f>
        <v>-100102000</v>
      </c>
      <c r="L34" s="2">
        <f>IFERROR(IF(MID(L$2,6,7)="3",HLOOKUP(L$1,Bilanço!$1:$151,MATCH(Çeyreklik!$A34,Bilanço!$A:$A,0),0),HLOOKUP(L$1,Bilanço!$1:$151,MATCH(Çeyreklik!$A34,Bilanço!$A:$A,0),0)-HLOOKUP(K$1,Bilanço!$1:$151,MATCH(Çeyreklik!$A34,Bilanço!$A:$A,0),0)),"")</f>
        <v>2415299000</v>
      </c>
      <c r="M34" s="2">
        <f>IFERROR(IF(MID(M$2,6,7)="3",HLOOKUP(M$1,Bilanço!$1:$151,MATCH(Çeyreklik!$A34,Bilanço!$A:$A,0),0),HLOOKUP(M$1,Bilanço!$1:$151,MATCH(Çeyreklik!$A34,Bilanço!$A:$A,0),0)-HLOOKUP(L$1,Bilanço!$1:$151,MATCH(Çeyreklik!$A34,Bilanço!$A:$A,0),0)),"")</f>
        <v>2699513000</v>
      </c>
      <c r="N34" s="2">
        <f>IFERROR(IF(MID(N$2,6,7)="3",HLOOKUP(N$1,Bilanço!$1:$151,MATCH(Çeyreklik!$A34,Bilanço!$A:$A,0),0),HLOOKUP(N$1,Bilanço!$1:$151,MATCH(Çeyreklik!$A34,Bilanço!$A:$A,0),0)-HLOOKUP(M$1,Bilanço!$1:$151,MATCH(Çeyreklik!$A34,Bilanço!$A:$A,0),0)),"")</f>
        <v>-2019516000</v>
      </c>
      <c r="O34" s="2">
        <f>IFERROR(IF(MID(O$2,6,7)="3",HLOOKUP(O$1,Bilanço!$1:$151,MATCH(Çeyreklik!$A34,Bilanço!$A:$A,0),0),HLOOKUP(O$1,Bilanço!$1:$151,MATCH(Çeyreklik!$A34,Bilanço!$A:$A,0),0)-HLOOKUP(N$1,Bilanço!$1:$151,MATCH(Çeyreklik!$A34,Bilanço!$A:$A,0),0)),"")</f>
        <v>3389404000</v>
      </c>
      <c r="P34" s="2">
        <f>IFERROR(IF(MID(P$2,6,7)="3",HLOOKUP(P$1,Bilanço!$1:$151,MATCH(Çeyreklik!$A34,Bilanço!$A:$A,0),0),HLOOKUP(P$1,Bilanço!$1:$151,MATCH(Çeyreklik!$A34,Bilanço!$A:$A,0),0)-HLOOKUP(O$1,Bilanço!$1:$151,MATCH(Çeyreklik!$A34,Bilanço!$A:$A,0),0)),"")</f>
        <v>2027374000</v>
      </c>
      <c r="Q34" s="2">
        <f>IFERROR(IF(MID(Q$2,6,7)="3",HLOOKUP(Q$1,Bilanço!$1:$151,MATCH(Çeyreklik!$A34,Bilanço!$A:$A,0),0),HLOOKUP(Q$1,Bilanço!$1:$151,MATCH(Çeyreklik!$A34,Bilanço!$A:$A,0),0)-HLOOKUP(P$1,Bilanço!$1:$151,MATCH(Çeyreklik!$A34,Bilanço!$A:$A,0),0)),"")</f>
        <v>3426471000</v>
      </c>
      <c r="R34" s="2">
        <f>IFERROR(IF(MID(R$2,6,7)="3",HLOOKUP(R$1,Bilanço!$1:$151,MATCH(Çeyreklik!$A34,Bilanço!$A:$A,0),0),HLOOKUP(R$1,Bilanço!$1:$151,MATCH(Çeyreklik!$A34,Bilanço!$A:$A,0),0)-HLOOKUP(Q$1,Bilanço!$1:$151,MATCH(Çeyreklik!$A34,Bilanço!$A:$A,0),0)),"")</f>
        <v>2008009000</v>
      </c>
      <c r="S34" s="2">
        <f>IFERROR(IF(MID(S$2,6,7)="3",HLOOKUP(S$1,Bilanço!$1:$151,MATCH(Çeyreklik!$A34,Bilanço!$A:$A,0),0),HLOOKUP(S$1,Bilanço!$1:$151,MATCH(Çeyreklik!$A34,Bilanço!$A:$A,0),0)-HLOOKUP(R$1,Bilanço!$1:$151,MATCH(Çeyreklik!$A34,Bilanço!$A:$A,0),0)),"")</f>
        <v>1086255000</v>
      </c>
      <c r="T34" s="2">
        <f>IFERROR(IF(MID(T$2,6,7)="3",HLOOKUP(T$1,Bilanço!$1:$151,MATCH(Çeyreklik!$A34,Bilanço!$A:$A,0),0),HLOOKUP(T$1,Bilanço!$1:$151,MATCH(Çeyreklik!$A34,Bilanço!$A:$A,0),0)-HLOOKUP(S$1,Bilanço!$1:$151,MATCH(Çeyreklik!$A34,Bilanço!$A:$A,0),0)),"")</f>
        <v>3533833716</v>
      </c>
      <c r="U34" s="2">
        <f>IFERROR(IF(MID(U$2,6,7)="3",HLOOKUP(U$1,Bilanço!$1:$151,MATCH(Çeyreklik!$A34,Bilanço!$A:$A,0),0),HLOOKUP(U$1,Bilanço!$1:$151,MATCH(Çeyreklik!$A34,Bilanço!$A:$A,0),0)-HLOOKUP(T$1,Bilanço!$1:$151,MATCH(Çeyreklik!$A34,Bilanço!$A:$A,0),0)),"")</f>
        <v>2579045000</v>
      </c>
      <c r="V34" s="2">
        <f>IFERROR(IF(MID(V$2,6,7)="3",HLOOKUP(V$1,Bilanço!$1:$151,MATCH(Çeyreklik!$A34,Bilanço!$A:$A,0),0),HLOOKUP(V$1,Bilanço!$1:$151,MATCH(Çeyreklik!$A34,Bilanço!$A:$A,0),0)-HLOOKUP(U$1,Bilanço!$1:$151,MATCH(Çeyreklik!$A34,Bilanço!$A:$A,0),0)),"")</f>
        <v>911093000</v>
      </c>
      <c r="W34" s="2">
        <f>IFERROR(IF(MID(W$2,6,7)="3",HLOOKUP(W$1,Bilanço!$1:$151,MATCH(Çeyreklik!$A34,Bilanço!$A:$A,0),0),HLOOKUP(W$1,Bilanço!$1:$151,MATCH(Çeyreklik!$A34,Bilanço!$A:$A,0),0)-HLOOKUP(V$1,Bilanço!$1:$151,MATCH(Çeyreklik!$A34,Bilanço!$A:$A,0),0)),"")</f>
        <v>1364894000</v>
      </c>
    </row>
    <row r="35" spans="1:23" x14ac:dyDescent="0.25">
      <c r="A35" t="str">
        <f>Data!A106</f>
        <v>DURDURULAN FAALİYETLER</v>
      </c>
      <c r="B35" s="2">
        <f>IFERROR(IF($B$2="2022/3",IF(MID(B$2,6,7)="3",HLOOKUP(B$1,Bilanço!$1:$151,MATCH(Çeyreklik!$A35,Bilanço!$A:$A,0),0),HLOOKUP(B$1,Bilanço!$1:$151,MATCH(Çeyreklik!$A35,Bilanço!$A:$A,0),0)-HLOOKUP(A$1,Bilanço!$1:$151,MATCH(Çeyreklik!$A35,Bilanço!$A:$A,0),0)),IF(MID(B$2,6,7)="3",HLOOKUP(B$1,Bilanço!$1:$151,MATCH(Çeyreklik!$A35,Bilanço!$A:$A,0),0),HLOOKUP(B$1,Bilanço!$1:$151,MATCH(Çeyreklik!$A35,Bilanço!$A:$A,0),0)-HLOOKUP(Bilanço!$B$1,Bilanço!$1:$151,MATCH(Çeyreklik!$A35,Bilanço!$A:$A,0),0))),"")</f>
        <v>0</v>
      </c>
      <c r="C35" s="2">
        <f>IFERROR(IF(MID(C$2,6,7)="3",HLOOKUP(C$1,Bilanço!$1:$151,MATCH(Çeyreklik!$A35,Bilanço!$A:$A,0),0),HLOOKUP(C$1,Bilanço!$1:$151,MATCH(Çeyreklik!$A35,Bilanço!$A:$A,0),0)-HLOOKUP(B$1,Bilanço!$1:$151,MATCH(Çeyreklik!$A35,Bilanço!$A:$A,0),0)),"")</f>
        <v>0</v>
      </c>
      <c r="D35" s="2">
        <f>IFERROR(IF(MID(D$2,6,7)="3",HLOOKUP(D$1,Bilanço!$1:$151,MATCH(Çeyreklik!$A35,Bilanço!$A:$A,0),0),HLOOKUP(D$1,Bilanço!$1:$151,MATCH(Çeyreklik!$A35,Bilanço!$A:$A,0),0)-HLOOKUP(C$1,Bilanço!$1:$151,MATCH(Çeyreklik!$A35,Bilanço!$A:$A,0),0)),"")</f>
        <v>0</v>
      </c>
      <c r="E35" s="2">
        <f>IFERROR(IF(MID(E$2,6,7)="3",HLOOKUP(E$1,Bilanço!$1:$151,MATCH(Çeyreklik!$A35,Bilanço!$A:$A,0),0),HLOOKUP(E$1,Bilanço!$1:$151,MATCH(Çeyreklik!$A35,Bilanço!$A:$A,0),0)-HLOOKUP(D$1,Bilanço!$1:$151,MATCH(Çeyreklik!$A35,Bilanço!$A:$A,0),0)),"")</f>
        <v>0</v>
      </c>
      <c r="F35" s="2">
        <f>IFERROR(IF(MID(F$2,6,7)="3",HLOOKUP(F$1,Bilanço!$1:$151,MATCH(Çeyreklik!$A35,Bilanço!$A:$A,0),0),HLOOKUP(F$1,Bilanço!$1:$151,MATCH(Çeyreklik!$A35,Bilanço!$A:$A,0),0)-HLOOKUP(E$1,Bilanço!$1:$151,MATCH(Çeyreklik!$A35,Bilanço!$A:$A,0),0)),"")</f>
        <v>0</v>
      </c>
      <c r="G35" s="2">
        <f>IFERROR(IF(MID(G$2,6,7)="3",HLOOKUP(G$1,Bilanço!$1:$151,MATCH(Çeyreklik!$A35,Bilanço!$A:$A,0),0),HLOOKUP(G$1,Bilanço!$1:$151,MATCH(Çeyreklik!$A35,Bilanço!$A:$A,0),0)-HLOOKUP(F$1,Bilanço!$1:$151,MATCH(Çeyreklik!$A35,Bilanço!$A:$A,0),0)),"")</f>
        <v>0</v>
      </c>
      <c r="H35" s="2">
        <f>IFERROR(IF(MID(H$2,6,7)="3",HLOOKUP(H$1,Bilanço!$1:$151,MATCH(Çeyreklik!$A35,Bilanço!$A:$A,0),0),HLOOKUP(H$1,Bilanço!$1:$151,MATCH(Çeyreklik!$A35,Bilanço!$A:$A,0),0)-HLOOKUP(G$1,Bilanço!$1:$151,MATCH(Çeyreklik!$A35,Bilanço!$A:$A,0),0)),"")</f>
        <v>0</v>
      </c>
      <c r="I35" s="2">
        <f>IFERROR(IF(MID(I$2,6,7)="3",HLOOKUP(I$1,Bilanço!$1:$151,MATCH(Çeyreklik!$A35,Bilanço!$A:$A,0),0),HLOOKUP(I$1,Bilanço!$1:$151,MATCH(Çeyreklik!$A35,Bilanço!$A:$A,0),0)-HLOOKUP(H$1,Bilanço!$1:$151,MATCH(Çeyreklik!$A35,Bilanço!$A:$A,0),0)),"")</f>
        <v>0</v>
      </c>
      <c r="J35" s="2">
        <f>IFERROR(IF(MID(J$2,6,7)="3",HLOOKUP(J$1,Bilanço!$1:$151,MATCH(Çeyreklik!$A35,Bilanço!$A:$A,0),0),HLOOKUP(J$1,Bilanço!$1:$151,MATCH(Çeyreklik!$A35,Bilanço!$A:$A,0),0)-HLOOKUP(I$1,Bilanço!$1:$151,MATCH(Çeyreklik!$A35,Bilanço!$A:$A,0),0)),"")</f>
        <v>0</v>
      </c>
      <c r="K35" s="2">
        <f>IFERROR(IF(MID(K$2,6,7)="3",HLOOKUP(K$1,Bilanço!$1:$151,MATCH(Çeyreklik!$A35,Bilanço!$A:$A,0),0),HLOOKUP(K$1,Bilanço!$1:$151,MATCH(Çeyreklik!$A35,Bilanço!$A:$A,0),0)-HLOOKUP(J$1,Bilanço!$1:$151,MATCH(Çeyreklik!$A35,Bilanço!$A:$A,0),0)),"")</f>
        <v>0</v>
      </c>
      <c r="L35" s="2">
        <f>IFERROR(IF(MID(L$2,6,7)="3",HLOOKUP(L$1,Bilanço!$1:$151,MATCH(Çeyreklik!$A35,Bilanço!$A:$A,0),0),HLOOKUP(L$1,Bilanço!$1:$151,MATCH(Çeyreklik!$A35,Bilanço!$A:$A,0),0)-HLOOKUP(K$1,Bilanço!$1:$151,MATCH(Çeyreklik!$A35,Bilanço!$A:$A,0),0)),"")</f>
        <v>0</v>
      </c>
      <c r="M35" s="2">
        <f>IFERROR(IF(MID(M$2,6,7)="3",HLOOKUP(M$1,Bilanço!$1:$151,MATCH(Çeyreklik!$A35,Bilanço!$A:$A,0),0),HLOOKUP(M$1,Bilanço!$1:$151,MATCH(Çeyreklik!$A35,Bilanço!$A:$A,0),0)-HLOOKUP(L$1,Bilanço!$1:$151,MATCH(Çeyreklik!$A35,Bilanço!$A:$A,0),0)),"")</f>
        <v>0</v>
      </c>
      <c r="N35" s="2">
        <f>IFERROR(IF(MID(N$2,6,7)="3",HLOOKUP(N$1,Bilanço!$1:$151,MATCH(Çeyreklik!$A35,Bilanço!$A:$A,0),0),HLOOKUP(N$1,Bilanço!$1:$151,MATCH(Çeyreklik!$A35,Bilanço!$A:$A,0),0)-HLOOKUP(M$1,Bilanço!$1:$151,MATCH(Çeyreklik!$A35,Bilanço!$A:$A,0),0)),"")</f>
        <v>0</v>
      </c>
      <c r="O35" s="2">
        <f>IFERROR(IF(MID(O$2,6,7)="3",HLOOKUP(O$1,Bilanço!$1:$151,MATCH(Çeyreklik!$A35,Bilanço!$A:$A,0),0),HLOOKUP(O$1,Bilanço!$1:$151,MATCH(Çeyreklik!$A35,Bilanço!$A:$A,0),0)-HLOOKUP(N$1,Bilanço!$1:$151,MATCH(Çeyreklik!$A35,Bilanço!$A:$A,0),0)),"")</f>
        <v>0</v>
      </c>
      <c r="P35" s="2">
        <f>IFERROR(IF(MID(P$2,6,7)="3",HLOOKUP(P$1,Bilanço!$1:$151,MATCH(Çeyreklik!$A35,Bilanço!$A:$A,0),0),HLOOKUP(P$1,Bilanço!$1:$151,MATCH(Çeyreklik!$A35,Bilanço!$A:$A,0),0)-HLOOKUP(O$1,Bilanço!$1:$151,MATCH(Çeyreklik!$A35,Bilanço!$A:$A,0),0)),"")</f>
        <v>0</v>
      </c>
      <c r="Q35" s="2">
        <f>IFERROR(IF(MID(Q$2,6,7)="3",HLOOKUP(Q$1,Bilanço!$1:$151,MATCH(Çeyreklik!$A35,Bilanço!$A:$A,0),0),HLOOKUP(Q$1,Bilanço!$1:$151,MATCH(Çeyreklik!$A35,Bilanço!$A:$A,0),0)-HLOOKUP(P$1,Bilanço!$1:$151,MATCH(Çeyreklik!$A35,Bilanço!$A:$A,0),0)),"")</f>
        <v>0</v>
      </c>
      <c r="R35" s="2">
        <f>IFERROR(IF(MID(R$2,6,7)="3",HLOOKUP(R$1,Bilanço!$1:$151,MATCH(Çeyreklik!$A35,Bilanço!$A:$A,0),0),HLOOKUP(R$1,Bilanço!$1:$151,MATCH(Çeyreklik!$A35,Bilanço!$A:$A,0),0)-HLOOKUP(Q$1,Bilanço!$1:$151,MATCH(Çeyreklik!$A35,Bilanço!$A:$A,0),0)),"")</f>
        <v>0</v>
      </c>
      <c r="S35" s="2">
        <f>IFERROR(IF(MID(S$2,6,7)="3",HLOOKUP(S$1,Bilanço!$1:$151,MATCH(Çeyreklik!$A35,Bilanço!$A:$A,0),0),HLOOKUP(S$1,Bilanço!$1:$151,MATCH(Çeyreklik!$A35,Bilanço!$A:$A,0),0)-HLOOKUP(R$1,Bilanço!$1:$151,MATCH(Çeyreklik!$A35,Bilanço!$A:$A,0),0)),"")</f>
        <v>0</v>
      </c>
      <c r="T35" s="2">
        <f>IFERROR(IF(MID(T$2,6,7)="3",HLOOKUP(T$1,Bilanço!$1:$151,MATCH(Çeyreklik!$A35,Bilanço!$A:$A,0),0),HLOOKUP(T$1,Bilanço!$1:$151,MATCH(Çeyreklik!$A35,Bilanço!$A:$A,0),0)-HLOOKUP(S$1,Bilanço!$1:$151,MATCH(Çeyreklik!$A35,Bilanço!$A:$A,0),0)),"")</f>
        <v>0</v>
      </c>
      <c r="U35" s="2">
        <f>IFERROR(IF(MID(U$2,6,7)="3",HLOOKUP(U$1,Bilanço!$1:$151,MATCH(Çeyreklik!$A35,Bilanço!$A:$A,0),0),HLOOKUP(U$1,Bilanço!$1:$151,MATCH(Çeyreklik!$A35,Bilanço!$A:$A,0),0)-HLOOKUP(T$1,Bilanço!$1:$151,MATCH(Çeyreklik!$A35,Bilanço!$A:$A,0),0)),"")</f>
        <v>0</v>
      </c>
      <c r="V35" s="2">
        <f>IFERROR(IF(MID(V$2,6,7)="3",HLOOKUP(V$1,Bilanço!$1:$151,MATCH(Çeyreklik!$A35,Bilanço!$A:$A,0),0),HLOOKUP(V$1,Bilanço!$1:$151,MATCH(Çeyreklik!$A35,Bilanço!$A:$A,0),0)-HLOOKUP(U$1,Bilanço!$1:$151,MATCH(Çeyreklik!$A35,Bilanço!$A:$A,0),0)),"")</f>
        <v>0</v>
      </c>
      <c r="W35" s="2">
        <f>IFERROR(IF(MID(W$2,6,7)="3",HLOOKUP(W$1,Bilanço!$1:$151,MATCH(Çeyreklik!$A35,Bilanço!$A:$A,0),0),HLOOKUP(W$1,Bilanço!$1:$151,MATCH(Çeyreklik!$A35,Bilanço!$A:$A,0),0)-HLOOKUP(V$1,Bilanço!$1:$151,MATCH(Çeyreklik!$A35,Bilanço!$A:$A,0),0)),"")</f>
        <v>0</v>
      </c>
    </row>
    <row r="36" spans="1:23" x14ac:dyDescent="0.25">
      <c r="A36" t="str">
        <f>Data!A107</f>
        <v>Durdurulan Faaliyetler Vergi Sonrası Dönem Karı (Zararı)</v>
      </c>
      <c r="B36" s="2">
        <f>IFERROR(IF($B$2="2022/3",IF(MID(B$2,6,7)="3",HLOOKUP(B$1,Bilanço!$1:$151,MATCH(Çeyreklik!$A36,Bilanço!$A:$A,0),0),HLOOKUP(B$1,Bilanço!$1:$151,MATCH(Çeyreklik!$A36,Bilanço!$A:$A,0),0)-HLOOKUP(A$1,Bilanço!$1:$151,MATCH(Çeyreklik!$A36,Bilanço!$A:$A,0),0)),IF(MID(B$2,6,7)="3",HLOOKUP(B$1,Bilanço!$1:$151,MATCH(Çeyreklik!$A36,Bilanço!$A:$A,0),0),HLOOKUP(B$1,Bilanço!$1:$151,MATCH(Çeyreklik!$A36,Bilanço!$A:$A,0),0)-HLOOKUP(Bilanço!$B$1,Bilanço!$1:$151,MATCH(Çeyreklik!$A36,Bilanço!$A:$A,0),0))),"")</f>
        <v>0</v>
      </c>
      <c r="C36" s="2">
        <f>IFERROR(IF(MID(C$2,6,7)="3",HLOOKUP(C$1,Bilanço!$1:$151,MATCH(Çeyreklik!$A36,Bilanço!$A:$A,0),0),HLOOKUP(C$1,Bilanço!$1:$151,MATCH(Çeyreklik!$A36,Bilanço!$A:$A,0),0)-HLOOKUP(B$1,Bilanço!$1:$151,MATCH(Çeyreklik!$A36,Bilanço!$A:$A,0),0)),"")</f>
        <v>0</v>
      </c>
      <c r="D36" s="2">
        <f>IFERROR(IF(MID(D$2,6,7)="3",HLOOKUP(D$1,Bilanço!$1:$151,MATCH(Çeyreklik!$A36,Bilanço!$A:$A,0),0),HLOOKUP(D$1,Bilanço!$1:$151,MATCH(Çeyreklik!$A36,Bilanço!$A:$A,0),0)-HLOOKUP(C$1,Bilanço!$1:$151,MATCH(Çeyreklik!$A36,Bilanço!$A:$A,0),0)),"")</f>
        <v>0</v>
      </c>
      <c r="E36" s="2">
        <f>IFERROR(IF(MID(E$2,6,7)="3",HLOOKUP(E$1,Bilanço!$1:$151,MATCH(Çeyreklik!$A36,Bilanço!$A:$A,0),0),HLOOKUP(E$1,Bilanço!$1:$151,MATCH(Çeyreklik!$A36,Bilanço!$A:$A,0),0)-HLOOKUP(D$1,Bilanço!$1:$151,MATCH(Çeyreklik!$A36,Bilanço!$A:$A,0),0)),"")</f>
        <v>0</v>
      </c>
      <c r="F36" s="2">
        <f>IFERROR(IF(MID(F$2,6,7)="3",HLOOKUP(F$1,Bilanço!$1:$151,MATCH(Çeyreklik!$A36,Bilanço!$A:$A,0),0),HLOOKUP(F$1,Bilanço!$1:$151,MATCH(Çeyreklik!$A36,Bilanço!$A:$A,0),0)-HLOOKUP(E$1,Bilanço!$1:$151,MATCH(Çeyreklik!$A36,Bilanço!$A:$A,0),0)),"")</f>
        <v>0</v>
      </c>
      <c r="G36" s="2">
        <f>IFERROR(IF(MID(G$2,6,7)="3",HLOOKUP(G$1,Bilanço!$1:$151,MATCH(Çeyreklik!$A36,Bilanço!$A:$A,0),0),HLOOKUP(G$1,Bilanço!$1:$151,MATCH(Çeyreklik!$A36,Bilanço!$A:$A,0),0)-HLOOKUP(F$1,Bilanço!$1:$151,MATCH(Çeyreklik!$A36,Bilanço!$A:$A,0),0)),"")</f>
        <v>0</v>
      </c>
      <c r="H36" s="2">
        <f>IFERROR(IF(MID(H$2,6,7)="3",HLOOKUP(H$1,Bilanço!$1:$151,MATCH(Çeyreklik!$A36,Bilanço!$A:$A,0),0),HLOOKUP(H$1,Bilanço!$1:$151,MATCH(Çeyreklik!$A36,Bilanço!$A:$A,0),0)-HLOOKUP(G$1,Bilanço!$1:$151,MATCH(Çeyreklik!$A36,Bilanço!$A:$A,0),0)),"")</f>
        <v>0</v>
      </c>
      <c r="I36" s="2">
        <f>IFERROR(IF(MID(I$2,6,7)="3",HLOOKUP(I$1,Bilanço!$1:$151,MATCH(Çeyreklik!$A36,Bilanço!$A:$A,0),0),HLOOKUP(I$1,Bilanço!$1:$151,MATCH(Çeyreklik!$A36,Bilanço!$A:$A,0),0)-HLOOKUP(H$1,Bilanço!$1:$151,MATCH(Çeyreklik!$A36,Bilanço!$A:$A,0),0)),"")</f>
        <v>0</v>
      </c>
      <c r="J36" s="2">
        <f>IFERROR(IF(MID(J$2,6,7)="3",HLOOKUP(J$1,Bilanço!$1:$151,MATCH(Çeyreklik!$A36,Bilanço!$A:$A,0),0),HLOOKUP(J$1,Bilanço!$1:$151,MATCH(Çeyreklik!$A36,Bilanço!$A:$A,0),0)-HLOOKUP(I$1,Bilanço!$1:$151,MATCH(Çeyreklik!$A36,Bilanço!$A:$A,0),0)),"")</f>
        <v>0</v>
      </c>
      <c r="K36" s="2">
        <f>IFERROR(IF(MID(K$2,6,7)="3",HLOOKUP(K$1,Bilanço!$1:$151,MATCH(Çeyreklik!$A36,Bilanço!$A:$A,0),0),HLOOKUP(K$1,Bilanço!$1:$151,MATCH(Çeyreklik!$A36,Bilanço!$A:$A,0),0)-HLOOKUP(J$1,Bilanço!$1:$151,MATCH(Çeyreklik!$A36,Bilanço!$A:$A,0),0)),"")</f>
        <v>0</v>
      </c>
      <c r="L36" s="2">
        <f>IFERROR(IF(MID(L$2,6,7)="3",HLOOKUP(L$1,Bilanço!$1:$151,MATCH(Çeyreklik!$A36,Bilanço!$A:$A,0),0),HLOOKUP(L$1,Bilanço!$1:$151,MATCH(Çeyreklik!$A36,Bilanço!$A:$A,0),0)-HLOOKUP(K$1,Bilanço!$1:$151,MATCH(Çeyreklik!$A36,Bilanço!$A:$A,0),0)),"")</f>
        <v>0</v>
      </c>
      <c r="M36" s="2">
        <f>IFERROR(IF(MID(M$2,6,7)="3",HLOOKUP(M$1,Bilanço!$1:$151,MATCH(Çeyreklik!$A36,Bilanço!$A:$A,0),0),HLOOKUP(M$1,Bilanço!$1:$151,MATCH(Çeyreklik!$A36,Bilanço!$A:$A,0),0)-HLOOKUP(L$1,Bilanço!$1:$151,MATCH(Çeyreklik!$A36,Bilanço!$A:$A,0),0)),"")</f>
        <v>0</v>
      </c>
      <c r="N36" s="2">
        <f>IFERROR(IF(MID(N$2,6,7)="3",HLOOKUP(N$1,Bilanço!$1:$151,MATCH(Çeyreklik!$A36,Bilanço!$A:$A,0),0),HLOOKUP(N$1,Bilanço!$1:$151,MATCH(Çeyreklik!$A36,Bilanço!$A:$A,0),0)-HLOOKUP(M$1,Bilanço!$1:$151,MATCH(Çeyreklik!$A36,Bilanço!$A:$A,0),0)),"")</f>
        <v>0</v>
      </c>
      <c r="O36" s="2">
        <f>IFERROR(IF(MID(O$2,6,7)="3",HLOOKUP(O$1,Bilanço!$1:$151,MATCH(Çeyreklik!$A36,Bilanço!$A:$A,0),0),HLOOKUP(O$1,Bilanço!$1:$151,MATCH(Çeyreklik!$A36,Bilanço!$A:$A,0),0)-HLOOKUP(N$1,Bilanço!$1:$151,MATCH(Çeyreklik!$A36,Bilanço!$A:$A,0),0)),"")</f>
        <v>0</v>
      </c>
      <c r="P36" s="2">
        <f>IFERROR(IF(MID(P$2,6,7)="3",HLOOKUP(P$1,Bilanço!$1:$151,MATCH(Çeyreklik!$A36,Bilanço!$A:$A,0),0),HLOOKUP(P$1,Bilanço!$1:$151,MATCH(Çeyreklik!$A36,Bilanço!$A:$A,0),0)-HLOOKUP(O$1,Bilanço!$1:$151,MATCH(Çeyreklik!$A36,Bilanço!$A:$A,0),0)),"")</f>
        <v>0</v>
      </c>
      <c r="Q36" s="2">
        <f>IFERROR(IF(MID(Q$2,6,7)="3",HLOOKUP(Q$1,Bilanço!$1:$151,MATCH(Çeyreklik!$A36,Bilanço!$A:$A,0),0),HLOOKUP(Q$1,Bilanço!$1:$151,MATCH(Çeyreklik!$A36,Bilanço!$A:$A,0),0)-HLOOKUP(P$1,Bilanço!$1:$151,MATCH(Çeyreklik!$A36,Bilanço!$A:$A,0),0)),"")</f>
        <v>0</v>
      </c>
      <c r="R36" s="2">
        <f>IFERROR(IF(MID(R$2,6,7)="3",HLOOKUP(R$1,Bilanço!$1:$151,MATCH(Çeyreklik!$A36,Bilanço!$A:$A,0),0),HLOOKUP(R$1,Bilanço!$1:$151,MATCH(Çeyreklik!$A36,Bilanço!$A:$A,0),0)-HLOOKUP(Q$1,Bilanço!$1:$151,MATCH(Çeyreklik!$A36,Bilanço!$A:$A,0),0)),"")</f>
        <v>0</v>
      </c>
      <c r="S36" s="2">
        <f>IFERROR(IF(MID(S$2,6,7)="3",HLOOKUP(S$1,Bilanço!$1:$151,MATCH(Çeyreklik!$A36,Bilanço!$A:$A,0),0),HLOOKUP(S$1,Bilanço!$1:$151,MATCH(Çeyreklik!$A36,Bilanço!$A:$A,0),0)-HLOOKUP(R$1,Bilanço!$1:$151,MATCH(Çeyreklik!$A36,Bilanço!$A:$A,0),0)),"")</f>
        <v>0</v>
      </c>
      <c r="T36" s="2">
        <f>IFERROR(IF(MID(T$2,6,7)="3",HLOOKUP(T$1,Bilanço!$1:$151,MATCH(Çeyreklik!$A36,Bilanço!$A:$A,0),0),HLOOKUP(T$1,Bilanço!$1:$151,MATCH(Çeyreklik!$A36,Bilanço!$A:$A,0),0)-HLOOKUP(S$1,Bilanço!$1:$151,MATCH(Çeyreklik!$A36,Bilanço!$A:$A,0),0)),"")</f>
        <v>0</v>
      </c>
      <c r="U36" s="2">
        <f>IFERROR(IF(MID(U$2,6,7)="3",HLOOKUP(U$1,Bilanço!$1:$151,MATCH(Çeyreklik!$A36,Bilanço!$A:$A,0),0),HLOOKUP(U$1,Bilanço!$1:$151,MATCH(Çeyreklik!$A36,Bilanço!$A:$A,0),0)-HLOOKUP(T$1,Bilanço!$1:$151,MATCH(Çeyreklik!$A36,Bilanço!$A:$A,0),0)),"")</f>
        <v>0</v>
      </c>
      <c r="V36" s="2">
        <f>IFERROR(IF(MID(V$2,6,7)="3",HLOOKUP(V$1,Bilanço!$1:$151,MATCH(Çeyreklik!$A36,Bilanço!$A:$A,0),0),HLOOKUP(V$1,Bilanço!$1:$151,MATCH(Çeyreklik!$A36,Bilanço!$A:$A,0),0)-HLOOKUP(U$1,Bilanço!$1:$151,MATCH(Çeyreklik!$A36,Bilanço!$A:$A,0),0)),"")</f>
        <v>0</v>
      </c>
      <c r="W36" s="2">
        <f>IFERROR(IF(MID(W$2,6,7)="3",HLOOKUP(W$1,Bilanço!$1:$151,MATCH(Çeyreklik!$A36,Bilanço!$A:$A,0),0),HLOOKUP(W$1,Bilanço!$1:$151,MATCH(Çeyreklik!$A36,Bilanço!$A:$A,0),0)-HLOOKUP(V$1,Bilanço!$1:$151,MATCH(Çeyreklik!$A36,Bilanço!$A:$A,0),0)),"")</f>
        <v>0</v>
      </c>
    </row>
    <row r="37" spans="1:23" x14ac:dyDescent="0.25">
      <c r="A37" t="str">
        <f>Data!A108</f>
        <v>DÖNEM KARI (ZARARI)</v>
      </c>
      <c r="B37" s="2">
        <f>IFERROR(IF($B$2="2022/3",IF(MID(B$2,6,7)="3",HLOOKUP(B$1,Bilanço!$1:$151,MATCH(Çeyreklik!$A37,Bilanço!$A:$A,0),0),HLOOKUP(B$1,Bilanço!$1:$151,MATCH(Çeyreklik!$A37,Bilanço!$A:$A,0),0)-HLOOKUP(A$1,Bilanço!$1:$151,MATCH(Çeyreklik!$A37,Bilanço!$A:$A,0),0)),IF(MID(B$2,6,7)="3",HLOOKUP(B$1,Bilanço!$1:$151,MATCH(Çeyreklik!$A37,Bilanço!$A:$A,0),0),HLOOKUP(B$1,Bilanço!$1:$151,MATCH(Çeyreklik!$A37,Bilanço!$A:$A,0),0)-HLOOKUP(Bilanço!$B$1,Bilanço!$1:$151,MATCH(Çeyreklik!$A37,Bilanço!$A:$A,0),0))),"")</f>
        <v>539474000</v>
      </c>
      <c r="C37" s="2">
        <f>IFERROR(IF(MID(C$2,6,7)="3",HLOOKUP(C$1,Bilanço!$1:$151,MATCH(Çeyreklik!$A37,Bilanço!$A:$A,0),0),HLOOKUP(C$1,Bilanço!$1:$151,MATCH(Çeyreklik!$A37,Bilanço!$A:$A,0),0)-HLOOKUP(B$1,Bilanço!$1:$151,MATCH(Çeyreklik!$A37,Bilanço!$A:$A,0),0)),"")</f>
        <v>325640000</v>
      </c>
      <c r="D37" s="2">
        <f>IFERROR(IF(MID(D$2,6,7)="3",HLOOKUP(D$1,Bilanço!$1:$151,MATCH(Çeyreklik!$A37,Bilanço!$A:$A,0),0),HLOOKUP(D$1,Bilanço!$1:$151,MATCH(Çeyreklik!$A37,Bilanço!$A:$A,0),0)-HLOOKUP(C$1,Bilanço!$1:$151,MATCH(Çeyreklik!$A37,Bilanço!$A:$A,0),0)),"")</f>
        <v>447594000</v>
      </c>
      <c r="E37" s="2">
        <f>IFERROR(IF(MID(E$2,6,7)="3",HLOOKUP(E$1,Bilanço!$1:$151,MATCH(Çeyreklik!$A37,Bilanço!$A:$A,0),0),HLOOKUP(E$1,Bilanço!$1:$151,MATCH(Çeyreklik!$A37,Bilanço!$A:$A,0),0)-HLOOKUP(D$1,Bilanço!$1:$151,MATCH(Çeyreklik!$A37,Bilanço!$A:$A,0),0)),"")</f>
        <v>492976000</v>
      </c>
      <c r="F37" s="2">
        <f>IFERROR(IF(MID(F$2,6,7)="3",HLOOKUP(F$1,Bilanço!$1:$151,MATCH(Çeyreklik!$A37,Bilanço!$A:$A,0),0),HLOOKUP(F$1,Bilanço!$1:$151,MATCH(Çeyreklik!$A37,Bilanço!$A:$A,0),0)-HLOOKUP(E$1,Bilanço!$1:$151,MATCH(Çeyreklik!$A37,Bilanço!$A:$A,0),0)),"")</f>
        <v>247063000</v>
      </c>
      <c r="G37" s="2">
        <f>IFERROR(IF(MID(G$2,6,7)="3",HLOOKUP(G$1,Bilanço!$1:$151,MATCH(Çeyreklik!$A37,Bilanço!$A:$A,0),0),HLOOKUP(G$1,Bilanço!$1:$151,MATCH(Çeyreklik!$A37,Bilanço!$A:$A,0),0)-HLOOKUP(F$1,Bilanço!$1:$151,MATCH(Çeyreklik!$A37,Bilanço!$A:$A,0),0)),"")</f>
        <v>33204000</v>
      </c>
      <c r="H37" s="2">
        <f>IFERROR(IF(MID(H$2,6,7)="3",HLOOKUP(H$1,Bilanço!$1:$151,MATCH(Çeyreklik!$A37,Bilanço!$A:$A,0),0),HLOOKUP(H$1,Bilanço!$1:$151,MATCH(Çeyreklik!$A37,Bilanço!$A:$A,0),0)-HLOOKUP(G$1,Bilanço!$1:$151,MATCH(Çeyreklik!$A37,Bilanço!$A:$A,0),0)),"")</f>
        <v>-935662000</v>
      </c>
      <c r="I37" s="2">
        <f>IFERROR(IF(MID(I$2,6,7)="3",HLOOKUP(I$1,Bilanço!$1:$151,MATCH(Çeyreklik!$A37,Bilanço!$A:$A,0),0),HLOOKUP(I$1,Bilanço!$1:$151,MATCH(Çeyreklik!$A37,Bilanço!$A:$A,0),0)-HLOOKUP(H$1,Bilanço!$1:$151,MATCH(Çeyreklik!$A37,Bilanço!$A:$A,0),0)),"")</f>
        <v>-331056000</v>
      </c>
      <c r="J37" s="2">
        <f>IFERROR(IF(MID(J$2,6,7)="3",HLOOKUP(J$1,Bilanço!$1:$151,MATCH(Çeyreklik!$A37,Bilanço!$A:$A,0),0),HLOOKUP(J$1,Bilanço!$1:$151,MATCH(Çeyreklik!$A37,Bilanço!$A:$A,0),0)-HLOOKUP(I$1,Bilanço!$1:$151,MATCH(Çeyreklik!$A37,Bilanço!$A:$A,0),0)),"")</f>
        <v>-554635000</v>
      </c>
      <c r="K37" s="2">
        <f>IFERROR(IF(MID(K$2,6,7)="3",HLOOKUP(K$1,Bilanço!$1:$151,MATCH(Çeyreklik!$A37,Bilanço!$A:$A,0),0),HLOOKUP(K$1,Bilanço!$1:$151,MATCH(Çeyreklik!$A37,Bilanço!$A:$A,0),0)-HLOOKUP(J$1,Bilanço!$1:$151,MATCH(Çeyreklik!$A37,Bilanço!$A:$A,0),0)),"")</f>
        <v>-100102000</v>
      </c>
      <c r="L37" s="2">
        <f>IFERROR(IF(MID(L$2,6,7)="3",HLOOKUP(L$1,Bilanço!$1:$151,MATCH(Çeyreklik!$A37,Bilanço!$A:$A,0),0),HLOOKUP(L$1,Bilanço!$1:$151,MATCH(Çeyreklik!$A37,Bilanço!$A:$A,0),0)-HLOOKUP(K$1,Bilanço!$1:$151,MATCH(Çeyreklik!$A37,Bilanço!$A:$A,0),0)),"")</f>
        <v>2415299000</v>
      </c>
      <c r="M37" s="2">
        <f>IFERROR(IF(MID(M$2,6,7)="3",HLOOKUP(M$1,Bilanço!$1:$151,MATCH(Çeyreklik!$A37,Bilanço!$A:$A,0),0),HLOOKUP(M$1,Bilanço!$1:$151,MATCH(Çeyreklik!$A37,Bilanço!$A:$A,0),0)-HLOOKUP(L$1,Bilanço!$1:$151,MATCH(Çeyreklik!$A37,Bilanço!$A:$A,0),0)),"")</f>
        <v>2699513000</v>
      </c>
      <c r="N37" s="2">
        <f>IFERROR(IF(MID(N$2,6,7)="3",HLOOKUP(N$1,Bilanço!$1:$151,MATCH(Çeyreklik!$A37,Bilanço!$A:$A,0),0),HLOOKUP(N$1,Bilanço!$1:$151,MATCH(Çeyreklik!$A37,Bilanço!$A:$A,0),0)-HLOOKUP(M$1,Bilanço!$1:$151,MATCH(Çeyreklik!$A37,Bilanço!$A:$A,0),0)),"")</f>
        <v>-2019516000</v>
      </c>
      <c r="O37" s="2">
        <f>IFERROR(IF(MID(O$2,6,7)="3",HLOOKUP(O$1,Bilanço!$1:$151,MATCH(Çeyreklik!$A37,Bilanço!$A:$A,0),0),HLOOKUP(O$1,Bilanço!$1:$151,MATCH(Çeyreklik!$A37,Bilanço!$A:$A,0),0)-HLOOKUP(N$1,Bilanço!$1:$151,MATCH(Çeyreklik!$A37,Bilanço!$A:$A,0),0)),"")</f>
        <v>3389404000</v>
      </c>
      <c r="P37" s="2">
        <f>IFERROR(IF(MID(P$2,6,7)="3",HLOOKUP(P$1,Bilanço!$1:$151,MATCH(Çeyreklik!$A37,Bilanço!$A:$A,0),0),HLOOKUP(P$1,Bilanço!$1:$151,MATCH(Çeyreklik!$A37,Bilanço!$A:$A,0),0)-HLOOKUP(O$1,Bilanço!$1:$151,MATCH(Çeyreklik!$A37,Bilanço!$A:$A,0),0)),"")</f>
        <v>2027374000</v>
      </c>
      <c r="Q37" s="2">
        <f>IFERROR(IF(MID(Q$2,6,7)="3",HLOOKUP(Q$1,Bilanço!$1:$151,MATCH(Çeyreklik!$A37,Bilanço!$A:$A,0),0),HLOOKUP(Q$1,Bilanço!$1:$151,MATCH(Çeyreklik!$A37,Bilanço!$A:$A,0),0)-HLOOKUP(P$1,Bilanço!$1:$151,MATCH(Çeyreklik!$A37,Bilanço!$A:$A,0),0)),"")</f>
        <v>3426471000</v>
      </c>
      <c r="R37" s="2">
        <f>IFERROR(IF(MID(R$2,6,7)="3",HLOOKUP(R$1,Bilanço!$1:$151,MATCH(Çeyreklik!$A37,Bilanço!$A:$A,0),0),HLOOKUP(R$1,Bilanço!$1:$151,MATCH(Çeyreklik!$A37,Bilanço!$A:$A,0),0)-HLOOKUP(Q$1,Bilanço!$1:$151,MATCH(Çeyreklik!$A37,Bilanço!$A:$A,0),0)),"")</f>
        <v>2008009000</v>
      </c>
      <c r="S37" s="2">
        <f>IFERROR(IF(MID(S$2,6,7)="3",HLOOKUP(S$1,Bilanço!$1:$151,MATCH(Çeyreklik!$A37,Bilanço!$A:$A,0),0),HLOOKUP(S$1,Bilanço!$1:$151,MATCH(Çeyreklik!$A37,Bilanço!$A:$A,0),0)-HLOOKUP(R$1,Bilanço!$1:$151,MATCH(Çeyreklik!$A37,Bilanço!$A:$A,0),0)),"")</f>
        <v>1086255000</v>
      </c>
      <c r="T37" s="2">
        <f>IFERROR(IF(MID(T$2,6,7)="3",HLOOKUP(T$1,Bilanço!$1:$151,MATCH(Çeyreklik!$A37,Bilanço!$A:$A,0),0),HLOOKUP(T$1,Bilanço!$1:$151,MATCH(Çeyreklik!$A37,Bilanço!$A:$A,0),0)-HLOOKUP(S$1,Bilanço!$1:$151,MATCH(Çeyreklik!$A37,Bilanço!$A:$A,0),0)),"")</f>
        <v>3533833716</v>
      </c>
      <c r="U37" s="2">
        <f>IFERROR(IF(MID(U$2,6,7)="3",HLOOKUP(U$1,Bilanço!$1:$151,MATCH(Çeyreklik!$A37,Bilanço!$A:$A,0),0),HLOOKUP(U$1,Bilanço!$1:$151,MATCH(Çeyreklik!$A37,Bilanço!$A:$A,0),0)-HLOOKUP(T$1,Bilanço!$1:$151,MATCH(Çeyreklik!$A37,Bilanço!$A:$A,0),0)),"")</f>
        <v>2579045000</v>
      </c>
      <c r="V37" s="2">
        <f>IFERROR(IF(MID(V$2,6,7)="3",HLOOKUP(V$1,Bilanço!$1:$151,MATCH(Çeyreklik!$A37,Bilanço!$A:$A,0),0),HLOOKUP(V$1,Bilanço!$1:$151,MATCH(Çeyreklik!$A37,Bilanço!$A:$A,0),0)-HLOOKUP(U$1,Bilanço!$1:$151,MATCH(Çeyreklik!$A37,Bilanço!$A:$A,0),0)),"")</f>
        <v>911093000</v>
      </c>
      <c r="W37" s="2">
        <f>IFERROR(IF(MID(W$2,6,7)="3",HLOOKUP(W$1,Bilanço!$1:$151,MATCH(Çeyreklik!$A37,Bilanço!$A:$A,0),0),HLOOKUP(W$1,Bilanço!$1:$151,MATCH(Çeyreklik!$A37,Bilanço!$A:$A,0),0)-HLOOKUP(V$1,Bilanço!$1:$151,MATCH(Çeyreklik!$A37,Bilanço!$A:$A,0),0)),"")</f>
        <v>1364894000</v>
      </c>
    </row>
    <row r="38" spans="1:23" x14ac:dyDescent="0.25">
      <c r="A38" t="str">
        <f>Data!A109</f>
        <v>Dönem Kar/Zararının Dağılımı</v>
      </c>
      <c r="B38" s="2">
        <f>IFERROR(IF($B$2="2022/3",IF(MID(B$2,6,7)="3",HLOOKUP(B$1,Bilanço!$1:$151,MATCH(Çeyreklik!$A38,Bilanço!$A:$A,0),0),HLOOKUP(B$1,Bilanço!$1:$151,MATCH(Çeyreklik!$A38,Bilanço!$A:$A,0),0)-HLOOKUP(A$1,Bilanço!$1:$151,MATCH(Çeyreklik!$A38,Bilanço!$A:$A,0),0)),IF(MID(B$2,6,7)="3",HLOOKUP(B$1,Bilanço!$1:$151,MATCH(Çeyreklik!$A38,Bilanço!$A:$A,0),0),HLOOKUP(B$1,Bilanço!$1:$151,MATCH(Çeyreklik!$A38,Bilanço!$A:$A,0),0)-HLOOKUP(Bilanço!$B$1,Bilanço!$1:$151,MATCH(Çeyreklik!$A38,Bilanço!$A:$A,0),0))),"")</f>
        <v>0</v>
      </c>
      <c r="C38" s="2">
        <f>IFERROR(IF(MID(C$2,6,7)="3",HLOOKUP(C$1,Bilanço!$1:$151,MATCH(Çeyreklik!$A38,Bilanço!$A:$A,0),0),HLOOKUP(C$1,Bilanço!$1:$151,MATCH(Çeyreklik!$A38,Bilanço!$A:$A,0),0)-HLOOKUP(B$1,Bilanço!$1:$151,MATCH(Çeyreklik!$A38,Bilanço!$A:$A,0),0)),"")</f>
        <v>0</v>
      </c>
      <c r="D38" s="2">
        <f>IFERROR(IF(MID(D$2,6,7)="3",HLOOKUP(D$1,Bilanço!$1:$151,MATCH(Çeyreklik!$A38,Bilanço!$A:$A,0),0),HLOOKUP(D$1,Bilanço!$1:$151,MATCH(Çeyreklik!$A38,Bilanço!$A:$A,0),0)-HLOOKUP(C$1,Bilanço!$1:$151,MATCH(Çeyreklik!$A38,Bilanço!$A:$A,0),0)),"")</f>
        <v>0</v>
      </c>
      <c r="E38" s="2">
        <f>IFERROR(IF(MID(E$2,6,7)="3",HLOOKUP(E$1,Bilanço!$1:$151,MATCH(Çeyreklik!$A38,Bilanço!$A:$A,0),0),HLOOKUP(E$1,Bilanço!$1:$151,MATCH(Çeyreklik!$A38,Bilanço!$A:$A,0),0)-HLOOKUP(D$1,Bilanço!$1:$151,MATCH(Çeyreklik!$A38,Bilanço!$A:$A,0),0)),"")</f>
        <v>0</v>
      </c>
      <c r="F38" s="2">
        <f>IFERROR(IF(MID(F$2,6,7)="3",HLOOKUP(F$1,Bilanço!$1:$151,MATCH(Çeyreklik!$A38,Bilanço!$A:$A,0),0),HLOOKUP(F$1,Bilanço!$1:$151,MATCH(Çeyreklik!$A38,Bilanço!$A:$A,0),0)-HLOOKUP(E$1,Bilanço!$1:$151,MATCH(Çeyreklik!$A38,Bilanço!$A:$A,0),0)),"")</f>
        <v>0</v>
      </c>
      <c r="G38" s="2">
        <f>IFERROR(IF(MID(G$2,6,7)="3",HLOOKUP(G$1,Bilanço!$1:$151,MATCH(Çeyreklik!$A38,Bilanço!$A:$A,0),0),HLOOKUP(G$1,Bilanço!$1:$151,MATCH(Çeyreklik!$A38,Bilanço!$A:$A,0),0)-HLOOKUP(F$1,Bilanço!$1:$151,MATCH(Çeyreklik!$A38,Bilanço!$A:$A,0),0)),"")</f>
        <v>0</v>
      </c>
      <c r="H38" s="2">
        <f>IFERROR(IF(MID(H$2,6,7)="3",HLOOKUP(H$1,Bilanço!$1:$151,MATCH(Çeyreklik!$A38,Bilanço!$A:$A,0),0),HLOOKUP(H$1,Bilanço!$1:$151,MATCH(Çeyreklik!$A38,Bilanço!$A:$A,0),0)-HLOOKUP(G$1,Bilanço!$1:$151,MATCH(Çeyreklik!$A38,Bilanço!$A:$A,0),0)),"")</f>
        <v>0</v>
      </c>
      <c r="I38" s="2">
        <f>IFERROR(IF(MID(I$2,6,7)="3",HLOOKUP(I$1,Bilanço!$1:$151,MATCH(Çeyreklik!$A38,Bilanço!$A:$A,0),0),HLOOKUP(I$1,Bilanço!$1:$151,MATCH(Çeyreklik!$A38,Bilanço!$A:$A,0),0)-HLOOKUP(H$1,Bilanço!$1:$151,MATCH(Çeyreklik!$A38,Bilanço!$A:$A,0),0)),"")</f>
        <v>0</v>
      </c>
      <c r="J38" s="2">
        <f>IFERROR(IF(MID(J$2,6,7)="3",HLOOKUP(J$1,Bilanço!$1:$151,MATCH(Çeyreklik!$A38,Bilanço!$A:$A,0),0),HLOOKUP(J$1,Bilanço!$1:$151,MATCH(Çeyreklik!$A38,Bilanço!$A:$A,0),0)-HLOOKUP(I$1,Bilanço!$1:$151,MATCH(Çeyreklik!$A38,Bilanço!$A:$A,0),0)),"")</f>
        <v>0</v>
      </c>
      <c r="K38" s="2">
        <f>IFERROR(IF(MID(K$2,6,7)="3",HLOOKUP(K$1,Bilanço!$1:$151,MATCH(Çeyreklik!$A38,Bilanço!$A:$A,0),0),HLOOKUP(K$1,Bilanço!$1:$151,MATCH(Çeyreklik!$A38,Bilanço!$A:$A,0),0)-HLOOKUP(J$1,Bilanço!$1:$151,MATCH(Çeyreklik!$A38,Bilanço!$A:$A,0),0)),"")</f>
        <v>0</v>
      </c>
      <c r="L38" s="2">
        <f>IFERROR(IF(MID(L$2,6,7)="3",HLOOKUP(L$1,Bilanço!$1:$151,MATCH(Çeyreklik!$A38,Bilanço!$A:$A,0),0),HLOOKUP(L$1,Bilanço!$1:$151,MATCH(Çeyreklik!$A38,Bilanço!$A:$A,0),0)-HLOOKUP(K$1,Bilanço!$1:$151,MATCH(Çeyreklik!$A38,Bilanço!$A:$A,0),0)),"")</f>
        <v>0</v>
      </c>
      <c r="M38" s="2">
        <f>IFERROR(IF(MID(M$2,6,7)="3",HLOOKUP(M$1,Bilanço!$1:$151,MATCH(Çeyreklik!$A38,Bilanço!$A:$A,0),0),HLOOKUP(M$1,Bilanço!$1:$151,MATCH(Çeyreklik!$A38,Bilanço!$A:$A,0),0)-HLOOKUP(L$1,Bilanço!$1:$151,MATCH(Çeyreklik!$A38,Bilanço!$A:$A,0),0)),"")</f>
        <v>0</v>
      </c>
      <c r="N38" s="2">
        <f>IFERROR(IF(MID(N$2,6,7)="3",HLOOKUP(N$1,Bilanço!$1:$151,MATCH(Çeyreklik!$A38,Bilanço!$A:$A,0),0),HLOOKUP(N$1,Bilanço!$1:$151,MATCH(Çeyreklik!$A38,Bilanço!$A:$A,0),0)-HLOOKUP(M$1,Bilanço!$1:$151,MATCH(Çeyreklik!$A38,Bilanço!$A:$A,0),0)),"")</f>
        <v>0</v>
      </c>
      <c r="O38" s="2">
        <f>IFERROR(IF(MID(O$2,6,7)="3",HLOOKUP(O$1,Bilanço!$1:$151,MATCH(Çeyreklik!$A38,Bilanço!$A:$A,0),0),HLOOKUP(O$1,Bilanço!$1:$151,MATCH(Çeyreklik!$A38,Bilanço!$A:$A,0),0)-HLOOKUP(N$1,Bilanço!$1:$151,MATCH(Çeyreklik!$A38,Bilanço!$A:$A,0),0)),"")</f>
        <v>0</v>
      </c>
      <c r="P38" s="2">
        <f>IFERROR(IF(MID(P$2,6,7)="3",HLOOKUP(P$1,Bilanço!$1:$151,MATCH(Çeyreklik!$A38,Bilanço!$A:$A,0),0),HLOOKUP(P$1,Bilanço!$1:$151,MATCH(Çeyreklik!$A38,Bilanço!$A:$A,0),0)-HLOOKUP(O$1,Bilanço!$1:$151,MATCH(Çeyreklik!$A38,Bilanço!$A:$A,0),0)),"")</f>
        <v>0</v>
      </c>
      <c r="Q38" s="2">
        <f>IFERROR(IF(MID(Q$2,6,7)="3",HLOOKUP(Q$1,Bilanço!$1:$151,MATCH(Çeyreklik!$A38,Bilanço!$A:$A,0),0),HLOOKUP(Q$1,Bilanço!$1:$151,MATCH(Çeyreklik!$A38,Bilanço!$A:$A,0),0)-HLOOKUP(P$1,Bilanço!$1:$151,MATCH(Çeyreklik!$A38,Bilanço!$A:$A,0),0)),"")</f>
        <v>0</v>
      </c>
      <c r="R38" s="2">
        <f>IFERROR(IF(MID(R$2,6,7)="3",HLOOKUP(R$1,Bilanço!$1:$151,MATCH(Çeyreklik!$A38,Bilanço!$A:$A,0),0),HLOOKUP(R$1,Bilanço!$1:$151,MATCH(Çeyreklik!$A38,Bilanço!$A:$A,0),0)-HLOOKUP(Q$1,Bilanço!$1:$151,MATCH(Çeyreklik!$A38,Bilanço!$A:$A,0),0)),"")</f>
        <v>0</v>
      </c>
      <c r="S38" s="2">
        <f>IFERROR(IF(MID(S$2,6,7)="3",HLOOKUP(S$1,Bilanço!$1:$151,MATCH(Çeyreklik!$A38,Bilanço!$A:$A,0),0),HLOOKUP(S$1,Bilanço!$1:$151,MATCH(Çeyreklik!$A38,Bilanço!$A:$A,0),0)-HLOOKUP(R$1,Bilanço!$1:$151,MATCH(Çeyreklik!$A38,Bilanço!$A:$A,0),0)),"")</f>
        <v>0</v>
      </c>
      <c r="T38" s="2">
        <f>IFERROR(IF(MID(T$2,6,7)="3",HLOOKUP(T$1,Bilanço!$1:$151,MATCH(Çeyreklik!$A38,Bilanço!$A:$A,0),0),HLOOKUP(T$1,Bilanço!$1:$151,MATCH(Çeyreklik!$A38,Bilanço!$A:$A,0),0)-HLOOKUP(S$1,Bilanço!$1:$151,MATCH(Çeyreklik!$A38,Bilanço!$A:$A,0),0)),"")</f>
        <v>0</v>
      </c>
      <c r="U38" s="2">
        <f>IFERROR(IF(MID(U$2,6,7)="3",HLOOKUP(U$1,Bilanço!$1:$151,MATCH(Çeyreklik!$A38,Bilanço!$A:$A,0),0),HLOOKUP(U$1,Bilanço!$1:$151,MATCH(Çeyreklik!$A38,Bilanço!$A:$A,0),0)-HLOOKUP(T$1,Bilanço!$1:$151,MATCH(Çeyreklik!$A38,Bilanço!$A:$A,0),0)),"")</f>
        <v>0</v>
      </c>
      <c r="V38" s="2">
        <f>IFERROR(IF(MID(V$2,6,7)="3",HLOOKUP(V$1,Bilanço!$1:$151,MATCH(Çeyreklik!$A38,Bilanço!$A:$A,0),0),HLOOKUP(V$1,Bilanço!$1:$151,MATCH(Çeyreklik!$A38,Bilanço!$A:$A,0),0)-HLOOKUP(U$1,Bilanço!$1:$151,MATCH(Çeyreklik!$A38,Bilanço!$A:$A,0),0)),"")</f>
        <v>0</v>
      </c>
      <c r="W38" s="2">
        <f>IFERROR(IF(MID(W$2,6,7)="3",HLOOKUP(W$1,Bilanço!$1:$151,MATCH(Çeyreklik!$A38,Bilanço!$A:$A,0),0),HLOOKUP(W$1,Bilanço!$1:$151,MATCH(Çeyreklik!$A38,Bilanço!$A:$A,0),0)-HLOOKUP(V$1,Bilanço!$1:$151,MATCH(Çeyreklik!$A38,Bilanço!$A:$A,0),0)),"")</f>
        <v>0</v>
      </c>
    </row>
    <row r="39" spans="1:23" x14ac:dyDescent="0.25">
      <c r="A39" t="str">
        <f>Data!A110</f>
        <v>Azınlık Payları</v>
      </c>
      <c r="B39" s="2">
        <f>IFERROR(IF($B$2="2022/3",IF(MID(B$2,6,7)="3",HLOOKUP(B$1,Bilanço!$1:$151,MATCH(Çeyreklik!$A39,Bilanço!$A:$A,0),0),HLOOKUP(B$1,Bilanço!$1:$151,MATCH(Çeyreklik!$A39,Bilanço!$A:$A,0),0)-HLOOKUP(A$1,Bilanço!$1:$151,MATCH(Çeyreklik!$A39,Bilanço!$A:$A,0),0)),IF(MID(B$2,6,7)="3",HLOOKUP(B$1,Bilanço!$1:$151,MATCH(Çeyreklik!$A39,Bilanço!$A:$A,0),0),HLOOKUP(B$1,Bilanço!$1:$151,MATCH(Çeyreklik!$A39,Bilanço!$A:$A,0),0)-HLOOKUP(Bilanço!$B$1,Bilanço!$1:$151,MATCH(Çeyreklik!$A39,Bilanço!$A:$A,0),0))),"")</f>
        <v>35031000</v>
      </c>
      <c r="C39" s="2">
        <f>IFERROR(IF(MID(C$2,6,7)="3",HLOOKUP(C$1,Bilanço!$1:$151,MATCH(Çeyreklik!$A39,Bilanço!$A:$A,0),0),HLOOKUP(C$1,Bilanço!$1:$151,MATCH(Çeyreklik!$A39,Bilanço!$A:$A,0),0)-HLOOKUP(B$1,Bilanço!$1:$151,MATCH(Çeyreklik!$A39,Bilanço!$A:$A,0),0)),"")</f>
        <v>50258000</v>
      </c>
      <c r="D39" s="2">
        <f>IFERROR(IF(MID(D$2,6,7)="3",HLOOKUP(D$1,Bilanço!$1:$151,MATCH(Çeyreklik!$A39,Bilanço!$A:$A,0),0),HLOOKUP(D$1,Bilanço!$1:$151,MATCH(Çeyreklik!$A39,Bilanço!$A:$A,0),0)-HLOOKUP(C$1,Bilanço!$1:$151,MATCH(Çeyreklik!$A39,Bilanço!$A:$A,0),0)),"")</f>
        <v>47733000</v>
      </c>
      <c r="E39" s="2">
        <f>IFERROR(IF(MID(E$2,6,7)="3",HLOOKUP(E$1,Bilanço!$1:$151,MATCH(Çeyreklik!$A39,Bilanço!$A:$A,0),0),HLOOKUP(E$1,Bilanço!$1:$151,MATCH(Çeyreklik!$A39,Bilanço!$A:$A,0),0)-HLOOKUP(D$1,Bilanço!$1:$151,MATCH(Çeyreklik!$A39,Bilanço!$A:$A,0),0)),"")</f>
        <v>61829000</v>
      </c>
      <c r="F39" s="2">
        <f>IFERROR(IF(MID(F$2,6,7)="3",HLOOKUP(F$1,Bilanço!$1:$151,MATCH(Çeyreklik!$A39,Bilanço!$A:$A,0),0),HLOOKUP(F$1,Bilanço!$1:$151,MATCH(Çeyreklik!$A39,Bilanço!$A:$A,0),0)-HLOOKUP(E$1,Bilanço!$1:$151,MATCH(Çeyreklik!$A39,Bilanço!$A:$A,0),0)),"")</f>
        <v>26013000</v>
      </c>
      <c r="G39" s="2">
        <f>IFERROR(IF(MID(G$2,6,7)="3",HLOOKUP(G$1,Bilanço!$1:$151,MATCH(Çeyreklik!$A39,Bilanço!$A:$A,0),0),HLOOKUP(G$1,Bilanço!$1:$151,MATCH(Çeyreklik!$A39,Bilanço!$A:$A,0),0)-HLOOKUP(F$1,Bilanço!$1:$151,MATCH(Çeyreklik!$A39,Bilanço!$A:$A,0),0)),"")</f>
        <v>30747000</v>
      </c>
      <c r="H39" s="2">
        <f>IFERROR(IF(MID(H$2,6,7)="3",HLOOKUP(H$1,Bilanço!$1:$151,MATCH(Çeyreklik!$A39,Bilanço!$A:$A,0),0),HLOOKUP(H$1,Bilanço!$1:$151,MATCH(Çeyreklik!$A39,Bilanço!$A:$A,0),0)-HLOOKUP(G$1,Bilanço!$1:$151,MATCH(Çeyreklik!$A39,Bilanço!$A:$A,0),0)),"")</f>
        <v>183324000</v>
      </c>
      <c r="I39" s="2">
        <f>IFERROR(IF(MID(I$2,6,7)="3",HLOOKUP(I$1,Bilanço!$1:$151,MATCH(Çeyreklik!$A39,Bilanço!$A:$A,0),0),HLOOKUP(I$1,Bilanço!$1:$151,MATCH(Çeyreklik!$A39,Bilanço!$A:$A,0),0)-HLOOKUP(H$1,Bilanço!$1:$151,MATCH(Çeyreklik!$A39,Bilanço!$A:$A,0),0)),"")</f>
        <v>139649000</v>
      </c>
      <c r="J39" s="2">
        <f>IFERROR(IF(MID(J$2,6,7)="3",HLOOKUP(J$1,Bilanço!$1:$151,MATCH(Çeyreklik!$A39,Bilanço!$A:$A,0),0),HLOOKUP(J$1,Bilanço!$1:$151,MATCH(Çeyreklik!$A39,Bilanço!$A:$A,0),0)-HLOOKUP(I$1,Bilanço!$1:$151,MATCH(Çeyreklik!$A39,Bilanço!$A:$A,0),0)),"")</f>
        <v>94000000</v>
      </c>
      <c r="K39" s="2">
        <f>IFERROR(IF(MID(K$2,6,7)="3",HLOOKUP(K$1,Bilanço!$1:$151,MATCH(Çeyreklik!$A39,Bilanço!$A:$A,0),0),HLOOKUP(K$1,Bilanço!$1:$151,MATCH(Çeyreklik!$A39,Bilanço!$A:$A,0),0)-HLOOKUP(J$1,Bilanço!$1:$151,MATCH(Çeyreklik!$A39,Bilanço!$A:$A,0),0)),"")</f>
        <v>116976000</v>
      </c>
      <c r="L39" s="2">
        <f>IFERROR(IF(MID(L$2,6,7)="3",HLOOKUP(L$1,Bilanço!$1:$151,MATCH(Çeyreklik!$A39,Bilanço!$A:$A,0),0),HLOOKUP(L$1,Bilanço!$1:$151,MATCH(Çeyreklik!$A39,Bilanço!$A:$A,0),0)-HLOOKUP(K$1,Bilanço!$1:$151,MATCH(Çeyreklik!$A39,Bilanço!$A:$A,0),0)),"")</f>
        <v>94088000</v>
      </c>
      <c r="M39" s="2">
        <f>IFERROR(IF(MID(M$2,6,7)="3",HLOOKUP(M$1,Bilanço!$1:$151,MATCH(Çeyreklik!$A39,Bilanço!$A:$A,0),0),HLOOKUP(M$1,Bilanço!$1:$151,MATCH(Çeyreklik!$A39,Bilanço!$A:$A,0),0)-HLOOKUP(L$1,Bilanço!$1:$151,MATCH(Çeyreklik!$A39,Bilanço!$A:$A,0),0)),"")</f>
        <v>286580000</v>
      </c>
      <c r="N39" s="2">
        <f>IFERROR(IF(MID(N$2,6,7)="3",HLOOKUP(N$1,Bilanço!$1:$151,MATCH(Çeyreklik!$A39,Bilanço!$A:$A,0),0),HLOOKUP(N$1,Bilanço!$1:$151,MATCH(Çeyreklik!$A39,Bilanço!$A:$A,0),0)-HLOOKUP(M$1,Bilanço!$1:$151,MATCH(Çeyreklik!$A39,Bilanço!$A:$A,0),0)),"")</f>
        <v>457077000</v>
      </c>
      <c r="O39" s="2">
        <f>IFERROR(IF(MID(O$2,6,7)="3",HLOOKUP(O$1,Bilanço!$1:$151,MATCH(Çeyreklik!$A39,Bilanço!$A:$A,0),0),HLOOKUP(O$1,Bilanço!$1:$151,MATCH(Çeyreklik!$A39,Bilanço!$A:$A,0),0)-HLOOKUP(N$1,Bilanço!$1:$151,MATCH(Çeyreklik!$A39,Bilanço!$A:$A,0),0)),"")</f>
        <v>337001000</v>
      </c>
      <c r="P39" s="2">
        <f>IFERROR(IF(MID(P$2,6,7)="3",HLOOKUP(P$1,Bilanço!$1:$151,MATCH(Çeyreklik!$A39,Bilanço!$A:$A,0),0),HLOOKUP(P$1,Bilanço!$1:$151,MATCH(Çeyreklik!$A39,Bilanço!$A:$A,0),0)-HLOOKUP(O$1,Bilanço!$1:$151,MATCH(Çeyreklik!$A39,Bilanço!$A:$A,0),0)),"")</f>
        <v>137734000</v>
      </c>
      <c r="Q39" s="2">
        <f>IFERROR(IF(MID(Q$2,6,7)="3",HLOOKUP(Q$1,Bilanço!$1:$151,MATCH(Çeyreklik!$A39,Bilanço!$A:$A,0),0),HLOOKUP(Q$1,Bilanço!$1:$151,MATCH(Çeyreklik!$A39,Bilanço!$A:$A,0),0)-HLOOKUP(P$1,Bilanço!$1:$151,MATCH(Çeyreklik!$A39,Bilanço!$A:$A,0),0)),"")</f>
        <v>433337000</v>
      </c>
      <c r="R39" s="2">
        <f>IFERROR(IF(MID(R$2,6,7)="3",HLOOKUP(R$1,Bilanço!$1:$151,MATCH(Çeyreklik!$A39,Bilanço!$A:$A,0),0),HLOOKUP(R$1,Bilanço!$1:$151,MATCH(Çeyreklik!$A39,Bilanço!$A:$A,0),0)-HLOOKUP(Q$1,Bilanço!$1:$151,MATCH(Çeyreklik!$A39,Bilanço!$A:$A,0),0)),"")</f>
        <v>126135000</v>
      </c>
      <c r="S39" s="2">
        <f>IFERROR(IF(MID(S$2,6,7)="3",HLOOKUP(S$1,Bilanço!$1:$151,MATCH(Çeyreklik!$A39,Bilanço!$A:$A,0),0),HLOOKUP(S$1,Bilanço!$1:$151,MATCH(Çeyreklik!$A39,Bilanço!$A:$A,0),0)-HLOOKUP(R$1,Bilanço!$1:$151,MATCH(Çeyreklik!$A39,Bilanço!$A:$A,0),0)),"")</f>
        <v>93293000</v>
      </c>
      <c r="T39" s="2">
        <f>IFERROR(IF(MID(T$2,6,7)="3",HLOOKUP(T$1,Bilanço!$1:$151,MATCH(Çeyreklik!$A39,Bilanço!$A:$A,0),0),HLOOKUP(T$1,Bilanço!$1:$151,MATCH(Çeyreklik!$A39,Bilanço!$A:$A,0),0)-HLOOKUP(S$1,Bilanço!$1:$151,MATCH(Çeyreklik!$A39,Bilanço!$A:$A,0),0)),"")</f>
        <v>119364491</v>
      </c>
      <c r="U39" s="2">
        <f>IFERROR(IF(MID(U$2,6,7)="3",HLOOKUP(U$1,Bilanço!$1:$151,MATCH(Çeyreklik!$A39,Bilanço!$A:$A,0),0),HLOOKUP(U$1,Bilanço!$1:$151,MATCH(Çeyreklik!$A39,Bilanço!$A:$A,0),0)-HLOOKUP(T$1,Bilanço!$1:$151,MATCH(Çeyreklik!$A39,Bilanço!$A:$A,0),0)),"")</f>
        <v>165677000</v>
      </c>
      <c r="V39" s="2">
        <f>IFERROR(IF(MID(V$2,6,7)="3",HLOOKUP(V$1,Bilanço!$1:$151,MATCH(Çeyreklik!$A39,Bilanço!$A:$A,0),0),HLOOKUP(V$1,Bilanço!$1:$151,MATCH(Çeyreklik!$A39,Bilanço!$A:$A,0),0)-HLOOKUP(U$1,Bilanço!$1:$151,MATCH(Çeyreklik!$A39,Bilanço!$A:$A,0),0)),"")</f>
        <v>44548000</v>
      </c>
      <c r="W39" s="2">
        <f>IFERROR(IF(MID(W$2,6,7)="3",HLOOKUP(W$1,Bilanço!$1:$151,MATCH(Çeyreklik!$A39,Bilanço!$A:$A,0),0),HLOOKUP(W$1,Bilanço!$1:$151,MATCH(Çeyreklik!$A39,Bilanço!$A:$A,0),0)-HLOOKUP(V$1,Bilanço!$1:$151,MATCH(Çeyreklik!$A39,Bilanço!$A:$A,0),0)),"")</f>
        <v>51291000</v>
      </c>
    </row>
    <row r="40" spans="1:23" x14ac:dyDescent="0.25">
      <c r="A40" t="str">
        <f>Data!A111</f>
        <v>Ana Ortaklık Payları</v>
      </c>
      <c r="B40" s="2">
        <f>IFERROR(IF($B$2="2022/3",IF(MID(B$2,6,7)="3",HLOOKUP(B$1,Bilanço!$1:$151,MATCH(Çeyreklik!$A40,Bilanço!$A:$A,0),0),HLOOKUP(B$1,Bilanço!$1:$151,MATCH(Çeyreklik!$A40,Bilanço!$A:$A,0),0)-HLOOKUP(A$1,Bilanço!$1:$151,MATCH(Çeyreklik!$A40,Bilanço!$A:$A,0),0)),IF(MID(B$2,6,7)="3",HLOOKUP(B$1,Bilanço!$1:$151,MATCH(Çeyreklik!$A40,Bilanço!$A:$A,0),0),HLOOKUP(B$1,Bilanço!$1:$151,MATCH(Çeyreklik!$A40,Bilanço!$A:$A,0),0)-HLOOKUP(Bilanço!$B$1,Bilanço!$1:$151,MATCH(Çeyreklik!$A40,Bilanço!$A:$A,0),0))),"")</f>
        <v>504443000</v>
      </c>
      <c r="C40" s="2">
        <f>IFERROR(IF(MID(C$2,6,7)="3",HLOOKUP(C$1,Bilanço!$1:$151,MATCH(Çeyreklik!$A40,Bilanço!$A:$A,0),0),HLOOKUP(C$1,Bilanço!$1:$151,MATCH(Çeyreklik!$A40,Bilanço!$A:$A,0),0)-HLOOKUP(B$1,Bilanço!$1:$151,MATCH(Çeyreklik!$A40,Bilanço!$A:$A,0),0)),"")</f>
        <v>275382000</v>
      </c>
      <c r="D40" s="2">
        <f>IFERROR(IF(MID(D$2,6,7)="3",HLOOKUP(D$1,Bilanço!$1:$151,MATCH(Çeyreklik!$A40,Bilanço!$A:$A,0),0),HLOOKUP(D$1,Bilanço!$1:$151,MATCH(Çeyreklik!$A40,Bilanço!$A:$A,0),0)-HLOOKUP(C$1,Bilanço!$1:$151,MATCH(Çeyreklik!$A40,Bilanço!$A:$A,0),0)),"")</f>
        <v>399861000</v>
      </c>
      <c r="E40" s="2">
        <f>IFERROR(IF(MID(E$2,6,7)="3",HLOOKUP(E$1,Bilanço!$1:$151,MATCH(Çeyreklik!$A40,Bilanço!$A:$A,0),0),HLOOKUP(E$1,Bilanço!$1:$151,MATCH(Çeyreklik!$A40,Bilanço!$A:$A,0),0)-HLOOKUP(D$1,Bilanço!$1:$151,MATCH(Çeyreklik!$A40,Bilanço!$A:$A,0),0)),"")</f>
        <v>431147000</v>
      </c>
      <c r="F40" s="2">
        <f>IFERROR(IF(MID(F$2,6,7)="3",HLOOKUP(F$1,Bilanço!$1:$151,MATCH(Çeyreklik!$A40,Bilanço!$A:$A,0),0),HLOOKUP(F$1,Bilanço!$1:$151,MATCH(Çeyreklik!$A40,Bilanço!$A:$A,0),0)-HLOOKUP(E$1,Bilanço!$1:$151,MATCH(Çeyreklik!$A40,Bilanço!$A:$A,0),0)),"")</f>
        <v>221050000</v>
      </c>
      <c r="G40" s="2">
        <f>IFERROR(IF(MID(G$2,6,7)="3",HLOOKUP(G$1,Bilanço!$1:$151,MATCH(Çeyreklik!$A40,Bilanço!$A:$A,0),0),HLOOKUP(G$1,Bilanço!$1:$151,MATCH(Çeyreklik!$A40,Bilanço!$A:$A,0),0)-HLOOKUP(F$1,Bilanço!$1:$151,MATCH(Çeyreklik!$A40,Bilanço!$A:$A,0),0)),"")</f>
        <v>2457000</v>
      </c>
      <c r="H40" s="2">
        <f>IFERROR(IF(MID(H$2,6,7)="3",HLOOKUP(H$1,Bilanço!$1:$151,MATCH(Çeyreklik!$A40,Bilanço!$A:$A,0),0),HLOOKUP(H$1,Bilanço!$1:$151,MATCH(Çeyreklik!$A40,Bilanço!$A:$A,0),0)-HLOOKUP(G$1,Bilanço!$1:$151,MATCH(Çeyreklik!$A40,Bilanço!$A:$A,0),0)),"")</f>
        <v>-1118986000</v>
      </c>
      <c r="I40" s="2">
        <f>IFERROR(IF(MID(I$2,6,7)="3",HLOOKUP(I$1,Bilanço!$1:$151,MATCH(Çeyreklik!$A40,Bilanço!$A:$A,0),0),HLOOKUP(I$1,Bilanço!$1:$151,MATCH(Çeyreklik!$A40,Bilanço!$A:$A,0),0)-HLOOKUP(H$1,Bilanço!$1:$151,MATCH(Çeyreklik!$A40,Bilanço!$A:$A,0),0)),"")</f>
        <v>-470705000</v>
      </c>
      <c r="J40" s="2">
        <f>IFERROR(IF(MID(J$2,6,7)="3",HLOOKUP(J$1,Bilanço!$1:$151,MATCH(Çeyreklik!$A40,Bilanço!$A:$A,0),0),HLOOKUP(J$1,Bilanço!$1:$151,MATCH(Çeyreklik!$A40,Bilanço!$A:$A,0),0)-HLOOKUP(I$1,Bilanço!$1:$151,MATCH(Çeyreklik!$A40,Bilanço!$A:$A,0),0)),"")</f>
        <v>-648635000</v>
      </c>
      <c r="K40" s="2">
        <f>IFERROR(IF(MID(K$2,6,7)="3",HLOOKUP(K$1,Bilanço!$1:$151,MATCH(Çeyreklik!$A40,Bilanço!$A:$A,0),0),HLOOKUP(K$1,Bilanço!$1:$151,MATCH(Çeyreklik!$A40,Bilanço!$A:$A,0),0)-HLOOKUP(J$1,Bilanço!$1:$151,MATCH(Çeyreklik!$A40,Bilanço!$A:$A,0),0)),"")</f>
        <v>-217078000</v>
      </c>
      <c r="L40" s="2">
        <f>IFERROR(IF(MID(L$2,6,7)="3",HLOOKUP(L$1,Bilanço!$1:$151,MATCH(Çeyreklik!$A40,Bilanço!$A:$A,0),0),HLOOKUP(L$1,Bilanço!$1:$151,MATCH(Çeyreklik!$A40,Bilanço!$A:$A,0),0)-HLOOKUP(K$1,Bilanço!$1:$151,MATCH(Çeyreklik!$A40,Bilanço!$A:$A,0),0)),"")</f>
        <v>2321211000</v>
      </c>
      <c r="M40" s="2">
        <f>IFERROR(IF(MID(M$2,6,7)="3",HLOOKUP(M$1,Bilanço!$1:$151,MATCH(Çeyreklik!$A40,Bilanço!$A:$A,0),0),HLOOKUP(M$1,Bilanço!$1:$151,MATCH(Çeyreklik!$A40,Bilanço!$A:$A,0),0)-HLOOKUP(L$1,Bilanço!$1:$151,MATCH(Çeyreklik!$A40,Bilanço!$A:$A,0),0)),"")</f>
        <v>2412933000</v>
      </c>
      <c r="N40" s="2">
        <f>IFERROR(IF(MID(N$2,6,7)="3",HLOOKUP(N$1,Bilanço!$1:$151,MATCH(Çeyreklik!$A40,Bilanço!$A:$A,0),0),HLOOKUP(N$1,Bilanço!$1:$151,MATCH(Çeyreklik!$A40,Bilanço!$A:$A,0),0)-HLOOKUP(M$1,Bilanço!$1:$151,MATCH(Çeyreklik!$A40,Bilanço!$A:$A,0),0)),"")</f>
        <v>-2476593000</v>
      </c>
      <c r="O40" s="2">
        <f>IFERROR(IF(MID(O$2,6,7)="3",HLOOKUP(O$1,Bilanço!$1:$151,MATCH(Çeyreklik!$A40,Bilanço!$A:$A,0),0),HLOOKUP(O$1,Bilanço!$1:$151,MATCH(Çeyreklik!$A40,Bilanço!$A:$A,0),0)-HLOOKUP(N$1,Bilanço!$1:$151,MATCH(Çeyreklik!$A40,Bilanço!$A:$A,0),0)),"")</f>
        <v>3052403000</v>
      </c>
      <c r="P40" s="2">
        <f>IFERROR(IF(MID(P$2,6,7)="3",HLOOKUP(P$1,Bilanço!$1:$151,MATCH(Çeyreklik!$A40,Bilanço!$A:$A,0),0),HLOOKUP(P$1,Bilanço!$1:$151,MATCH(Çeyreklik!$A40,Bilanço!$A:$A,0),0)-HLOOKUP(O$1,Bilanço!$1:$151,MATCH(Çeyreklik!$A40,Bilanço!$A:$A,0),0)),"")</f>
        <v>1889640000</v>
      </c>
      <c r="Q40" s="2">
        <f>IFERROR(IF(MID(Q$2,6,7)="3",HLOOKUP(Q$1,Bilanço!$1:$151,MATCH(Çeyreklik!$A40,Bilanço!$A:$A,0),0),HLOOKUP(Q$1,Bilanço!$1:$151,MATCH(Çeyreklik!$A40,Bilanço!$A:$A,0),0)-HLOOKUP(P$1,Bilanço!$1:$151,MATCH(Çeyreklik!$A40,Bilanço!$A:$A,0),0)),"")</f>
        <v>2993134000</v>
      </c>
      <c r="R40" s="2">
        <f>IFERROR(IF(MID(R$2,6,7)="3",HLOOKUP(R$1,Bilanço!$1:$151,MATCH(Çeyreklik!$A40,Bilanço!$A:$A,0),0),HLOOKUP(R$1,Bilanço!$1:$151,MATCH(Çeyreklik!$A40,Bilanço!$A:$A,0),0)-HLOOKUP(Q$1,Bilanço!$1:$151,MATCH(Çeyreklik!$A40,Bilanço!$A:$A,0),0)),"")</f>
        <v>1881874000</v>
      </c>
      <c r="S40" s="2">
        <f>IFERROR(IF(MID(S$2,6,7)="3",HLOOKUP(S$1,Bilanço!$1:$151,MATCH(Çeyreklik!$A40,Bilanço!$A:$A,0),0),HLOOKUP(S$1,Bilanço!$1:$151,MATCH(Çeyreklik!$A40,Bilanço!$A:$A,0),0)-HLOOKUP(R$1,Bilanço!$1:$151,MATCH(Çeyreklik!$A40,Bilanço!$A:$A,0),0)),"")</f>
        <v>992962000</v>
      </c>
      <c r="T40" s="2">
        <f>IFERROR(IF(MID(T$2,6,7)="3",HLOOKUP(T$1,Bilanço!$1:$151,MATCH(Çeyreklik!$A40,Bilanço!$A:$A,0),0),HLOOKUP(T$1,Bilanço!$1:$151,MATCH(Çeyreklik!$A40,Bilanço!$A:$A,0),0)-HLOOKUP(S$1,Bilanço!$1:$151,MATCH(Çeyreklik!$A40,Bilanço!$A:$A,0),0)),"")</f>
        <v>3414469224</v>
      </c>
      <c r="U40" s="2">
        <f>IFERROR(IF(MID(U$2,6,7)="3",HLOOKUP(U$1,Bilanço!$1:$151,MATCH(Çeyreklik!$A40,Bilanço!$A:$A,0),0),HLOOKUP(U$1,Bilanço!$1:$151,MATCH(Çeyreklik!$A40,Bilanço!$A:$A,0),0)-HLOOKUP(T$1,Bilanço!$1:$151,MATCH(Çeyreklik!$A40,Bilanço!$A:$A,0),0)),"")</f>
        <v>2413368000</v>
      </c>
      <c r="V40" s="2">
        <f>IFERROR(IF(MID(V$2,6,7)="3",HLOOKUP(V$1,Bilanço!$1:$151,MATCH(Çeyreklik!$A40,Bilanço!$A:$A,0),0),HLOOKUP(V$1,Bilanço!$1:$151,MATCH(Çeyreklik!$A40,Bilanço!$A:$A,0),0)-HLOOKUP(U$1,Bilanço!$1:$151,MATCH(Çeyreklik!$A40,Bilanço!$A:$A,0),0)),"")</f>
        <v>866545000</v>
      </c>
      <c r="W40" s="2">
        <f>IFERROR(IF(MID(W$2,6,7)="3",HLOOKUP(W$1,Bilanço!$1:$151,MATCH(Çeyreklik!$A40,Bilanço!$A:$A,0),0),HLOOKUP(W$1,Bilanço!$1:$151,MATCH(Çeyreklik!$A40,Bilanço!$A:$A,0),0)-HLOOKUP(V$1,Bilanço!$1:$151,MATCH(Çeyreklik!$A40,Bilanço!$A:$A,0),0)),"")</f>
        <v>1313603000</v>
      </c>
    </row>
    <row r="41" spans="1:23" x14ac:dyDescent="0.25">
      <c r="A41" t="str">
        <f>Data!A112</f>
        <v>Hisse Başına Kazanç</v>
      </c>
      <c r="B41" s="2">
        <f>IFERROR(IF($B$2="2022/3",IF(MID(B$2,6,7)="3",HLOOKUP(B$1,Bilanço!$1:$151,MATCH(Çeyreklik!$A41,Bilanço!$A:$A,0),0),HLOOKUP(B$1,Bilanço!$1:$151,MATCH(Çeyreklik!$A41,Bilanço!$A:$A,0),0)-HLOOKUP(A$1,Bilanço!$1:$151,MATCH(Çeyreklik!$A41,Bilanço!$A:$A,0),0)),IF(MID(B$2,6,7)="3",HLOOKUP(B$1,Bilanço!$1:$151,MATCH(Çeyreklik!$A41,Bilanço!$A:$A,0),0),HLOOKUP(B$1,Bilanço!$1:$151,MATCH(Çeyreklik!$A41,Bilanço!$A:$A,0),0)-HLOOKUP(Bilanço!$B$1,Bilanço!$1:$151,MATCH(Çeyreklik!$A41,Bilanço!$A:$A,0),0))),"")</f>
        <v>1</v>
      </c>
      <c r="C41" s="2">
        <f>IFERROR(IF(MID(C$2,6,7)="3",HLOOKUP(C$1,Bilanço!$1:$151,MATCH(Çeyreklik!$A41,Bilanço!$A:$A,0),0),HLOOKUP(C$1,Bilanço!$1:$151,MATCH(Çeyreklik!$A41,Bilanço!$A:$A,0),0)-HLOOKUP(B$1,Bilanço!$1:$151,MATCH(Çeyreklik!$A41,Bilanço!$A:$A,0),0)),"")</f>
        <v>1</v>
      </c>
      <c r="D41" s="2">
        <f>IFERROR(IF(MID(D$2,6,7)="3",HLOOKUP(D$1,Bilanço!$1:$151,MATCH(Çeyreklik!$A41,Bilanço!$A:$A,0),0),HLOOKUP(D$1,Bilanço!$1:$151,MATCH(Çeyreklik!$A41,Bilanço!$A:$A,0),0)-HLOOKUP(C$1,Bilanço!$1:$151,MATCH(Çeyreklik!$A41,Bilanço!$A:$A,0),0)),"")</f>
        <v>1</v>
      </c>
      <c r="E41" s="2">
        <f>IFERROR(IF(MID(E$2,6,7)="3",HLOOKUP(E$1,Bilanço!$1:$151,MATCH(Çeyreklik!$A41,Bilanço!$A:$A,0),0),HLOOKUP(E$1,Bilanço!$1:$151,MATCH(Çeyreklik!$A41,Bilanço!$A:$A,0),0)-HLOOKUP(D$1,Bilanço!$1:$151,MATCH(Çeyreklik!$A41,Bilanço!$A:$A,0),0)),"")</f>
        <v>1</v>
      </c>
      <c r="F41" s="2">
        <f>IFERROR(IF(MID(F$2,6,7)="3",HLOOKUP(F$1,Bilanço!$1:$151,MATCH(Çeyreklik!$A41,Bilanço!$A:$A,0),0),HLOOKUP(F$1,Bilanço!$1:$151,MATCH(Çeyreklik!$A41,Bilanço!$A:$A,0),0)-HLOOKUP(E$1,Bilanço!$1:$151,MATCH(Çeyreklik!$A41,Bilanço!$A:$A,0),0)),"")</f>
        <v>1</v>
      </c>
      <c r="G41" s="2">
        <f>IFERROR(IF(MID(G$2,6,7)="3",HLOOKUP(G$1,Bilanço!$1:$151,MATCH(Çeyreklik!$A41,Bilanço!$A:$A,0),0),HLOOKUP(G$1,Bilanço!$1:$151,MATCH(Çeyreklik!$A41,Bilanço!$A:$A,0),0)-HLOOKUP(F$1,Bilanço!$1:$151,MATCH(Çeyreklik!$A41,Bilanço!$A:$A,0),0)),"")</f>
        <v>0</v>
      </c>
      <c r="H41" s="2">
        <f>IFERROR(IF(MID(H$2,6,7)="3",HLOOKUP(H$1,Bilanço!$1:$151,MATCH(Çeyreklik!$A41,Bilanço!$A:$A,0),0),HLOOKUP(H$1,Bilanço!$1:$151,MATCH(Çeyreklik!$A41,Bilanço!$A:$A,0),0)-HLOOKUP(G$1,Bilanço!$1:$151,MATCH(Çeyreklik!$A41,Bilanço!$A:$A,0),0)),"")</f>
        <v>-3</v>
      </c>
      <c r="I41" s="2">
        <f>IFERROR(IF(MID(I$2,6,7)="3",HLOOKUP(I$1,Bilanço!$1:$151,MATCH(Çeyreklik!$A41,Bilanço!$A:$A,0),0),HLOOKUP(I$1,Bilanço!$1:$151,MATCH(Çeyreklik!$A41,Bilanço!$A:$A,0),0)-HLOOKUP(H$1,Bilanço!$1:$151,MATCH(Çeyreklik!$A41,Bilanço!$A:$A,0),0)),"")</f>
        <v>-1</v>
      </c>
      <c r="J41" s="2">
        <f>IFERROR(IF(MID(J$2,6,7)="3",HLOOKUP(J$1,Bilanço!$1:$151,MATCH(Çeyreklik!$A41,Bilanço!$A:$A,0),0),HLOOKUP(J$1,Bilanço!$1:$151,MATCH(Çeyreklik!$A41,Bilanço!$A:$A,0),0)-HLOOKUP(I$1,Bilanço!$1:$151,MATCH(Çeyreklik!$A41,Bilanço!$A:$A,0),0)),"")</f>
        <v>-2</v>
      </c>
      <c r="K41" s="2">
        <f>IFERROR(IF(MID(K$2,6,7)="3",HLOOKUP(K$1,Bilanço!$1:$151,MATCH(Çeyreklik!$A41,Bilanço!$A:$A,0),0),HLOOKUP(K$1,Bilanço!$1:$151,MATCH(Çeyreklik!$A41,Bilanço!$A:$A,0),0)-HLOOKUP(J$1,Bilanço!$1:$151,MATCH(Çeyreklik!$A41,Bilanço!$A:$A,0),0)),"")</f>
        <v>-1</v>
      </c>
      <c r="L41" s="2">
        <f>IFERROR(IF(MID(L$2,6,7)="3",HLOOKUP(L$1,Bilanço!$1:$151,MATCH(Çeyreklik!$A41,Bilanço!$A:$A,0),0),HLOOKUP(L$1,Bilanço!$1:$151,MATCH(Çeyreklik!$A41,Bilanço!$A:$A,0),0)-HLOOKUP(K$1,Bilanço!$1:$151,MATCH(Çeyreklik!$A41,Bilanço!$A:$A,0),0)),"")</f>
        <v>7</v>
      </c>
      <c r="M41" s="2">
        <f>IFERROR(IF(MID(M$2,6,7)="3",HLOOKUP(M$1,Bilanço!$1:$151,MATCH(Çeyreklik!$A41,Bilanço!$A:$A,0),0),HLOOKUP(M$1,Bilanço!$1:$151,MATCH(Çeyreklik!$A41,Bilanço!$A:$A,0),0)-HLOOKUP(L$1,Bilanço!$1:$151,MATCH(Çeyreklik!$A41,Bilanço!$A:$A,0),0)),"")</f>
        <v>7</v>
      </c>
      <c r="N41" s="2">
        <f>IFERROR(IF(MID(N$2,6,7)="3",HLOOKUP(N$1,Bilanço!$1:$151,MATCH(Çeyreklik!$A41,Bilanço!$A:$A,0),0),HLOOKUP(N$1,Bilanço!$1:$151,MATCH(Çeyreklik!$A41,Bilanço!$A:$A,0),0)-HLOOKUP(M$1,Bilanço!$1:$151,MATCH(Çeyreklik!$A41,Bilanço!$A:$A,0),0)),"")</f>
        <v>-7</v>
      </c>
      <c r="O41" s="2">
        <f>IFERROR(IF(MID(O$2,6,7)="3",HLOOKUP(O$1,Bilanço!$1:$151,MATCH(Çeyreklik!$A41,Bilanço!$A:$A,0),0),HLOOKUP(O$1,Bilanço!$1:$151,MATCH(Çeyreklik!$A41,Bilanço!$A:$A,0),0)-HLOOKUP(N$1,Bilanço!$1:$151,MATCH(Çeyreklik!$A41,Bilanço!$A:$A,0),0)),"")</f>
        <v>8</v>
      </c>
      <c r="P41" s="2">
        <f>IFERROR(IF(MID(P$2,6,7)="3",HLOOKUP(P$1,Bilanço!$1:$151,MATCH(Çeyreklik!$A41,Bilanço!$A:$A,0),0),HLOOKUP(P$1,Bilanço!$1:$151,MATCH(Çeyreklik!$A41,Bilanço!$A:$A,0),0)-HLOOKUP(O$1,Bilanço!$1:$151,MATCH(Çeyreklik!$A41,Bilanço!$A:$A,0),0)),"")</f>
        <v>5</v>
      </c>
      <c r="Q41" s="2">
        <f>IFERROR(IF(MID(Q$2,6,7)="3",HLOOKUP(Q$1,Bilanço!$1:$151,MATCH(Çeyreklik!$A41,Bilanço!$A:$A,0),0),HLOOKUP(Q$1,Bilanço!$1:$151,MATCH(Çeyreklik!$A41,Bilanço!$A:$A,0),0)-HLOOKUP(P$1,Bilanço!$1:$151,MATCH(Çeyreklik!$A41,Bilanço!$A:$A,0),0)),"")</f>
        <v>8</v>
      </c>
      <c r="R41" s="2">
        <f>IFERROR(IF(MID(R$2,6,7)="3",HLOOKUP(R$1,Bilanço!$1:$151,MATCH(Çeyreklik!$A41,Bilanço!$A:$A,0),0),HLOOKUP(R$1,Bilanço!$1:$151,MATCH(Çeyreklik!$A41,Bilanço!$A:$A,0),0)-HLOOKUP(Q$1,Bilanço!$1:$151,MATCH(Çeyreklik!$A41,Bilanço!$A:$A,0),0)),"")</f>
        <v>5</v>
      </c>
      <c r="S41" s="2">
        <f>IFERROR(IF(MID(S$2,6,7)="3",HLOOKUP(S$1,Bilanço!$1:$151,MATCH(Çeyreklik!$A41,Bilanço!$A:$A,0),0),HLOOKUP(S$1,Bilanço!$1:$151,MATCH(Çeyreklik!$A41,Bilanço!$A:$A,0),0)-HLOOKUP(R$1,Bilanço!$1:$151,MATCH(Çeyreklik!$A41,Bilanço!$A:$A,0),0)),"")</f>
        <v>3</v>
      </c>
      <c r="T41" s="2">
        <f>IFERROR(IF(MID(T$2,6,7)="3",HLOOKUP(T$1,Bilanço!$1:$151,MATCH(Çeyreklik!$A41,Bilanço!$A:$A,0),0),HLOOKUP(T$1,Bilanço!$1:$151,MATCH(Çeyreklik!$A41,Bilanço!$A:$A,0),0)-HLOOKUP(S$1,Bilanço!$1:$151,MATCH(Çeyreklik!$A41,Bilanço!$A:$A,0),0)),"")</f>
        <v>9</v>
      </c>
      <c r="U41" s="2">
        <f>IFERROR(IF(MID(U$2,6,7)="3",HLOOKUP(U$1,Bilanço!$1:$151,MATCH(Çeyreklik!$A41,Bilanço!$A:$A,0),0),HLOOKUP(U$1,Bilanço!$1:$151,MATCH(Çeyreklik!$A41,Bilanço!$A:$A,0),0)-HLOOKUP(T$1,Bilanço!$1:$151,MATCH(Çeyreklik!$A41,Bilanço!$A:$A,0),0)),"")</f>
        <v>7</v>
      </c>
      <c r="V41" s="2">
        <f>IFERROR(IF(MID(V$2,6,7)="3",HLOOKUP(V$1,Bilanço!$1:$151,MATCH(Çeyreklik!$A41,Bilanço!$A:$A,0),0),HLOOKUP(V$1,Bilanço!$1:$151,MATCH(Çeyreklik!$A41,Bilanço!$A:$A,0),0)-HLOOKUP(U$1,Bilanço!$1:$151,MATCH(Çeyreklik!$A41,Bilanço!$A:$A,0),0)),"")</f>
        <v>2</v>
      </c>
      <c r="W41" s="2">
        <f>IFERROR(IF(MID(W$2,6,7)="3",HLOOKUP(W$1,Bilanço!$1:$151,MATCH(Çeyreklik!$A41,Bilanço!$A:$A,0),0),HLOOKUP(W$1,Bilanço!$1:$151,MATCH(Çeyreklik!$A41,Bilanço!$A:$A,0),0)-HLOOKUP(V$1,Bilanço!$1:$151,MATCH(Çeyreklik!$A41,Bilanço!$A:$A,0),0)),"")</f>
        <v>3</v>
      </c>
    </row>
    <row r="42" spans="1:23" x14ac:dyDescent="0.25">
      <c r="A42" t="str">
        <f>Data!A113</f>
        <v>Seyreltilmiş Hisse Başına Kazanç</v>
      </c>
      <c r="B42" s="2">
        <f>IFERROR(IF($B$2="2022/3",IF(MID(B$2,6,7)="3",HLOOKUP(B$1,Bilanço!$1:$151,MATCH(Çeyreklik!$A42,Bilanço!$A:$A,0),0),HLOOKUP(B$1,Bilanço!$1:$151,MATCH(Çeyreklik!$A42,Bilanço!$A:$A,0),0)-HLOOKUP(A$1,Bilanço!$1:$151,MATCH(Çeyreklik!$A42,Bilanço!$A:$A,0),0)),IF(MID(B$2,6,7)="3",HLOOKUP(B$1,Bilanço!$1:$151,MATCH(Çeyreklik!$A42,Bilanço!$A:$A,0),0),HLOOKUP(B$1,Bilanço!$1:$151,MATCH(Çeyreklik!$A42,Bilanço!$A:$A,0),0)-HLOOKUP(Bilanço!$B$1,Bilanço!$1:$151,MATCH(Çeyreklik!$A42,Bilanço!$A:$A,0),0))),"")</f>
        <v>0</v>
      </c>
      <c r="C42" s="2">
        <f>IFERROR(IF(MID(C$2,6,7)="3",HLOOKUP(C$1,Bilanço!$1:$151,MATCH(Çeyreklik!$A42,Bilanço!$A:$A,0),0),HLOOKUP(C$1,Bilanço!$1:$151,MATCH(Çeyreklik!$A42,Bilanço!$A:$A,0),0)-HLOOKUP(B$1,Bilanço!$1:$151,MATCH(Çeyreklik!$A42,Bilanço!$A:$A,0),0)),"")</f>
        <v>0</v>
      </c>
      <c r="D42" s="2">
        <f>IFERROR(IF(MID(D$2,6,7)="3",HLOOKUP(D$1,Bilanço!$1:$151,MATCH(Çeyreklik!$A42,Bilanço!$A:$A,0),0),HLOOKUP(D$1,Bilanço!$1:$151,MATCH(Çeyreklik!$A42,Bilanço!$A:$A,0),0)-HLOOKUP(C$1,Bilanço!$1:$151,MATCH(Çeyreklik!$A42,Bilanço!$A:$A,0),0)),"")</f>
        <v>0</v>
      </c>
      <c r="E42" s="2">
        <f>IFERROR(IF(MID(E$2,6,7)="3",HLOOKUP(E$1,Bilanço!$1:$151,MATCH(Çeyreklik!$A42,Bilanço!$A:$A,0),0),HLOOKUP(E$1,Bilanço!$1:$151,MATCH(Çeyreklik!$A42,Bilanço!$A:$A,0),0)-HLOOKUP(D$1,Bilanço!$1:$151,MATCH(Çeyreklik!$A42,Bilanço!$A:$A,0),0)),"")</f>
        <v>0</v>
      </c>
      <c r="F42" s="2">
        <f>IFERROR(IF(MID(F$2,6,7)="3",HLOOKUP(F$1,Bilanço!$1:$151,MATCH(Çeyreklik!$A42,Bilanço!$A:$A,0),0),HLOOKUP(F$1,Bilanço!$1:$151,MATCH(Çeyreklik!$A42,Bilanço!$A:$A,0),0)-HLOOKUP(E$1,Bilanço!$1:$151,MATCH(Çeyreklik!$A42,Bilanço!$A:$A,0),0)),"")</f>
        <v>0</v>
      </c>
      <c r="G42" s="2">
        <f>IFERROR(IF(MID(G$2,6,7)="3",HLOOKUP(G$1,Bilanço!$1:$151,MATCH(Çeyreklik!$A42,Bilanço!$A:$A,0),0),HLOOKUP(G$1,Bilanço!$1:$151,MATCH(Çeyreklik!$A42,Bilanço!$A:$A,0),0)-HLOOKUP(F$1,Bilanço!$1:$151,MATCH(Çeyreklik!$A42,Bilanço!$A:$A,0),0)),"")</f>
        <v>0</v>
      </c>
      <c r="H42" s="2">
        <f>IFERROR(IF(MID(H$2,6,7)="3",HLOOKUP(H$1,Bilanço!$1:$151,MATCH(Çeyreklik!$A42,Bilanço!$A:$A,0),0),HLOOKUP(H$1,Bilanço!$1:$151,MATCH(Çeyreklik!$A42,Bilanço!$A:$A,0),0)-HLOOKUP(G$1,Bilanço!$1:$151,MATCH(Çeyreklik!$A42,Bilanço!$A:$A,0),0)),"")</f>
        <v>0</v>
      </c>
      <c r="I42" s="2">
        <f>IFERROR(IF(MID(I$2,6,7)="3",HLOOKUP(I$1,Bilanço!$1:$151,MATCH(Çeyreklik!$A42,Bilanço!$A:$A,0),0),HLOOKUP(I$1,Bilanço!$1:$151,MATCH(Çeyreklik!$A42,Bilanço!$A:$A,0),0)-HLOOKUP(H$1,Bilanço!$1:$151,MATCH(Çeyreklik!$A42,Bilanço!$A:$A,0),0)),"")</f>
        <v>0</v>
      </c>
      <c r="J42" s="2">
        <f>IFERROR(IF(MID(J$2,6,7)="3",HLOOKUP(J$1,Bilanço!$1:$151,MATCH(Çeyreklik!$A42,Bilanço!$A:$A,0),0),HLOOKUP(J$1,Bilanço!$1:$151,MATCH(Çeyreklik!$A42,Bilanço!$A:$A,0),0)-HLOOKUP(I$1,Bilanço!$1:$151,MATCH(Çeyreklik!$A42,Bilanço!$A:$A,0),0)),"")</f>
        <v>0</v>
      </c>
      <c r="K42" s="2">
        <f>IFERROR(IF(MID(K$2,6,7)="3",HLOOKUP(K$1,Bilanço!$1:$151,MATCH(Çeyreklik!$A42,Bilanço!$A:$A,0),0),HLOOKUP(K$1,Bilanço!$1:$151,MATCH(Çeyreklik!$A42,Bilanço!$A:$A,0),0)-HLOOKUP(J$1,Bilanço!$1:$151,MATCH(Çeyreklik!$A42,Bilanço!$A:$A,0),0)),"")</f>
        <v>0</v>
      </c>
      <c r="L42" s="2">
        <f>IFERROR(IF(MID(L$2,6,7)="3",HLOOKUP(L$1,Bilanço!$1:$151,MATCH(Çeyreklik!$A42,Bilanço!$A:$A,0),0),HLOOKUP(L$1,Bilanço!$1:$151,MATCH(Çeyreklik!$A42,Bilanço!$A:$A,0),0)-HLOOKUP(K$1,Bilanço!$1:$151,MATCH(Çeyreklik!$A42,Bilanço!$A:$A,0),0)),"")</f>
        <v>0</v>
      </c>
      <c r="M42" s="2">
        <f>IFERROR(IF(MID(M$2,6,7)="3",HLOOKUP(M$1,Bilanço!$1:$151,MATCH(Çeyreklik!$A42,Bilanço!$A:$A,0),0),HLOOKUP(M$1,Bilanço!$1:$151,MATCH(Çeyreklik!$A42,Bilanço!$A:$A,0),0)-HLOOKUP(L$1,Bilanço!$1:$151,MATCH(Çeyreklik!$A42,Bilanço!$A:$A,0),0)),"")</f>
        <v>0</v>
      </c>
      <c r="N42" s="2">
        <f>IFERROR(IF(MID(N$2,6,7)="3",HLOOKUP(N$1,Bilanço!$1:$151,MATCH(Çeyreklik!$A42,Bilanço!$A:$A,0),0),HLOOKUP(N$1,Bilanço!$1:$151,MATCH(Çeyreklik!$A42,Bilanço!$A:$A,0),0)-HLOOKUP(M$1,Bilanço!$1:$151,MATCH(Çeyreklik!$A42,Bilanço!$A:$A,0),0)),"")</f>
        <v>0</v>
      </c>
      <c r="O42" s="2">
        <f>IFERROR(IF(MID(O$2,6,7)="3",HLOOKUP(O$1,Bilanço!$1:$151,MATCH(Çeyreklik!$A42,Bilanço!$A:$A,0),0),HLOOKUP(O$1,Bilanço!$1:$151,MATCH(Çeyreklik!$A42,Bilanço!$A:$A,0),0)-HLOOKUP(N$1,Bilanço!$1:$151,MATCH(Çeyreklik!$A42,Bilanço!$A:$A,0),0)),"")</f>
        <v>8</v>
      </c>
      <c r="P42" s="2">
        <f>IFERROR(IF(MID(P$2,6,7)="3",HLOOKUP(P$1,Bilanço!$1:$151,MATCH(Çeyreklik!$A42,Bilanço!$A:$A,0),0),HLOOKUP(P$1,Bilanço!$1:$151,MATCH(Çeyreklik!$A42,Bilanço!$A:$A,0),0)-HLOOKUP(O$1,Bilanço!$1:$151,MATCH(Çeyreklik!$A42,Bilanço!$A:$A,0),0)),"")</f>
        <v>5</v>
      </c>
      <c r="Q42" s="2">
        <f>IFERROR(IF(MID(Q$2,6,7)="3",HLOOKUP(Q$1,Bilanço!$1:$151,MATCH(Çeyreklik!$A42,Bilanço!$A:$A,0),0),HLOOKUP(Q$1,Bilanço!$1:$151,MATCH(Çeyreklik!$A42,Bilanço!$A:$A,0),0)-HLOOKUP(P$1,Bilanço!$1:$151,MATCH(Çeyreklik!$A42,Bilanço!$A:$A,0),0)),"")</f>
        <v>8</v>
      </c>
      <c r="R42" s="2">
        <f>IFERROR(IF(MID(R$2,6,7)="3",HLOOKUP(R$1,Bilanço!$1:$151,MATCH(Çeyreklik!$A42,Bilanço!$A:$A,0),0),HLOOKUP(R$1,Bilanço!$1:$151,MATCH(Çeyreklik!$A42,Bilanço!$A:$A,0),0)-HLOOKUP(Q$1,Bilanço!$1:$151,MATCH(Çeyreklik!$A42,Bilanço!$A:$A,0),0)),"")</f>
        <v>5</v>
      </c>
      <c r="S42" s="2">
        <f>IFERROR(IF(MID(S$2,6,7)="3",HLOOKUP(S$1,Bilanço!$1:$151,MATCH(Çeyreklik!$A42,Bilanço!$A:$A,0),0),HLOOKUP(S$1,Bilanço!$1:$151,MATCH(Çeyreklik!$A42,Bilanço!$A:$A,0),0)-HLOOKUP(R$1,Bilanço!$1:$151,MATCH(Çeyreklik!$A42,Bilanço!$A:$A,0),0)),"")</f>
        <v>3</v>
      </c>
      <c r="T42" s="2">
        <f>IFERROR(IF(MID(T$2,6,7)="3",HLOOKUP(T$1,Bilanço!$1:$151,MATCH(Çeyreklik!$A42,Bilanço!$A:$A,0),0),HLOOKUP(T$1,Bilanço!$1:$151,MATCH(Çeyreklik!$A42,Bilanço!$A:$A,0),0)-HLOOKUP(S$1,Bilanço!$1:$151,MATCH(Çeyreklik!$A42,Bilanço!$A:$A,0),0)),"")</f>
        <v>9</v>
      </c>
      <c r="U42" s="2">
        <f>IFERROR(IF(MID(U$2,6,7)="3",HLOOKUP(U$1,Bilanço!$1:$151,MATCH(Çeyreklik!$A42,Bilanço!$A:$A,0),0),HLOOKUP(U$1,Bilanço!$1:$151,MATCH(Çeyreklik!$A42,Bilanço!$A:$A,0),0)-HLOOKUP(T$1,Bilanço!$1:$151,MATCH(Çeyreklik!$A42,Bilanço!$A:$A,0),0)),"")</f>
        <v>7</v>
      </c>
      <c r="V42" s="2">
        <f>IFERROR(IF(MID(V$2,6,7)="3",HLOOKUP(V$1,Bilanço!$1:$151,MATCH(Çeyreklik!$A42,Bilanço!$A:$A,0),0),HLOOKUP(V$1,Bilanço!$1:$151,MATCH(Çeyreklik!$A42,Bilanço!$A:$A,0),0)-HLOOKUP(U$1,Bilanço!$1:$151,MATCH(Çeyreklik!$A42,Bilanço!$A:$A,0),0)),"")</f>
        <v>2</v>
      </c>
      <c r="W42" s="2">
        <f>IFERROR(IF(MID(W$2,6,7)="3",HLOOKUP(W$1,Bilanço!$1:$151,MATCH(Çeyreklik!$A42,Bilanço!$A:$A,0),0),HLOOKUP(W$1,Bilanço!$1:$151,MATCH(Çeyreklik!$A42,Bilanço!$A:$A,0),0)-HLOOKUP(V$1,Bilanço!$1:$151,MATCH(Çeyreklik!$A42,Bilanço!$A:$A,0),0)),"")</f>
        <v>3</v>
      </c>
    </row>
    <row r="43" spans="1:23" x14ac:dyDescent="0.25">
      <c r="A43" t="str">
        <f>Data!A114</f>
        <v>Sürdürülen Faaliyetlerden Hisse Başına Kazanç</v>
      </c>
      <c r="B43" s="2">
        <f>IFERROR(IF($B$2="2022/3",IF(MID(B$2,6,7)="3",HLOOKUP(B$1,Bilanço!$1:$151,MATCH(Çeyreklik!$A43,Bilanço!$A:$A,0),0),HLOOKUP(B$1,Bilanço!$1:$151,MATCH(Çeyreklik!$A43,Bilanço!$A:$A,0),0)-HLOOKUP(A$1,Bilanço!$1:$151,MATCH(Çeyreklik!$A43,Bilanço!$A:$A,0),0)),IF(MID(B$2,6,7)="3",HLOOKUP(B$1,Bilanço!$1:$151,MATCH(Çeyreklik!$A43,Bilanço!$A:$A,0),0),HLOOKUP(B$1,Bilanço!$1:$151,MATCH(Çeyreklik!$A43,Bilanço!$A:$A,0),0)-HLOOKUP(Bilanço!$B$1,Bilanço!$1:$151,MATCH(Çeyreklik!$A43,Bilanço!$A:$A,0),0))),"")</f>
        <v>0</v>
      </c>
      <c r="C43" s="2">
        <f>IFERROR(IF(MID(C$2,6,7)="3",HLOOKUP(C$1,Bilanço!$1:$151,MATCH(Çeyreklik!$A43,Bilanço!$A:$A,0),0),HLOOKUP(C$1,Bilanço!$1:$151,MATCH(Çeyreklik!$A43,Bilanço!$A:$A,0),0)-HLOOKUP(B$1,Bilanço!$1:$151,MATCH(Çeyreklik!$A43,Bilanço!$A:$A,0),0)),"")</f>
        <v>0</v>
      </c>
      <c r="D43" s="2">
        <f>IFERROR(IF(MID(D$2,6,7)="3",HLOOKUP(D$1,Bilanço!$1:$151,MATCH(Çeyreklik!$A43,Bilanço!$A:$A,0),0),HLOOKUP(D$1,Bilanço!$1:$151,MATCH(Çeyreklik!$A43,Bilanço!$A:$A,0),0)-HLOOKUP(C$1,Bilanço!$1:$151,MATCH(Çeyreklik!$A43,Bilanço!$A:$A,0),0)),"")</f>
        <v>0</v>
      </c>
      <c r="E43" s="2">
        <f>IFERROR(IF(MID(E$2,6,7)="3",HLOOKUP(E$1,Bilanço!$1:$151,MATCH(Çeyreklik!$A43,Bilanço!$A:$A,0),0),HLOOKUP(E$1,Bilanço!$1:$151,MATCH(Çeyreklik!$A43,Bilanço!$A:$A,0),0)-HLOOKUP(D$1,Bilanço!$1:$151,MATCH(Çeyreklik!$A43,Bilanço!$A:$A,0),0)),"")</f>
        <v>0</v>
      </c>
      <c r="F43" s="2">
        <f>IFERROR(IF(MID(F$2,6,7)="3",HLOOKUP(F$1,Bilanço!$1:$151,MATCH(Çeyreklik!$A43,Bilanço!$A:$A,0),0),HLOOKUP(F$1,Bilanço!$1:$151,MATCH(Çeyreklik!$A43,Bilanço!$A:$A,0),0)-HLOOKUP(E$1,Bilanço!$1:$151,MATCH(Çeyreklik!$A43,Bilanço!$A:$A,0),0)),"")</f>
        <v>0</v>
      </c>
      <c r="G43" s="2">
        <f>IFERROR(IF(MID(G$2,6,7)="3",HLOOKUP(G$1,Bilanço!$1:$151,MATCH(Çeyreklik!$A43,Bilanço!$A:$A,0),0),HLOOKUP(G$1,Bilanço!$1:$151,MATCH(Çeyreklik!$A43,Bilanço!$A:$A,0),0)-HLOOKUP(F$1,Bilanço!$1:$151,MATCH(Çeyreklik!$A43,Bilanço!$A:$A,0),0)),"")</f>
        <v>0</v>
      </c>
      <c r="H43" s="2">
        <f>IFERROR(IF(MID(H$2,6,7)="3",HLOOKUP(H$1,Bilanço!$1:$151,MATCH(Çeyreklik!$A43,Bilanço!$A:$A,0),0),HLOOKUP(H$1,Bilanço!$1:$151,MATCH(Çeyreklik!$A43,Bilanço!$A:$A,0),0)-HLOOKUP(G$1,Bilanço!$1:$151,MATCH(Çeyreklik!$A43,Bilanço!$A:$A,0),0)),"")</f>
        <v>0</v>
      </c>
      <c r="I43" s="2">
        <f>IFERROR(IF(MID(I$2,6,7)="3",HLOOKUP(I$1,Bilanço!$1:$151,MATCH(Çeyreklik!$A43,Bilanço!$A:$A,0),0),HLOOKUP(I$1,Bilanço!$1:$151,MATCH(Çeyreklik!$A43,Bilanço!$A:$A,0),0)-HLOOKUP(H$1,Bilanço!$1:$151,MATCH(Çeyreklik!$A43,Bilanço!$A:$A,0),0)),"")</f>
        <v>0</v>
      </c>
      <c r="J43" s="2">
        <f>IFERROR(IF(MID(J$2,6,7)="3",HLOOKUP(J$1,Bilanço!$1:$151,MATCH(Çeyreklik!$A43,Bilanço!$A:$A,0),0),HLOOKUP(J$1,Bilanço!$1:$151,MATCH(Çeyreklik!$A43,Bilanço!$A:$A,0),0)-HLOOKUP(I$1,Bilanço!$1:$151,MATCH(Çeyreklik!$A43,Bilanço!$A:$A,0),0)),"")</f>
        <v>0</v>
      </c>
      <c r="K43" s="2">
        <f>IFERROR(IF(MID(K$2,6,7)="3",HLOOKUP(K$1,Bilanço!$1:$151,MATCH(Çeyreklik!$A43,Bilanço!$A:$A,0),0),HLOOKUP(K$1,Bilanço!$1:$151,MATCH(Çeyreklik!$A43,Bilanço!$A:$A,0),0)-HLOOKUP(J$1,Bilanço!$1:$151,MATCH(Çeyreklik!$A43,Bilanço!$A:$A,0),0)),"")</f>
        <v>0</v>
      </c>
      <c r="L43" s="2">
        <f>IFERROR(IF(MID(L$2,6,7)="3",HLOOKUP(L$1,Bilanço!$1:$151,MATCH(Çeyreklik!$A43,Bilanço!$A:$A,0),0),HLOOKUP(L$1,Bilanço!$1:$151,MATCH(Çeyreklik!$A43,Bilanço!$A:$A,0),0)-HLOOKUP(K$1,Bilanço!$1:$151,MATCH(Çeyreklik!$A43,Bilanço!$A:$A,0),0)),"")</f>
        <v>0</v>
      </c>
      <c r="M43" s="2">
        <f>IFERROR(IF(MID(M$2,6,7)="3",HLOOKUP(M$1,Bilanço!$1:$151,MATCH(Çeyreklik!$A43,Bilanço!$A:$A,0),0),HLOOKUP(M$1,Bilanço!$1:$151,MATCH(Çeyreklik!$A43,Bilanço!$A:$A,0),0)-HLOOKUP(L$1,Bilanço!$1:$151,MATCH(Çeyreklik!$A43,Bilanço!$A:$A,0),0)),"")</f>
        <v>0</v>
      </c>
      <c r="N43" s="2">
        <f>IFERROR(IF(MID(N$2,6,7)="3",HLOOKUP(N$1,Bilanço!$1:$151,MATCH(Çeyreklik!$A43,Bilanço!$A:$A,0),0),HLOOKUP(N$1,Bilanço!$1:$151,MATCH(Çeyreklik!$A43,Bilanço!$A:$A,0),0)-HLOOKUP(M$1,Bilanço!$1:$151,MATCH(Çeyreklik!$A43,Bilanço!$A:$A,0),0)),"")</f>
        <v>0</v>
      </c>
      <c r="O43" s="2">
        <f>IFERROR(IF(MID(O$2,6,7)="3",HLOOKUP(O$1,Bilanço!$1:$151,MATCH(Çeyreklik!$A43,Bilanço!$A:$A,0),0),HLOOKUP(O$1,Bilanço!$1:$151,MATCH(Çeyreklik!$A43,Bilanço!$A:$A,0),0)-HLOOKUP(N$1,Bilanço!$1:$151,MATCH(Çeyreklik!$A43,Bilanço!$A:$A,0),0)),"")</f>
        <v>8</v>
      </c>
      <c r="P43" s="2">
        <f>IFERROR(IF(MID(P$2,6,7)="3",HLOOKUP(P$1,Bilanço!$1:$151,MATCH(Çeyreklik!$A43,Bilanço!$A:$A,0),0),HLOOKUP(P$1,Bilanço!$1:$151,MATCH(Çeyreklik!$A43,Bilanço!$A:$A,0),0)-HLOOKUP(O$1,Bilanço!$1:$151,MATCH(Çeyreklik!$A43,Bilanço!$A:$A,0),0)),"")</f>
        <v>5</v>
      </c>
      <c r="Q43" s="2">
        <f>IFERROR(IF(MID(Q$2,6,7)="3",HLOOKUP(Q$1,Bilanço!$1:$151,MATCH(Çeyreklik!$A43,Bilanço!$A:$A,0),0),HLOOKUP(Q$1,Bilanço!$1:$151,MATCH(Çeyreklik!$A43,Bilanço!$A:$A,0),0)-HLOOKUP(P$1,Bilanço!$1:$151,MATCH(Çeyreklik!$A43,Bilanço!$A:$A,0),0)),"")</f>
        <v>8</v>
      </c>
      <c r="R43" s="2">
        <f>IFERROR(IF(MID(R$2,6,7)="3",HLOOKUP(R$1,Bilanço!$1:$151,MATCH(Çeyreklik!$A43,Bilanço!$A:$A,0),0),HLOOKUP(R$1,Bilanço!$1:$151,MATCH(Çeyreklik!$A43,Bilanço!$A:$A,0),0)-HLOOKUP(Q$1,Bilanço!$1:$151,MATCH(Çeyreklik!$A43,Bilanço!$A:$A,0),0)),"")</f>
        <v>5</v>
      </c>
      <c r="S43" s="2">
        <f>IFERROR(IF(MID(S$2,6,7)="3",HLOOKUP(S$1,Bilanço!$1:$151,MATCH(Çeyreklik!$A43,Bilanço!$A:$A,0),0),HLOOKUP(S$1,Bilanço!$1:$151,MATCH(Çeyreklik!$A43,Bilanço!$A:$A,0),0)-HLOOKUP(R$1,Bilanço!$1:$151,MATCH(Çeyreklik!$A43,Bilanço!$A:$A,0),0)),"")</f>
        <v>3</v>
      </c>
      <c r="T43" s="2">
        <f>IFERROR(IF(MID(T$2,6,7)="3",HLOOKUP(T$1,Bilanço!$1:$151,MATCH(Çeyreklik!$A43,Bilanço!$A:$A,0),0),HLOOKUP(T$1,Bilanço!$1:$151,MATCH(Çeyreklik!$A43,Bilanço!$A:$A,0),0)-HLOOKUP(S$1,Bilanço!$1:$151,MATCH(Çeyreklik!$A43,Bilanço!$A:$A,0),0)),"")</f>
        <v>9</v>
      </c>
      <c r="U43" s="2">
        <f>IFERROR(IF(MID(U$2,6,7)="3",HLOOKUP(U$1,Bilanço!$1:$151,MATCH(Çeyreklik!$A43,Bilanço!$A:$A,0),0),HLOOKUP(U$1,Bilanço!$1:$151,MATCH(Çeyreklik!$A43,Bilanço!$A:$A,0),0)-HLOOKUP(T$1,Bilanço!$1:$151,MATCH(Çeyreklik!$A43,Bilanço!$A:$A,0),0)),"")</f>
        <v>7</v>
      </c>
      <c r="V43" s="2">
        <f>IFERROR(IF(MID(V$2,6,7)="3",HLOOKUP(V$1,Bilanço!$1:$151,MATCH(Çeyreklik!$A43,Bilanço!$A:$A,0),0),HLOOKUP(V$1,Bilanço!$1:$151,MATCH(Çeyreklik!$A43,Bilanço!$A:$A,0),0)-HLOOKUP(U$1,Bilanço!$1:$151,MATCH(Çeyreklik!$A43,Bilanço!$A:$A,0),0)),"")</f>
        <v>2</v>
      </c>
      <c r="W43" s="2">
        <f>IFERROR(IF(MID(W$2,6,7)="3",HLOOKUP(W$1,Bilanço!$1:$151,MATCH(Çeyreklik!$A43,Bilanço!$A:$A,0),0),HLOOKUP(W$1,Bilanço!$1:$151,MATCH(Çeyreklik!$A43,Bilanço!$A:$A,0),0)-HLOOKUP(V$1,Bilanço!$1:$151,MATCH(Çeyreklik!$A43,Bilanço!$A:$A,0),0)),"")</f>
        <v>3</v>
      </c>
    </row>
    <row r="44" spans="1:23" x14ac:dyDescent="0.25">
      <c r="A44" t="str">
        <f>Data!A115</f>
        <v>Sürdürülen Faaliyetlerden Seyreltilmiş Hisse Başına Kazanç</v>
      </c>
      <c r="B44" s="2">
        <f>IFERROR(IF($B$2="2022/3",IF(MID(B$2,6,7)="3",HLOOKUP(B$1,Bilanço!$1:$151,MATCH(Çeyreklik!$A44,Bilanço!$A:$A,0),0),HLOOKUP(B$1,Bilanço!$1:$151,MATCH(Çeyreklik!$A44,Bilanço!$A:$A,0),0)-HLOOKUP(A$1,Bilanço!$1:$151,MATCH(Çeyreklik!$A44,Bilanço!$A:$A,0),0)),IF(MID(B$2,6,7)="3",HLOOKUP(B$1,Bilanço!$1:$151,MATCH(Çeyreklik!$A44,Bilanço!$A:$A,0),0),HLOOKUP(B$1,Bilanço!$1:$151,MATCH(Çeyreklik!$A44,Bilanço!$A:$A,0),0)-HLOOKUP(Bilanço!$B$1,Bilanço!$1:$151,MATCH(Çeyreklik!$A44,Bilanço!$A:$A,0),0))),"")</f>
        <v>0</v>
      </c>
      <c r="C44" s="2">
        <f>IFERROR(IF(MID(C$2,6,7)="3",HLOOKUP(C$1,Bilanço!$1:$151,MATCH(Çeyreklik!$A44,Bilanço!$A:$A,0),0),HLOOKUP(C$1,Bilanço!$1:$151,MATCH(Çeyreklik!$A44,Bilanço!$A:$A,0),0)-HLOOKUP(B$1,Bilanço!$1:$151,MATCH(Çeyreklik!$A44,Bilanço!$A:$A,0),0)),"")</f>
        <v>0</v>
      </c>
      <c r="D44" s="2">
        <f>IFERROR(IF(MID(D$2,6,7)="3",HLOOKUP(D$1,Bilanço!$1:$151,MATCH(Çeyreklik!$A44,Bilanço!$A:$A,0),0),HLOOKUP(D$1,Bilanço!$1:$151,MATCH(Çeyreklik!$A44,Bilanço!$A:$A,0),0)-HLOOKUP(C$1,Bilanço!$1:$151,MATCH(Çeyreklik!$A44,Bilanço!$A:$A,0),0)),"")</f>
        <v>0</v>
      </c>
      <c r="E44" s="2">
        <f>IFERROR(IF(MID(E$2,6,7)="3",HLOOKUP(E$1,Bilanço!$1:$151,MATCH(Çeyreklik!$A44,Bilanço!$A:$A,0),0),HLOOKUP(E$1,Bilanço!$1:$151,MATCH(Çeyreklik!$A44,Bilanço!$A:$A,0),0)-HLOOKUP(D$1,Bilanço!$1:$151,MATCH(Çeyreklik!$A44,Bilanço!$A:$A,0),0)),"")</f>
        <v>0</v>
      </c>
      <c r="F44" s="2">
        <f>IFERROR(IF(MID(F$2,6,7)="3",HLOOKUP(F$1,Bilanço!$1:$151,MATCH(Çeyreklik!$A44,Bilanço!$A:$A,0),0),HLOOKUP(F$1,Bilanço!$1:$151,MATCH(Çeyreklik!$A44,Bilanço!$A:$A,0),0)-HLOOKUP(E$1,Bilanço!$1:$151,MATCH(Çeyreklik!$A44,Bilanço!$A:$A,0),0)),"")</f>
        <v>0</v>
      </c>
      <c r="G44" s="2">
        <f>IFERROR(IF(MID(G$2,6,7)="3",HLOOKUP(G$1,Bilanço!$1:$151,MATCH(Çeyreklik!$A44,Bilanço!$A:$A,0),0),HLOOKUP(G$1,Bilanço!$1:$151,MATCH(Çeyreklik!$A44,Bilanço!$A:$A,0),0)-HLOOKUP(F$1,Bilanço!$1:$151,MATCH(Çeyreklik!$A44,Bilanço!$A:$A,0),0)),"")</f>
        <v>0</v>
      </c>
      <c r="H44" s="2">
        <f>IFERROR(IF(MID(H$2,6,7)="3",HLOOKUP(H$1,Bilanço!$1:$151,MATCH(Çeyreklik!$A44,Bilanço!$A:$A,0),0),HLOOKUP(H$1,Bilanço!$1:$151,MATCH(Çeyreklik!$A44,Bilanço!$A:$A,0),0)-HLOOKUP(G$1,Bilanço!$1:$151,MATCH(Çeyreklik!$A44,Bilanço!$A:$A,0),0)),"")</f>
        <v>0</v>
      </c>
      <c r="I44" s="2">
        <f>IFERROR(IF(MID(I$2,6,7)="3",HLOOKUP(I$1,Bilanço!$1:$151,MATCH(Çeyreklik!$A44,Bilanço!$A:$A,0),0),HLOOKUP(I$1,Bilanço!$1:$151,MATCH(Çeyreklik!$A44,Bilanço!$A:$A,0),0)-HLOOKUP(H$1,Bilanço!$1:$151,MATCH(Çeyreklik!$A44,Bilanço!$A:$A,0),0)),"")</f>
        <v>0</v>
      </c>
      <c r="J44" s="2">
        <f>IFERROR(IF(MID(J$2,6,7)="3",HLOOKUP(J$1,Bilanço!$1:$151,MATCH(Çeyreklik!$A44,Bilanço!$A:$A,0),0),HLOOKUP(J$1,Bilanço!$1:$151,MATCH(Çeyreklik!$A44,Bilanço!$A:$A,0),0)-HLOOKUP(I$1,Bilanço!$1:$151,MATCH(Çeyreklik!$A44,Bilanço!$A:$A,0),0)),"")</f>
        <v>0</v>
      </c>
      <c r="K44" s="2">
        <f>IFERROR(IF(MID(K$2,6,7)="3",HLOOKUP(K$1,Bilanço!$1:$151,MATCH(Çeyreklik!$A44,Bilanço!$A:$A,0),0),HLOOKUP(K$1,Bilanço!$1:$151,MATCH(Çeyreklik!$A44,Bilanço!$A:$A,0),0)-HLOOKUP(J$1,Bilanço!$1:$151,MATCH(Çeyreklik!$A44,Bilanço!$A:$A,0),0)),"")</f>
        <v>0</v>
      </c>
      <c r="L44" s="2">
        <f>IFERROR(IF(MID(L$2,6,7)="3",HLOOKUP(L$1,Bilanço!$1:$151,MATCH(Çeyreklik!$A44,Bilanço!$A:$A,0),0),HLOOKUP(L$1,Bilanço!$1:$151,MATCH(Çeyreklik!$A44,Bilanço!$A:$A,0),0)-HLOOKUP(K$1,Bilanço!$1:$151,MATCH(Çeyreklik!$A44,Bilanço!$A:$A,0),0)),"")</f>
        <v>0</v>
      </c>
      <c r="M44" s="2">
        <f>IFERROR(IF(MID(M$2,6,7)="3",HLOOKUP(M$1,Bilanço!$1:$151,MATCH(Çeyreklik!$A44,Bilanço!$A:$A,0),0),HLOOKUP(M$1,Bilanço!$1:$151,MATCH(Çeyreklik!$A44,Bilanço!$A:$A,0),0)-HLOOKUP(L$1,Bilanço!$1:$151,MATCH(Çeyreklik!$A44,Bilanço!$A:$A,0),0)),"")</f>
        <v>0</v>
      </c>
      <c r="N44" s="2">
        <f>IFERROR(IF(MID(N$2,6,7)="3",HLOOKUP(N$1,Bilanço!$1:$151,MATCH(Çeyreklik!$A44,Bilanço!$A:$A,0),0),HLOOKUP(N$1,Bilanço!$1:$151,MATCH(Çeyreklik!$A44,Bilanço!$A:$A,0),0)-HLOOKUP(M$1,Bilanço!$1:$151,MATCH(Çeyreklik!$A44,Bilanço!$A:$A,0),0)),"")</f>
        <v>0</v>
      </c>
      <c r="O44" s="2">
        <f>IFERROR(IF(MID(O$2,6,7)="3",HLOOKUP(O$1,Bilanço!$1:$151,MATCH(Çeyreklik!$A44,Bilanço!$A:$A,0),0),HLOOKUP(O$1,Bilanço!$1:$151,MATCH(Çeyreklik!$A44,Bilanço!$A:$A,0),0)-HLOOKUP(N$1,Bilanço!$1:$151,MATCH(Çeyreklik!$A44,Bilanço!$A:$A,0),0)),"")</f>
        <v>8</v>
      </c>
      <c r="P44" s="2">
        <f>IFERROR(IF(MID(P$2,6,7)="3",HLOOKUP(P$1,Bilanço!$1:$151,MATCH(Çeyreklik!$A44,Bilanço!$A:$A,0),0),HLOOKUP(P$1,Bilanço!$1:$151,MATCH(Çeyreklik!$A44,Bilanço!$A:$A,0),0)-HLOOKUP(O$1,Bilanço!$1:$151,MATCH(Çeyreklik!$A44,Bilanço!$A:$A,0),0)),"")</f>
        <v>5</v>
      </c>
      <c r="Q44" s="2">
        <f>IFERROR(IF(MID(Q$2,6,7)="3",HLOOKUP(Q$1,Bilanço!$1:$151,MATCH(Çeyreklik!$A44,Bilanço!$A:$A,0),0),HLOOKUP(Q$1,Bilanço!$1:$151,MATCH(Çeyreklik!$A44,Bilanço!$A:$A,0),0)-HLOOKUP(P$1,Bilanço!$1:$151,MATCH(Çeyreklik!$A44,Bilanço!$A:$A,0),0)),"")</f>
        <v>8</v>
      </c>
      <c r="R44" s="2">
        <f>IFERROR(IF(MID(R$2,6,7)="3",HLOOKUP(R$1,Bilanço!$1:$151,MATCH(Çeyreklik!$A44,Bilanço!$A:$A,0),0),HLOOKUP(R$1,Bilanço!$1:$151,MATCH(Çeyreklik!$A44,Bilanço!$A:$A,0),0)-HLOOKUP(Q$1,Bilanço!$1:$151,MATCH(Çeyreklik!$A44,Bilanço!$A:$A,0),0)),"")</f>
        <v>5</v>
      </c>
      <c r="S44" s="2">
        <f>IFERROR(IF(MID(S$2,6,7)="3",HLOOKUP(S$1,Bilanço!$1:$151,MATCH(Çeyreklik!$A44,Bilanço!$A:$A,0),0),HLOOKUP(S$1,Bilanço!$1:$151,MATCH(Çeyreklik!$A44,Bilanço!$A:$A,0),0)-HLOOKUP(R$1,Bilanço!$1:$151,MATCH(Çeyreklik!$A44,Bilanço!$A:$A,0),0)),"")</f>
        <v>3</v>
      </c>
      <c r="T44" s="2">
        <f>IFERROR(IF(MID(T$2,6,7)="3",HLOOKUP(T$1,Bilanço!$1:$151,MATCH(Çeyreklik!$A44,Bilanço!$A:$A,0),0),HLOOKUP(T$1,Bilanço!$1:$151,MATCH(Çeyreklik!$A44,Bilanço!$A:$A,0),0)-HLOOKUP(S$1,Bilanço!$1:$151,MATCH(Çeyreklik!$A44,Bilanço!$A:$A,0),0)),"")</f>
        <v>9</v>
      </c>
      <c r="U44" s="2">
        <f>IFERROR(IF(MID(U$2,6,7)="3",HLOOKUP(U$1,Bilanço!$1:$151,MATCH(Çeyreklik!$A44,Bilanço!$A:$A,0),0),HLOOKUP(U$1,Bilanço!$1:$151,MATCH(Çeyreklik!$A44,Bilanço!$A:$A,0),0)-HLOOKUP(T$1,Bilanço!$1:$151,MATCH(Çeyreklik!$A44,Bilanço!$A:$A,0),0)),"")</f>
        <v>7</v>
      </c>
      <c r="V44" s="2">
        <f>IFERROR(IF(MID(V$2,6,7)="3",HLOOKUP(V$1,Bilanço!$1:$151,MATCH(Çeyreklik!$A44,Bilanço!$A:$A,0),0),HLOOKUP(V$1,Bilanço!$1:$151,MATCH(Çeyreklik!$A44,Bilanço!$A:$A,0),0)-HLOOKUP(U$1,Bilanço!$1:$151,MATCH(Çeyreklik!$A44,Bilanço!$A:$A,0),0)),"")</f>
        <v>2</v>
      </c>
      <c r="W44" s="2">
        <f>IFERROR(IF(MID(W$2,6,7)="3",HLOOKUP(W$1,Bilanço!$1:$151,MATCH(Çeyreklik!$A44,Bilanço!$A:$A,0),0),HLOOKUP(W$1,Bilanço!$1:$151,MATCH(Çeyreklik!$A44,Bilanço!$A:$A,0),0)-HLOOKUP(V$1,Bilanço!$1:$151,MATCH(Çeyreklik!$A44,Bilanço!$A:$A,0),0)),"")</f>
        <v>3</v>
      </c>
    </row>
    <row r="45" spans="1:23" x14ac:dyDescent="0.25">
      <c r="A45" t="str">
        <f>Data!A116</f>
        <v>Amortisman Giderleri</v>
      </c>
      <c r="B45" s="2">
        <f>IFERROR(IF($B$2="2022/3",IF(MID(B$2,6,7)="3",HLOOKUP(B$1,Bilanço!$1:$151,MATCH(Çeyreklik!$A45,Bilanço!$A:$A,0),0),HLOOKUP(B$1,Bilanço!$1:$151,MATCH(Çeyreklik!$A45,Bilanço!$A:$A,0),0)-HLOOKUP(A$1,Bilanço!$1:$151,MATCH(Çeyreklik!$A45,Bilanço!$A:$A,0),0)),IF(MID(B$2,6,7)="3",HLOOKUP(B$1,Bilanço!$1:$151,MATCH(Çeyreklik!$A45,Bilanço!$A:$A,0),0),HLOOKUP(B$1,Bilanço!$1:$151,MATCH(Çeyreklik!$A45,Bilanço!$A:$A,0),0)-HLOOKUP(Bilanço!$B$1,Bilanço!$1:$151,MATCH(Çeyreklik!$A45,Bilanço!$A:$A,0),0))),"")</f>
        <v>45770000</v>
      </c>
      <c r="C45" s="2">
        <f>IFERROR(IF(MID(C$2,6,7)="3",HLOOKUP(C$1,Bilanço!$1:$151,MATCH(Çeyreklik!$A45,Bilanço!$A:$A,0),0),HLOOKUP(C$1,Bilanço!$1:$151,MATCH(Çeyreklik!$A45,Bilanço!$A:$A,0),0)-HLOOKUP(B$1,Bilanço!$1:$151,MATCH(Çeyreklik!$A45,Bilanço!$A:$A,0),0)),"")</f>
        <v>56028000</v>
      </c>
      <c r="D45" s="2">
        <f>IFERROR(IF(MID(D$2,6,7)="3",HLOOKUP(D$1,Bilanço!$1:$151,MATCH(Çeyreklik!$A45,Bilanço!$A:$A,0),0),HLOOKUP(D$1,Bilanço!$1:$151,MATCH(Çeyreklik!$A45,Bilanço!$A:$A,0),0)-HLOOKUP(C$1,Bilanço!$1:$151,MATCH(Çeyreklik!$A45,Bilanço!$A:$A,0),0)),"")</f>
        <v>53481000</v>
      </c>
      <c r="E45" s="2">
        <f>IFERROR(IF(MID(E$2,6,7)="3",HLOOKUP(E$1,Bilanço!$1:$151,MATCH(Çeyreklik!$A45,Bilanço!$A:$A,0),0),HLOOKUP(E$1,Bilanço!$1:$151,MATCH(Çeyreklik!$A45,Bilanço!$A:$A,0),0)-HLOOKUP(D$1,Bilanço!$1:$151,MATCH(Çeyreklik!$A45,Bilanço!$A:$A,0),0)),"")</f>
        <v>52972000</v>
      </c>
      <c r="F45" s="2">
        <f>IFERROR(IF(MID(F$2,6,7)="3",HLOOKUP(F$1,Bilanço!$1:$151,MATCH(Çeyreklik!$A45,Bilanço!$A:$A,0),0),HLOOKUP(F$1,Bilanço!$1:$151,MATCH(Çeyreklik!$A45,Bilanço!$A:$A,0),0)-HLOOKUP(E$1,Bilanço!$1:$151,MATCH(Çeyreklik!$A45,Bilanço!$A:$A,0),0)),"")</f>
        <v>56138000</v>
      </c>
      <c r="G45" s="2">
        <f>IFERROR(IF(MID(G$2,6,7)="3",HLOOKUP(G$1,Bilanço!$1:$151,MATCH(Çeyreklik!$A45,Bilanço!$A:$A,0),0),HLOOKUP(G$1,Bilanço!$1:$151,MATCH(Çeyreklik!$A45,Bilanço!$A:$A,0),0)-HLOOKUP(F$1,Bilanço!$1:$151,MATCH(Çeyreklik!$A45,Bilanço!$A:$A,0),0)),"")</f>
        <v>59379000</v>
      </c>
      <c r="H45" s="2">
        <f>IFERROR(IF(MID(H$2,6,7)="3",HLOOKUP(H$1,Bilanço!$1:$151,MATCH(Çeyreklik!$A45,Bilanço!$A:$A,0),0),HLOOKUP(H$1,Bilanço!$1:$151,MATCH(Çeyreklik!$A45,Bilanço!$A:$A,0),0)-HLOOKUP(G$1,Bilanço!$1:$151,MATCH(Çeyreklik!$A45,Bilanço!$A:$A,0),0)),"")</f>
        <v>61520000</v>
      </c>
      <c r="I45" s="2">
        <f>IFERROR(IF(MID(I$2,6,7)="3",HLOOKUP(I$1,Bilanço!$1:$151,MATCH(Çeyreklik!$A45,Bilanço!$A:$A,0),0),HLOOKUP(I$1,Bilanço!$1:$151,MATCH(Çeyreklik!$A45,Bilanço!$A:$A,0),0)-HLOOKUP(H$1,Bilanço!$1:$151,MATCH(Çeyreklik!$A45,Bilanço!$A:$A,0),0)),"")</f>
        <v>78065000</v>
      </c>
      <c r="J45" s="2">
        <f>IFERROR(IF(MID(J$2,6,7)="3",HLOOKUP(J$1,Bilanço!$1:$151,MATCH(Çeyreklik!$A45,Bilanço!$A:$A,0),0),HLOOKUP(J$1,Bilanço!$1:$151,MATCH(Çeyreklik!$A45,Bilanço!$A:$A,0),0)-HLOOKUP(I$1,Bilanço!$1:$151,MATCH(Çeyreklik!$A45,Bilanço!$A:$A,0),0)),"")</f>
        <v>83489000</v>
      </c>
      <c r="K45" s="2">
        <f>IFERROR(IF(MID(K$2,6,7)="3",HLOOKUP(K$1,Bilanço!$1:$151,MATCH(Çeyreklik!$A45,Bilanço!$A:$A,0),0),HLOOKUP(K$1,Bilanço!$1:$151,MATCH(Çeyreklik!$A45,Bilanço!$A:$A,0),0)-HLOOKUP(J$1,Bilanço!$1:$151,MATCH(Çeyreklik!$A45,Bilanço!$A:$A,0),0)),"")</f>
        <v>88855000</v>
      </c>
      <c r="L45" s="2">
        <f>IFERROR(IF(MID(L$2,6,7)="3",HLOOKUP(L$1,Bilanço!$1:$151,MATCH(Çeyreklik!$A45,Bilanço!$A:$A,0),0),HLOOKUP(L$1,Bilanço!$1:$151,MATCH(Çeyreklik!$A45,Bilanço!$A:$A,0),0)-HLOOKUP(K$1,Bilanço!$1:$151,MATCH(Çeyreklik!$A45,Bilanço!$A:$A,0),0)),"")</f>
        <v>917358000</v>
      </c>
      <c r="M45" s="2">
        <f>IFERROR(IF(MID(M$2,6,7)="3",HLOOKUP(M$1,Bilanço!$1:$151,MATCH(Çeyreklik!$A45,Bilanço!$A:$A,0),0),HLOOKUP(M$1,Bilanço!$1:$151,MATCH(Çeyreklik!$A45,Bilanço!$A:$A,0),0)-HLOOKUP(L$1,Bilanço!$1:$151,MATCH(Çeyreklik!$A45,Bilanço!$A:$A,0),0)),"")</f>
        <v>360836000</v>
      </c>
      <c r="N45" s="2">
        <f>IFERROR(IF(MID(N$2,6,7)="3",HLOOKUP(N$1,Bilanço!$1:$151,MATCH(Çeyreklik!$A45,Bilanço!$A:$A,0),0),HLOOKUP(N$1,Bilanço!$1:$151,MATCH(Çeyreklik!$A45,Bilanço!$A:$A,0),0)-HLOOKUP(M$1,Bilanço!$1:$151,MATCH(Çeyreklik!$A45,Bilanço!$A:$A,0),0)),"")</f>
        <v>415680000</v>
      </c>
      <c r="O45" s="2">
        <f>IFERROR(IF(MID(O$2,6,7)="3",HLOOKUP(O$1,Bilanço!$1:$151,MATCH(Çeyreklik!$A45,Bilanço!$A:$A,0),0),HLOOKUP(O$1,Bilanço!$1:$151,MATCH(Çeyreklik!$A45,Bilanço!$A:$A,0),0)-HLOOKUP(N$1,Bilanço!$1:$151,MATCH(Çeyreklik!$A45,Bilanço!$A:$A,0),0)),"")</f>
        <v>453718000</v>
      </c>
      <c r="P45" s="2">
        <f>IFERROR(IF(MID(P$2,6,7)="3",HLOOKUP(P$1,Bilanço!$1:$151,MATCH(Çeyreklik!$A45,Bilanço!$A:$A,0),0),HLOOKUP(P$1,Bilanço!$1:$151,MATCH(Çeyreklik!$A45,Bilanço!$A:$A,0),0)-HLOOKUP(O$1,Bilanço!$1:$151,MATCH(Çeyreklik!$A45,Bilanço!$A:$A,0),0)),"")</f>
        <v>479367000</v>
      </c>
      <c r="Q45" s="2">
        <f>IFERROR(IF(MID(Q$2,6,7)="3",HLOOKUP(Q$1,Bilanço!$1:$151,MATCH(Çeyreklik!$A45,Bilanço!$A:$A,0),0),HLOOKUP(Q$1,Bilanço!$1:$151,MATCH(Çeyreklik!$A45,Bilanço!$A:$A,0),0)-HLOOKUP(P$1,Bilanço!$1:$151,MATCH(Çeyreklik!$A45,Bilanço!$A:$A,0),0)),"")</f>
        <v>520654000</v>
      </c>
      <c r="R45" s="2">
        <f>IFERROR(IF(MID(R$2,6,7)="3",HLOOKUP(R$1,Bilanço!$1:$151,MATCH(Çeyreklik!$A45,Bilanço!$A:$A,0),0),HLOOKUP(R$1,Bilanço!$1:$151,MATCH(Çeyreklik!$A45,Bilanço!$A:$A,0),0)-HLOOKUP(Q$1,Bilanço!$1:$151,MATCH(Çeyreklik!$A45,Bilanço!$A:$A,0),0)),"")</f>
        <v>526436000</v>
      </c>
      <c r="S45" s="2">
        <f>IFERROR(IF(MID(S$2,6,7)="3",HLOOKUP(S$1,Bilanço!$1:$151,MATCH(Çeyreklik!$A45,Bilanço!$A:$A,0),0),HLOOKUP(S$1,Bilanço!$1:$151,MATCH(Çeyreklik!$A45,Bilanço!$A:$A,0),0)-HLOOKUP(R$1,Bilanço!$1:$151,MATCH(Çeyreklik!$A45,Bilanço!$A:$A,0),0)),"")</f>
        <v>584790000</v>
      </c>
      <c r="T45" s="2">
        <f>IFERROR(IF(MID(T$2,6,7)="3",HLOOKUP(T$1,Bilanço!$1:$151,MATCH(Çeyreklik!$A45,Bilanço!$A:$A,0),0),HLOOKUP(T$1,Bilanço!$1:$151,MATCH(Çeyreklik!$A45,Bilanço!$A:$A,0),0)-HLOOKUP(S$1,Bilanço!$1:$151,MATCH(Çeyreklik!$A45,Bilanço!$A:$A,0),0)),"")</f>
        <v>651723688</v>
      </c>
      <c r="U45" s="2">
        <f>IFERROR(IF(MID(U$2,6,7)="3",HLOOKUP(U$1,Bilanço!$1:$151,MATCH(Çeyreklik!$A45,Bilanço!$A:$A,0),0),HLOOKUP(U$1,Bilanço!$1:$151,MATCH(Çeyreklik!$A45,Bilanço!$A:$A,0),0)-HLOOKUP(T$1,Bilanço!$1:$151,MATCH(Çeyreklik!$A45,Bilanço!$A:$A,0),0)),"")</f>
        <v>520989000</v>
      </c>
      <c r="V45" s="2">
        <f>IFERROR(IF(MID(V$2,6,7)="3",HLOOKUP(V$1,Bilanço!$1:$151,MATCH(Çeyreklik!$A45,Bilanço!$A:$A,0),0),HLOOKUP(V$1,Bilanço!$1:$151,MATCH(Çeyreklik!$A45,Bilanço!$A:$A,0),0)-HLOOKUP(U$1,Bilanço!$1:$151,MATCH(Çeyreklik!$A45,Bilanço!$A:$A,0),0)),"")</f>
        <v>545006000</v>
      </c>
      <c r="W45" s="2">
        <f>IFERROR(IF(MID(W$2,6,7)="3",HLOOKUP(W$1,Bilanço!$1:$151,MATCH(Çeyreklik!$A45,Bilanço!$A:$A,0),0),HLOOKUP(W$1,Bilanço!$1:$151,MATCH(Çeyreklik!$A45,Bilanço!$A:$A,0),0)-HLOOKUP(V$1,Bilanço!$1:$151,MATCH(Çeyreklik!$A45,Bilanço!$A:$A,0),0)),"")</f>
        <v>704989000</v>
      </c>
    </row>
    <row r="46" spans="1:23" x14ac:dyDescent="0.25">
      <c r="A46" t="str">
        <f>Data!A117</f>
        <v>Kıdem Tazminatı</v>
      </c>
      <c r="B46" s="2">
        <f>IFERROR(IF($B$2="2022/3",IF(MID(B$2,6,7)="3",HLOOKUP(B$1,Bilanço!$1:$151,MATCH(Çeyreklik!$A46,Bilanço!$A:$A,0),0),HLOOKUP(B$1,Bilanço!$1:$151,MATCH(Çeyreklik!$A46,Bilanço!$A:$A,0),0)-HLOOKUP(A$1,Bilanço!$1:$151,MATCH(Çeyreklik!$A46,Bilanço!$A:$A,0),0)),IF(MID(B$2,6,7)="3",HLOOKUP(B$1,Bilanço!$1:$151,MATCH(Çeyreklik!$A46,Bilanço!$A:$A,0),0),HLOOKUP(B$1,Bilanço!$1:$151,MATCH(Çeyreklik!$A46,Bilanço!$A:$A,0),0)-HLOOKUP(Bilanço!$B$1,Bilanço!$1:$151,MATCH(Çeyreklik!$A46,Bilanço!$A:$A,0),0))),"")</f>
        <v>12227000</v>
      </c>
      <c r="C46" s="2">
        <f>IFERROR(IF(MID(C$2,6,7)="3",HLOOKUP(C$1,Bilanço!$1:$151,MATCH(Çeyreklik!$A46,Bilanço!$A:$A,0),0),HLOOKUP(C$1,Bilanço!$1:$151,MATCH(Çeyreklik!$A46,Bilanço!$A:$A,0),0)-HLOOKUP(B$1,Bilanço!$1:$151,MATCH(Çeyreklik!$A46,Bilanço!$A:$A,0),0)),"")</f>
        <v>22698000</v>
      </c>
      <c r="D46" s="2">
        <f>IFERROR(IF(MID(D$2,6,7)="3",HLOOKUP(D$1,Bilanço!$1:$151,MATCH(Çeyreklik!$A46,Bilanço!$A:$A,0),0),HLOOKUP(D$1,Bilanço!$1:$151,MATCH(Çeyreklik!$A46,Bilanço!$A:$A,0),0)-HLOOKUP(C$1,Bilanço!$1:$151,MATCH(Çeyreklik!$A46,Bilanço!$A:$A,0),0)),"")</f>
        <v>-5880000</v>
      </c>
      <c r="E46" s="2">
        <f>IFERROR(IF(MID(E$2,6,7)="3",HLOOKUP(E$1,Bilanço!$1:$151,MATCH(Çeyreklik!$A46,Bilanço!$A:$A,0),0),HLOOKUP(E$1,Bilanço!$1:$151,MATCH(Çeyreklik!$A46,Bilanço!$A:$A,0),0)-HLOOKUP(D$1,Bilanço!$1:$151,MATCH(Çeyreklik!$A46,Bilanço!$A:$A,0),0)),"")</f>
        <v>23999000</v>
      </c>
      <c r="F46" s="2">
        <f>IFERROR(IF(MID(F$2,6,7)="3",HLOOKUP(F$1,Bilanço!$1:$151,MATCH(Çeyreklik!$A46,Bilanço!$A:$A,0),0),HLOOKUP(F$1,Bilanço!$1:$151,MATCH(Çeyreklik!$A46,Bilanço!$A:$A,0),0)-HLOOKUP(E$1,Bilanço!$1:$151,MATCH(Çeyreklik!$A46,Bilanço!$A:$A,0),0)),"")</f>
        <v>24550000</v>
      </c>
      <c r="G46" s="2">
        <f>IFERROR(IF(MID(G$2,6,7)="3",HLOOKUP(G$1,Bilanço!$1:$151,MATCH(Çeyreklik!$A46,Bilanço!$A:$A,0),0),HLOOKUP(G$1,Bilanço!$1:$151,MATCH(Çeyreklik!$A46,Bilanço!$A:$A,0),0)-HLOOKUP(F$1,Bilanço!$1:$151,MATCH(Çeyreklik!$A46,Bilanço!$A:$A,0),0)),"")</f>
        <v>21286000</v>
      </c>
      <c r="H46" s="2">
        <f>IFERROR(IF(MID(H$2,6,7)="3",HLOOKUP(H$1,Bilanço!$1:$151,MATCH(Çeyreklik!$A46,Bilanço!$A:$A,0),0),HLOOKUP(H$1,Bilanço!$1:$151,MATCH(Çeyreklik!$A46,Bilanço!$A:$A,0),0)-HLOOKUP(G$1,Bilanço!$1:$151,MATCH(Çeyreklik!$A46,Bilanço!$A:$A,0),0)),"")</f>
        <v>32433000</v>
      </c>
      <c r="I46" s="2">
        <f>IFERROR(IF(MID(I$2,6,7)="3",HLOOKUP(I$1,Bilanço!$1:$151,MATCH(Çeyreklik!$A46,Bilanço!$A:$A,0),0),HLOOKUP(I$1,Bilanço!$1:$151,MATCH(Çeyreklik!$A46,Bilanço!$A:$A,0),0)-HLOOKUP(H$1,Bilanço!$1:$151,MATCH(Çeyreklik!$A46,Bilanço!$A:$A,0),0)),"")</f>
        <v>62079000</v>
      </c>
      <c r="J46" s="2">
        <f>IFERROR(IF(MID(J$2,6,7)="3",HLOOKUP(J$1,Bilanço!$1:$151,MATCH(Çeyreklik!$A46,Bilanço!$A:$A,0),0),HLOOKUP(J$1,Bilanço!$1:$151,MATCH(Çeyreklik!$A46,Bilanço!$A:$A,0),0)-HLOOKUP(I$1,Bilanço!$1:$151,MATCH(Çeyreklik!$A46,Bilanço!$A:$A,0),0)),"")</f>
        <v>-62079000</v>
      </c>
      <c r="K46" s="2">
        <f>IFERROR(IF(MID(K$2,6,7)="3",HLOOKUP(K$1,Bilanço!$1:$151,MATCH(Çeyreklik!$A46,Bilanço!$A:$A,0),0),HLOOKUP(K$1,Bilanço!$1:$151,MATCH(Çeyreklik!$A46,Bilanço!$A:$A,0),0)-HLOOKUP(J$1,Bilanço!$1:$151,MATCH(Çeyreklik!$A46,Bilanço!$A:$A,0),0)),"")</f>
        <v>224262000</v>
      </c>
      <c r="L46" s="2">
        <f>IFERROR(IF(MID(L$2,6,7)="3",HLOOKUP(L$1,Bilanço!$1:$151,MATCH(Çeyreklik!$A46,Bilanço!$A:$A,0),0),HLOOKUP(L$1,Bilanço!$1:$151,MATCH(Çeyreklik!$A46,Bilanço!$A:$A,0),0)-HLOOKUP(K$1,Bilanço!$1:$151,MATCH(Çeyreklik!$A46,Bilanço!$A:$A,0),0)),"")</f>
        <v>-59634000</v>
      </c>
      <c r="M46" s="2">
        <f>IFERROR(IF(MID(M$2,6,7)="3",HLOOKUP(M$1,Bilanço!$1:$151,MATCH(Çeyreklik!$A46,Bilanço!$A:$A,0),0),HLOOKUP(M$1,Bilanço!$1:$151,MATCH(Çeyreklik!$A46,Bilanço!$A:$A,0),0)-HLOOKUP(L$1,Bilanço!$1:$151,MATCH(Çeyreklik!$A46,Bilanço!$A:$A,0),0)),"")</f>
        <v>61995000</v>
      </c>
      <c r="N46" s="2">
        <f>IFERROR(IF(MID(N$2,6,7)="3",HLOOKUP(N$1,Bilanço!$1:$151,MATCH(Çeyreklik!$A46,Bilanço!$A:$A,0),0),HLOOKUP(N$1,Bilanço!$1:$151,MATCH(Çeyreklik!$A46,Bilanço!$A:$A,0),0)-HLOOKUP(M$1,Bilanço!$1:$151,MATCH(Çeyreklik!$A46,Bilanço!$A:$A,0),0)),"")</f>
        <v>129751000</v>
      </c>
      <c r="O46" s="2">
        <f>IFERROR(IF(MID(O$2,6,7)="3",HLOOKUP(O$1,Bilanço!$1:$151,MATCH(Çeyreklik!$A46,Bilanço!$A:$A,0),0),HLOOKUP(O$1,Bilanço!$1:$151,MATCH(Çeyreklik!$A46,Bilanço!$A:$A,0),0)-HLOOKUP(N$1,Bilanço!$1:$151,MATCH(Çeyreklik!$A46,Bilanço!$A:$A,0),0)),"")</f>
        <v>119865000</v>
      </c>
      <c r="P46" s="2">
        <f>IFERROR(IF(MID(P$2,6,7)="3",HLOOKUP(P$1,Bilanço!$1:$151,MATCH(Çeyreklik!$A46,Bilanço!$A:$A,0),0),HLOOKUP(P$1,Bilanço!$1:$151,MATCH(Çeyreklik!$A46,Bilanço!$A:$A,0),0)-HLOOKUP(O$1,Bilanço!$1:$151,MATCH(Çeyreklik!$A46,Bilanço!$A:$A,0),0)),"")</f>
        <v>-89750000</v>
      </c>
      <c r="Q46" s="2">
        <f>IFERROR(IF(MID(Q$2,6,7)="3",HLOOKUP(Q$1,Bilanço!$1:$151,MATCH(Çeyreklik!$A46,Bilanço!$A:$A,0),0),HLOOKUP(Q$1,Bilanço!$1:$151,MATCH(Çeyreklik!$A46,Bilanço!$A:$A,0),0)-HLOOKUP(P$1,Bilanço!$1:$151,MATCH(Çeyreklik!$A46,Bilanço!$A:$A,0),0)),"")</f>
        <v>172689000</v>
      </c>
      <c r="R46" s="2">
        <f>IFERROR(IF(MID(R$2,6,7)="3",HLOOKUP(R$1,Bilanço!$1:$151,MATCH(Çeyreklik!$A46,Bilanço!$A:$A,0),0),HLOOKUP(R$1,Bilanço!$1:$151,MATCH(Çeyreklik!$A46,Bilanço!$A:$A,0),0)-HLOOKUP(Q$1,Bilanço!$1:$151,MATCH(Çeyreklik!$A46,Bilanço!$A:$A,0),0)),"")</f>
        <v>128630000</v>
      </c>
      <c r="S46" s="2">
        <f>IFERROR(IF(MID(S$2,6,7)="3",HLOOKUP(S$1,Bilanço!$1:$151,MATCH(Çeyreklik!$A46,Bilanço!$A:$A,0),0),HLOOKUP(S$1,Bilanço!$1:$151,MATCH(Çeyreklik!$A46,Bilanço!$A:$A,0),0)-HLOOKUP(R$1,Bilanço!$1:$151,MATCH(Çeyreklik!$A46,Bilanço!$A:$A,0),0)),"")</f>
        <v>131529000</v>
      </c>
      <c r="T46" s="2">
        <f>IFERROR(IF(MID(T$2,6,7)="3",HLOOKUP(T$1,Bilanço!$1:$151,MATCH(Çeyreklik!$A46,Bilanço!$A:$A,0),0),HLOOKUP(T$1,Bilanço!$1:$151,MATCH(Çeyreklik!$A46,Bilanço!$A:$A,0),0)-HLOOKUP(S$1,Bilanço!$1:$151,MATCH(Çeyreklik!$A46,Bilanço!$A:$A,0),0)),"")</f>
        <v>-197894550</v>
      </c>
      <c r="U46" s="2">
        <f>IFERROR(IF(MID(U$2,6,7)="3",HLOOKUP(U$1,Bilanço!$1:$151,MATCH(Çeyreklik!$A46,Bilanço!$A:$A,0),0),HLOOKUP(U$1,Bilanço!$1:$151,MATCH(Çeyreklik!$A46,Bilanço!$A:$A,0),0)-HLOOKUP(T$1,Bilanço!$1:$151,MATCH(Çeyreklik!$A46,Bilanço!$A:$A,0),0)),"")</f>
        <v>168023000</v>
      </c>
      <c r="V46" s="2">
        <f>IFERROR(IF(MID(V$2,6,7)="3",HLOOKUP(V$1,Bilanço!$1:$151,MATCH(Çeyreklik!$A46,Bilanço!$A:$A,0),0),HLOOKUP(V$1,Bilanço!$1:$151,MATCH(Çeyreklik!$A46,Bilanço!$A:$A,0),0)-HLOOKUP(U$1,Bilanço!$1:$151,MATCH(Çeyreklik!$A46,Bilanço!$A:$A,0),0)),"")</f>
        <v>175641000</v>
      </c>
      <c r="W46" s="2">
        <f>IFERROR(IF(MID(W$2,6,7)="3",HLOOKUP(W$1,Bilanço!$1:$151,MATCH(Çeyreklik!$A46,Bilanço!$A:$A,0),0),HLOOKUP(W$1,Bilanço!$1:$151,MATCH(Çeyreklik!$A46,Bilanço!$A:$A,0),0)-HLOOKUP(V$1,Bilanço!$1:$151,MATCH(Çeyreklik!$A46,Bilanço!$A:$A,0),0)),"")</f>
        <v>172560000</v>
      </c>
    </row>
    <row r="47" spans="1:23" x14ac:dyDescent="0.25">
      <c r="A47" t="str">
        <f>Data!A118</f>
        <v>Finansman Giderleri</v>
      </c>
      <c r="B47" s="2">
        <f>IFERROR(IF($B$2="2022/3",IF(MID(B$2,6,7)="3",HLOOKUP(B$1,Bilanço!$1:$151,MATCH(Çeyreklik!$A47,Bilanço!$A:$A,0),0),HLOOKUP(B$1,Bilanço!$1:$151,MATCH(Çeyreklik!$A47,Bilanço!$A:$A,0),0)-HLOOKUP(A$1,Bilanço!$1:$151,MATCH(Çeyreklik!$A47,Bilanço!$A:$A,0),0)),IF(MID(B$2,6,7)="3",HLOOKUP(B$1,Bilanço!$1:$151,MATCH(Çeyreklik!$A47,Bilanço!$A:$A,0),0),HLOOKUP(B$1,Bilanço!$1:$151,MATCH(Çeyreklik!$A47,Bilanço!$A:$A,0),0)-HLOOKUP(Bilanço!$B$1,Bilanço!$1:$151,MATCH(Çeyreklik!$A47,Bilanço!$A:$A,0),0))),"")</f>
        <v>-592053000</v>
      </c>
      <c r="C47" s="2">
        <f>IFERROR(IF(MID(C$2,6,7)="3",HLOOKUP(C$1,Bilanço!$1:$151,MATCH(Çeyreklik!$A47,Bilanço!$A:$A,0),0),HLOOKUP(C$1,Bilanço!$1:$151,MATCH(Çeyreklik!$A47,Bilanço!$A:$A,0),0)-HLOOKUP(B$1,Bilanço!$1:$151,MATCH(Çeyreklik!$A47,Bilanço!$A:$A,0),0)),"")</f>
        <v>-1617634000</v>
      </c>
      <c r="D47" s="2">
        <f>IFERROR(IF(MID(D$2,6,7)="3",HLOOKUP(D$1,Bilanço!$1:$151,MATCH(Çeyreklik!$A47,Bilanço!$A:$A,0),0),HLOOKUP(D$1,Bilanço!$1:$151,MATCH(Çeyreklik!$A47,Bilanço!$A:$A,0),0)-HLOOKUP(C$1,Bilanço!$1:$151,MATCH(Çeyreklik!$A47,Bilanço!$A:$A,0),0)),"")</f>
        <v>67120000</v>
      </c>
      <c r="E47" s="2">
        <f>IFERROR(IF(MID(E$2,6,7)="3",HLOOKUP(E$1,Bilanço!$1:$151,MATCH(Çeyreklik!$A47,Bilanço!$A:$A,0),0),HLOOKUP(E$1,Bilanço!$1:$151,MATCH(Çeyreklik!$A47,Bilanço!$A:$A,0),0)-HLOOKUP(D$1,Bilanço!$1:$151,MATCH(Çeyreklik!$A47,Bilanço!$A:$A,0),0)),"")</f>
        <v>-1387968000</v>
      </c>
      <c r="F47" s="2">
        <f>IFERROR(IF(MID(F$2,6,7)="3",HLOOKUP(F$1,Bilanço!$1:$151,MATCH(Çeyreklik!$A47,Bilanço!$A:$A,0),0),HLOOKUP(F$1,Bilanço!$1:$151,MATCH(Çeyreklik!$A47,Bilanço!$A:$A,0),0)-HLOOKUP(E$1,Bilanço!$1:$151,MATCH(Çeyreklik!$A47,Bilanço!$A:$A,0),0)),"")</f>
        <v>-795490000</v>
      </c>
      <c r="G47" s="2">
        <f>IFERROR(IF(MID(G$2,6,7)="3",HLOOKUP(G$1,Bilanço!$1:$151,MATCH(Çeyreklik!$A47,Bilanço!$A:$A,0),0),HLOOKUP(G$1,Bilanço!$1:$151,MATCH(Çeyreklik!$A47,Bilanço!$A:$A,0),0)-HLOOKUP(F$1,Bilanço!$1:$151,MATCH(Çeyreklik!$A47,Bilanço!$A:$A,0),0)),"")</f>
        <v>-737170000</v>
      </c>
      <c r="H47" s="2">
        <f>IFERROR(IF(MID(H$2,6,7)="3",HLOOKUP(H$1,Bilanço!$1:$151,MATCH(Çeyreklik!$A47,Bilanço!$A:$A,0),0),HLOOKUP(H$1,Bilanço!$1:$151,MATCH(Çeyreklik!$A47,Bilanço!$A:$A,0),0)-HLOOKUP(G$1,Bilanço!$1:$151,MATCH(Çeyreklik!$A47,Bilanço!$A:$A,0),0)),"")</f>
        <v>-5989745000</v>
      </c>
      <c r="I47" s="2">
        <f>IFERROR(IF(MID(I$2,6,7)="3",HLOOKUP(I$1,Bilanço!$1:$151,MATCH(Çeyreklik!$A47,Bilanço!$A:$A,0),0),HLOOKUP(I$1,Bilanço!$1:$151,MATCH(Çeyreklik!$A47,Bilanço!$A:$A,0),0)-HLOOKUP(H$1,Bilanço!$1:$151,MATCH(Çeyreklik!$A47,Bilanço!$A:$A,0),0)),"")</f>
        <v>-2025085000</v>
      </c>
      <c r="J47" s="2">
        <f>IFERROR(IF(MID(J$2,6,7)="3",HLOOKUP(J$1,Bilanço!$1:$151,MATCH(Çeyreklik!$A47,Bilanço!$A:$A,0),0),HLOOKUP(J$1,Bilanço!$1:$151,MATCH(Çeyreklik!$A47,Bilanço!$A:$A,0),0)-HLOOKUP(I$1,Bilanço!$1:$151,MATCH(Çeyreklik!$A47,Bilanço!$A:$A,0),0)),"")</f>
        <v>-2412951000</v>
      </c>
      <c r="K47" s="2">
        <f>IFERROR(IF(MID(K$2,6,7)="3",HLOOKUP(K$1,Bilanço!$1:$151,MATCH(Çeyreklik!$A47,Bilanço!$A:$A,0),0),HLOOKUP(K$1,Bilanço!$1:$151,MATCH(Çeyreklik!$A47,Bilanço!$A:$A,0),0)-HLOOKUP(J$1,Bilanço!$1:$151,MATCH(Çeyreklik!$A47,Bilanço!$A:$A,0),0)),"")</f>
        <v>-2581142000</v>
      </c>
      <c r="L47" s="2">
        <f>IFERROR(IF(MID(L$2,6,7)="3",HLOOKUP(L$1,Bilanço!$1:$151,MATCH(Çeyreklik!$A47,Bilanço!$A:$A,0),0),HLOOKUP(L$1,Bilanço!$1:$151,MATCH(Çeyreklik!$A47,Bilanço!$A:$A,0),0)-HLOOKUP(K$1,Bilanço!$1:$151,MATCH(Çeyreklik!$A47,Bilanço!$A:$A,0),0)),"")</f>
        <v>-3569607000</v>
      </c>
      <c r="M47" s="2">
        <f>IFERROR(IF(MID(M$2,6,7)="3",HLOOKUP(M$1,Bilanço!$1:$151,MATCH(Çeyreklik!$A47,Bilanço!$A:$A,0),0),HLOOKUP(M$1,Bilanço!$1:$151,MATCH(Çeyreklik!$A47,Bilanço!$A:$A,0),0)-HLOOKUP(L$1,Bilanço!$1:$151,MATCH(Çeyreklik!$A47,Bilanço!$A:$A,0),0)),"")</f>
        <v>-1180678000</v>
      </c>
      <c r="N47" s="2">
        <f>IFERROR(IF(MID(N$2,6,7)="3",HLOOKUP(N$1,Bilanço!$1:$151,MATCH(Çeyreklik!$A47,Bilanço!$A:$A,0),0),HLOOKUP(N$1,Bilanço!$1:$151,MATCH(Çeyreklik!$A47,Bilanço!$A:$A,0),0)-HLOOKUP(M$1,Bilanço!$1:$151,MATCH(Çeyreklik!$A47,Bilanço!$A:$A,0),0)),"")</f>
        <v>-13430936000</v>
      </c>
      <c r="O47" s="2">
        <f>IFERROR(IF(MID(O$2,6,7)="3",HLOOKUP(O$1,Bilanço!$1:$151,MATCH(Çeyreklik!$A47,Bilanço!$A:$A,0),0),HLOOKUP(O$1,Bilanço!$1:$151,MATCH(Çeyreklik!$A47,Bilanço!$A:$A,0),0)-HLOOKUP(N$1,Bilanço!$1:$151,MATCH(Çeyreklik!$A47,Bilanço!$A:$A,0),0)),"")</f>
        <v>351131000</v>
      </c>
      <c r="P47" s="2">
        <f>IFERROR(IF(MID(P$2,6,7)="3",HLOOKUP(P$1,Bilanço!$1:$151,MATCH(Çeyreklik!$A47,Bilanço!$A:$A,0),0),HLOOKUP(P$1,Bilanço!$1:$151,MATCH(Çeyreklik!$A47,Bilanço!$A:$A,0),0)-HLOOKUP(O$1,Bilanço!$1:$151,MATCH(Çeyreklik!$A47,Bilanço!$A:$A,0),0)),"")</f>
        <v>-5575669000</v>
      </c>
      <c r="Q47" s="2">
        <f>IFERROR(IF(MID(Q$2,6,7)="3",HLOOKUP(Q$1,Bilanço!$1:$151,MATCH(Çeyreklik!$A47,Bilanço!$A:$A,0),0),HLOOKUP(Q$1,Bilanço!$1:$151,MATCH(Çeyreklik!$A47,Bilanço!$A:$A,0),0)-HLOOKUP(P$1,Bilanço!$1:$151,MATCH(Çeyreklik!$A47,Bilanço!$A:$A,0),0)),"")</f>
        <v>-2622827000</v>
      </c>
      <c r="R47" s="2">
        <f>IFERROR(IF(MID(R$2,6,7)="3",HLOOKUP(R$1,Bilanço!$1:$151,MATCH(Çeyreklik!$A47,Bilanço!$A:$A,0),0),HLOOKUP(R$1,Bilanço!$1:$151,MATCH(Çeyreklik!$A47,Bilanço!$A:$A,0),0)-HLOOKUP(Q$1,Bilanço!$1:$151,MATCH(Çeyreklik!$A47,Bilanço!$A:$A,0),0)),"")</f>
        <v>-2178370000</v>
      </c>
      <c r="S47" s="2">
        <f>IFERROR(IF(MID(S$2,6,7)="3",HLOOKUP(S$1,Bilanço!$1:$151,MATCH(Çeyreklik!$A47,Bilanço!$A:$A,0),0),HLOOKUP(S$1,Bilanço!$1:$151,MATCH(Çeyreklik!$A47,Bilanço!$A:$A,0),0)-HLOOKUP(R$1,Bilanço!$1:$151,MATCH(Çeyreklik!$A47,Bilanço!$A:$A,0),0)),"")</f>
        <v>-4615632000</v>
      </c>
      <c r="T47" s="2">
        <f>IFERROR(IF(MID(T$2,6,7)="3",HLOOKUP(T$1,Bilanço!$1:$151,MATCH(Çeyreklik!$A47,Bilanço!$A:$A,0),0),HLOOKUP(T$1,Bilanço!$1:$151,MATCH(Çeyreklik!$A47,Bilanço!$A:$A,0),0)-HLOOKUP(S$1,Bilanço!$1:$151,MATCH(Çeyreklik!$A47,Bilanço!$A:$A,0),0)),"")</f>
        <v>-2396810664</v>
      </c>
      <c r="U47" s="2">
        <f>IFERROR(IF(MID(U$2,6,7)="3",HLOOKUP(U$1,Bilanço!$1:$151,MATCH(Çeyreklik!$A47,Bilanço!$A:$A,0),0),HLOOKUP(U$1,Bilanço!$1:$151,MATCH(Çeyreklik!$A47,Bilanço!$A:$A,0),0)-HLOOKUP(T$1,Bilanço!$1:$151,MATCH(Çeyreklik!$A47,Bilanço!$A:$A,0),0)),"")</f>
        <v>-4732062000</v>
      </c>
      <c r="V47" s="2">
        <f>IFERROR(IF(MID(V$2,6,7)="3",HLOOKUP(V$1,Bilanço!$1:$151,MATCH(Çeyreklik!$A47,Bilanço!$A:$A,0),0),HLOOKUP(V$1,Bilanço!$1:$151,MATCH(Çeyreklik!$A47,Bilanço!$A:$A,0),0)-HLOOKUP(U$1,Bilanço!$1:$151,MATCH(Çeyreklik!$A47,Bilanço!$A:$A,0),0)),"")</f>
        <v>-5339132000</v>
      </c>
      <c r="W47" s="2">
        <f>IFERROR(IF(MID(W$2,6,7)="3",HLOOKUP(W$1,Bilanço!$1:$151,MATCH(Çeyreklik!$A47,Bilanço!$A:$A,0),0),HLOOKUP(W$1,Bilanço!$1:$151,MATCH(Çeyreklik!$A47,Bilanço!$A:$A,0),0)-HLOOKUP(V$1,Bilanço!$1:$151,MATCH(Çeyreklik!$A47,Bilanço!$A:$A,0),0)),"")</f>
        <v>-5530895000</v>
      </c>
    </row>
    <row r="48" spans="1:23" x14ac:dyDescent="0.25">
      <c r="A48" t="str">
        <f>Data!A119</f>
        <v>Yurtiçi Satışlar</v>
      </c>
      <c r="B48" s="2">
        <f>IFERROR(IF($B$2="2022/3",IF(MID(B$2,6,7)="3",HLOOKUP(B$1,Bilanço!$1:$151,MATCH(Çeyreklik!$A48,Bilanço!$A:$A,0),0),HLOOKUP(B$1,Bilanço!$1:$151,MATCH(Çeyreklik!$A48,Bilanço!$A:$A,0),0)-HLOOKUP(A$1,Bilanço!$1:$151,MATCH(Çeyreklik!$A48,Bilanço!$A:$A,0),0)),IF(MID(B$2,6,7)="3",HLOOKUP(B$1,Bilanço!$1:$151,MATCH(Çeyreklik!$A48,Bilanço!$A:$A,0),0),HLOOKUP(B$1,Bilanço!$1:$151,MATCH(Çeyreklik!$A48,Bilanço!$A:$A,0),0)-HLOOKUP(Bilanço!$B$1,Bilanço!$1:$151,MATCH(Çeyreklik!$A48,Bilanço!$A:$A,0),0))),"")</f>
        <v>2284289000</v>
      </c>
      <c r="C48" s="2">
        <f>IFERROR(IF(MID(C$2,6,7)="3",HLOOKUP(C$1,Bilanço!$1:$151,MATCH(Çeyreklik!$A48,Bilanço!$A:$A,0),0),HLOOKUP(C$1,Bilanço!$1:$151,MATCH(Çeyreklik!$A48,Bilanço!$A:$A,0),0)-HLOOKUP(B$1,Bilanço!$1:$151,MATCH(Çeyreklik!$A48,Bilanço!$A:$A,0),0)),"")</f>
        <v>2565288000</v>
      </c>
      <c r="D48" s="2">
        <f>IFERROR(IF(MID(D$2,6,7)="3",HLOOKUP(D$1,Bilanço!$1:$151,MATCH(Çeyreklik!$A48,Bilanço!$A:$A,0),0),HLOOKUP(D$1,Bilanço!$1:$151,MATCH(Çeyreklik!$A48,Bilanço!$A:$A,0),0)-HLOOKUP(C$1,Bilanço!$1:$151,MATCH(Çeyreklik!$A48,Bilanço!$A:$A,0),0)),"")</f>
        <v>2952977000</v>
      </c>
      <c r="E48" s="2">
        <f>IFERROR(IF(MID(E$2,6,7)="3",HLOOKUP(E$1,Bilanço!$1:$151,MATCH(Çeyreklik!$A48,Bilanço!$A:$A,0),0),HLOOKUP(E$1,Bilanço!$1:$151,MATCH(Çeyreklik!$A48,Bilanço!$A:$A,0),0)-HLOOKUP(D$1,Bilanço!$1:$151,MATCH(Çeyreklik!$A48,Bilanço!$A:$A,0),0)),"")</f>
        <v>3099251000</v>
      </c>
      <c r="F48" s="2">
        <f>IFERROR(IF(MID(F$2,6,7)="3",HLOOKUP(F$1,Bilanço!$1:$151,MATCH(Çeyreklik!$A48,Bilanço!$A:$A,0),0),HLOOKUP(F$1,Bilanço!$1:$151,MATCH(Çeyreklik!$A48,Bilanço!$A:$A,0),0)-HLOOKUP(E$1,Bilanço!$1:$151,MATCH(Çeyreklik!$A48,Bilanço!$A:$A,0),0)),"")</f>
        <v>2810081000</v>
      </c>
      <c r="G48" s="2">
        <f>IFERROR(IF(MID(G$2,6,7)="3",HLOOKUP(G$1,Bilanço!$1:$151,MATCH(Çeyreklik!$A48,Bilanço!$A:$A,0),0),HLOOKUP(G$1,Bilanço!$1:$151,MATCH(Çeyreklik!$A48,Bilanço!$A:$A,0),0)-HLOOKUP(F$1,Bilanço!$1:$151,MATCH(Çeyreklik!$A48,Bilanço!$A:$A,0),0)),"")</f>
        <v>3247036000</v>
      </c>
      <c r="H48" s="2">
        <f>IFERROR(IF(MID(H$2,6,7)="3",HLOOKUP(H$1,Bilanço!$1:$151,MATCH(Çeyreklik!$A48,Bilanço!$A:$A,0),0),HLOOKUP(H$1,Bilanço!$1:$151,MATCH(Çeyreklik!$A48,Bilanço!$A:$A,0),0)-HLOOKUP(G$1,Bilanço!$1:$151,MATCH(Çeyreklik!$A48,Bilanço!$A:$A,0),0)),"")</f>
        <v>4205629000</v>
      </c>
      <c r="I48" s="2">
        <f>IFERROR(IF(MID(I$2,6,7)="3",HLOOKUP(I$1,Bilanço!$1:$151,MATCH(Çeyreklik!$A48,Bilanço!$A:$A,0),0),HLOOKUP(I$1,Bilanço!$1:$151,MATCH(Çeyreklik!$A48,Bilanço!$A:$A,0),0)-HLOOKUP(H$1,Bilanço!$1:$151,MATCH(Çeyreklik!$A48,Bilanço!$A:$A,0),0)),"")</f>
        <v>6608501000</v>
      </c>
      <c r="J48" s="2">
        <f>IFERROR(IF(MID(J$2,6,7)="3",HLOOKUP(J$1,Bilanço!$1:$151,MATCH(Çeyreklik!$A48,Bilanço!$A:$A,0),0),HLOOKUP(J$1,Bilanço!$1:$151,MATCH(Çeyreklik!$A48,Bilanço!$A:$A,0),0)-HLOOKUP(I$1,Bilanço!$1:$151,MATCH(Çeyreklik!$A48,Bilanço!$A:$A,0),0)),"")</f>
        <v>6161390000</v>
      </c>
      <c r="K48" s="2">
        <f>IFERROR(IF(MID(K$2,6,7)="3",HLOOKUP(K$1,Bilanço!$1:$151,MATCH(Çeyreklik!$A48,Bilanço!$A:$A,0),0),HLOOKUP(K$1,Bilanço!$1:$151,MATCH(Çeyreklik!$A48,Bilanço!$A:$A,0),0)-HLOOKUP(J$1,Bilanço!$1:$151,MATCH(Çeyreklik!$A48,Bilanço!$A:$A,0),0)),"")</f>
        <v>8266838000</v>
      </c>
      <c r="L48" s="2">
        <f>IFERROR(IF(MID(L$2,6,7)="3",HLOOKUP(L$1,Bilanço!$1:$151,MATCH(Çeyreklik!$A48,Bilanço!$A:$A,0),0),HLOOKUP(L$1,Bilanço!$1:$151,MATCH(Çeyreklik!$A48,Bilanço!$A:$A,0),0)-HLOOKUP(K$1,Bilanço!$1:$151,MATCH(Çeyreklik!$A48,Bilanço!$A:$A,0),0)),"")</f>
        <v>36333237000</v>
      </c>
      <c r="M48" s="2">
        <f>IFERROR(IF(MID(M$2,6,7)="3",HLOOKUP(M$1,Bilanço!$1:$151,MATCH(Çeyreklik!$A48,Bilanço!$A:$A,0),0),HLOOKUP(M$1,Bilanço!$1:$151,MATCH(Çeyreklik!$A48,Bilanço!$A:$A,0),0)-HLOOKUP(L$1,Bilanço!$1:$151,MATCH(Çeyreklik!$A48,Bilanço!$A:$A,0),0)),"")</f>
        <v>20088391000</v>
      </c>
      <c r="N48" s="2">
        <f>IFERROR(IF(MID(N$2,6,7)="3",HLOOKUP(N$1,Bilanço!$1:$151,MATCH(Çeyreklik!$A48,Bilanço!$A:$A,0),0),HLOOKUP(N$1,Bilanço!$1:$151,MATCH(Çeyreklik!$A48,Bilanço!$A:$A,0),0)-HLOOKUP(M$1,Bilanço!$1:$151,MATCH(Çeyreklik!$A48,Bilanço!$A:$A,0),0)),"")</f>
        <v>19691475000</v>
      </c>
      <c r="O48" s="2">
        <f>IFERROR(IF(MID(O$2,6,7)="3",HLOOKUP(O$1,Bilanço!$1:$151,MATCH(Çeyreklik!$A48,Bilanço!$A:$A,0),0),HLOOKUP(O$1,Bilanço!$1:$151,MATCH(Çeyreklik!$A48,Bilanço!$A:$A,0),0)-HLOOKUP(N$1,Bilanço!$1:$151,MATCH(Çeyreklik!$A48,Bilanço!$A:$A,0),0)),"")</f>
        <v>24045952000</v>
      </c>
      <c r="P48" s="2">
        <f>IFERROR(IF(MID(P$2,6,7)="3",HLOOKUP(P$1,Bilanço!$1:$151,MATCH(Çeyreklik!$A48,Bilanço!$A:$A,0),0),HLOOKUP(P$1,Bilanço!$1:$151,MATCH(Çeyreklik!$A48,Bilanço!$A:$A,0),0)-HLOOKUP(O$1,Bilanço!$1:$151,MATCH(Çeyreklik!$A48,Bilanço!$A:$A,0),0)),"")</f>
        <v>28367394000</v>
      </c>
      <c r="Q48" s="2">
        <f>IFERROR(IF(MID(Q$2,6,7)="3",HLOOKUP(Q$1,Bilanço!$1:$151,MATCH(Çeyreklik!$A48,Bilanço!$A:$A,0),0),HLOOKUP(Q$1,Bilanço!$1:$151,MATCH(Çeyreklik!$A48,Bilanço!$A:$A,0),0)-HLOOKUP(P$1,Bilanço!$1:$151,MATCH(Çeyreklik!$A48,Bilanço!$A:$A,0),0)),"")</f>
        <v>25188647000</v>
      </c>
      <c r="R48" s="2">
        <f>IFERROR(IF(MID(R$2,6,7)="3",HLOOKUP(R$1,Bilanço!$1:$151,MATCH(Çeyreklik!$A48,Bilanço!$A:$A,0),0),HLOOKUP(R$1,Bilanço!$1:$151,MATCH(Çeyreklik!$A48,Bilanço!$A:$A,0),0)-HLOOKUP(Q$1,Bilanço!$1:$151,MATCH(Çeyreklik!$A48,Bilanço!$A:$A,0),0)),"")</f>
        <v>9027775000</v>
      </c>
      <c r="S48" s="2">
        <f>IFERROR(IF(MID(S$2,6,7)="3",HLOOKUP(S$1,Bilanço!$1:$151,MATCH(Çeyreklik!$A48,Bilanço!$A:$A,0),0),HLOOKUP(S$1,Bilanço!$1:$151,MATCH(Çeyreklik!$A48,Bilanço!$A:$A,0),0)-HLOOKUP(R$1,Bilanço!$1:$151,MATCH(Çeyreklik!$A48,Bilanço!$A:$A,0),0)),"")</f>
        <v>36818657000</v>
      </c>
      <c r="T48" s="2">
        <f>IFERROR(IF(MID(T$2,6,7)="3",HLOOKUP(T$1,Bilanço!$1:$151,MATCH(Çeyreklik!$A48,Bilanço!$A:$A,0),0),HLOOKUP(T$1,Bilanço!$1:$151,MATCH(Çeyreklik!$A48,Bilanço!$A:$A,0),0)-HLOOKUP(S$1,Bilanço!$1:$151,MATCH(Çeyreklik!$A48,Bilanço!$A:$A,0),0)),"")</f>
        <v>24529108106</v>
      </c>
      <c r="U48" s="2">
        <f>IFERROR(IF(MID(U$2,6,7)="3",HLOOKUP(U$1,Bilanço!$1:$151,MATCH(Çeyreklik!$A48,Bilanço!$A:$A,0),0),HLOOKUP(U$1,Bilanço!$1:$151,MATCH(Çeyreklik!$A48,Bilanço!$A:$A,0),0)-HLOOKUP(T$1,Bilanço!$1:$151,MATCH(Çeyreklik!$A48,Bilanço!$A:$A,0),0)),"")</f>
        <v>25559447000</v>
      </c>
      <c r="V48" s="2">
        <f>IFERROR(IF(MID(V$2,6,7)="3",HLOOKUP(V$1,Bilanço!$1:$151,MATCH(Çeyreklik!$A48,Bilanço!$A:$A,0),0),HLOOKUP(V$1,Bilanço!$1:$151,MATCH(Çeyreklik!$A48,Bilanço!$A:$A,0),0)-HLOOKUP(U$1,Bilanço!$1:$151,MATCH(Çeyreklik!$A48,Bilanço!$A:$A,0),0)),"")</f>
        <v>11664856000</v>
      </c>
      <c r="W48" s="2">
        <f>IFERROR(IF(MID(W$2,6,7)="3",HLOOKUP(W$1,Bilanço!$1:$151,MATCH(Çeyreklik!$A48,Bilanço!$A:$A,0),0),HLOOKUP(W$1,Bilanço!$1:$151,MATCH(Çeyreklik!$A48,Bilanço!$A:$A,0),0)-HLOOKUP(V$1,Bilanço!$1:$151,MATCH(Çeyreklik!$A48,Bilanço!$A:$A,0),0)),"")</f>
        <v>37718573000</v>
      </c>
    </row>
    <row r="49" spans="1:23" x14ac:dyDescent="0.25">
      <c r="A49" t="str">
        <f>Data!A120</f>
        <v>Yurtdışı Satışlar</v>
      </c>
      <c r="B49" s="2">
        <f>IFERROR(IF($B$2="2022/3",IF(MID(B$2,6,7)="3",HLOOKUP(B$1,Bilanço!$1:$151,MATCH(Çeyreklik!$A49,Bilanço!$A:$A,0),0),HLOOKUP(B$1,Bilanço!$1:$151,MATCH(Çeyreklik!$A49,Bilanço!$A:$A,0),0)-HLOOKUP(A$1,Bilanço!$1:$151,MATCH(Çeyreklik!$A49,Bilanço!$A:$A,0),0)),IF(MID(B$2,6,7)="3",HLOOKUP(B$1,Bilanço!$1:$151,MATCH(Çeyreklik!$A49,Bilanço!$A:$A,0),0),HLOOKUP(B$1,Bilanço!$1:$151,MATCH(Çeyreklik!$A49,Bilanço!$A:$A,0),0)-HLOOKUP(Bilanço!$B$1,Bilanço!$1:$151,MATCH(Çeyreklik!$A49,Bilanço!$A:$A,0),0))),"")</f>
        <v>482561000</v>
      </c>
      <c r="C49" s="2">
        <f>IFERROR(IF(MID(C$2,6,7)="3",HLOOKUP(C$1,Bilanço!$1:$151,MATCH(Çeyreklik!$A49,Bilanço!$A:$A,0),0),HLOOKUP(C$1,Bilanço!$1:$151,MATCH(Çeyreklik!$A49,Bilanço!$A:$A,0),0)-HLOOKUP(B$1,Bilanço!$1:$151,MATCH(Çeyreklik!$A49,Bilanço!$A:$A,0),0)),"")</f>
        <v>567795000</v>
      </c>
      <c r="D49" s="2">
        <f>IFERROR(IF(MID(D$2,6,7)="3",HLOOKUP(D$1,Bilanço!$1:$151,MATCH(Çeyreklik!$A49,Bilanço!$A:$A,0),0),HLOOKUP(D$1,Bilanço!$1:$151,MATCH(Çeyreklik!$A49,Bilanço!$A:$A,0),0)-HLOOKUP(C$1,Bilanço!$1:$151,MATCH(Çeyreklik!$A49,Bilanço!$A:$A,0),0)),"")</f>
        <v>632112000</v>
      </c>
      <c r="E49" s="2">
        <f>IFERROR(IF(MID(E$2,6,7)="3",HLOOKUP(E$1,Bilanço!$1:$151,MATCH(Çeyreklik!$A49,Bilanço!$A:$A,0),0),HLOOKUP(E$1,Bilanço!$1:$151,MATCH(Çeyreklik!$A49,Bilanço!$A:$A,0),0)-HLOOKUP(D$1,Bilanço!$1:$151,MATCH(Çeyreklik!$A49,Bilanço!$A:$A,0),0)),"")</f>
        <v>530233000</v>
      </c>
      <c r="F49" s="2">
        <f>IFERROR(IF(MID(F$2,6,7)="3",HLOOKUP(F$1,Bilanço!$1:$151,MATCH(Çeyreklik!$A49,Bilanço!$A:$A,0),0),HLOOKUP(F$1,Bilanço!$1:$151,MATCH(Çeyreklik!$A49,Bilanço!$A:$A,0),0)-HLOOKUP(E$1,Bilanço!$1:$151,MATCH(Çeyreklik!$A49,Bilanço!$A:$A,0),0)),"")</f>
        <v>582889000</v>
      </c>
      <c r="G49" s="2">
        <f>IFERROR(IF(MID(G$2,6,7)="3",HLOOKUP(G$1,Bilanço!$1:$151,MATCH(Çeyreklik!$A49,Bilanço!$A:$A,0),0),HLOOKUP(G$1,Bilanço!$1:$151,MATCH(Çeyreklik!$A49,Bilanço!$A:$A,0),0)-HLOOKUP(F$1,Bilanço!$1:$151,MATCH(Çeyreklik!$A49,Bilanço!$A:$A,0),0)),"")</f>
        <v>606210000</v>
      </c>
      <c r="H49" s="2">
        <f>IFERROR(IF(MID(H$2,6,7)="3",HLOOKUP(H$1,Bilanço!$1:$151,MATCH(Çeyreklik!$A49,Bilanço!$A:$A,0),0),HLOOKUP(H$1,Bilanço!$1:$151,MATCH(Çeyreklik!$A49,Bilanço!$A:$A,0),0)-HLOOKUP(G$1,Bilanço!$1:$151,MATCH(Çeyreklik!$A49,Bilanço!$A:$A,0),0)),"")</f>
        <v>1117945000</v>
      </c>
      <c r="I49" s="2">
        <f>IFERROR(IF(MID(I$2,6,7)="3",HLOOKUP(I$1,Bilanço!$1:$151,MATCH(Çeyreklik!$A49,Bilanço!$A:$A,0),0),HLOOKUP(I$1,Bilanço!$1:$151,MATCH(Çeyreklik!$A49,Bilanço!$A:$A,0),0)-HLOOKUP(H$1,Bilanço!$1:$151,MATCH(Çeyreklik!$A49,Bilanço!$A:$A,0),0)),"")</f>
        <v>1192202000</v>
      </c>
      <c r="J49" s="2">
        <f>IFERROR(IF(MID(J$2,6,7)="3",HLOOKUP(J$1,Bilanço!$1:$151,MATCH(Çeyreklik!$A49,Bilanço!$A:$A,0),0),HLOOKUP(J$1,Bilanço!$1:$151,MATCH(Çeyreklik!$A49,Bilanço!$A:$A,0),0)-HLOOKUP(I$1,Bilanço!$1:$151,MATCH(Çeyreklik!$A49,Bilanço!$A:$A,0),0)),"")</f>
        <v>1519472000</v>
      </c>
      <c r="K49" s="2">
        <f>IFERROR(IF(MID(K$2,6,7)="3",HLOOKUP(K$1,Bilanço!$1:$151,MATCH(Çeyreklik!$A49,Bilanço!$A:$A,0),0),HLOOKUP(K$1,Bilanço!$1:$151,MATCH(Çeyreklik!$A49,Bilanço!$A:$A,0),0)-HLOOKUP(J$1,Bilanço!$1:$151,MATCH(Çeyreklik!$A49,Bilanço!$A:$A,0),0)),"")</f>
        <v>1394126000</v>
      </c>
      <c r="L49" s="2">
        <f>IFERROR(IF(MID(L$2,6,7)="3",HLOOKUP(L$1,Bilanço!$1:$151,MATCH(Çeyreklik!$A49,Bilanço!$A:$A,0),0),HLOOKUP(L$1,Bilanço!$1:$151,MATCH(Çeyreklik!$A49,Bilanço!$A:$A,0),0)-HLOOKUP(K$1,Bilanço!$1:$151,MATCH(Çeyreklik!$A49,Bilanço!$A:$A,0),0)),"")</f>
        <v>7030704000</v>
      </c>
      <c r="M49" s="2">
        <f>IFERROR(IF(MID(M$2,6,7)="3",HLOOKUP(M$1,Bilanço!$1:$151,MATCH(Çeyreklik!$A49,Bilanço!$A:$A,0),0),HLOOKUP(M$1,Bilanço!$1:$151,MATCH(Çeyreklik!$A49,Bilanço!$A:$A,0),0)-HLOOKUP(L$1,Bilanço!$1:$151,MATCH(Çeyreklik!$A49,Bilanço!$A:$A,0),0)),"")</f>
        <v>3032955000</v>
      </c>
      <c r="N49" s="2">
        <f>IFERROR(IF(MID(N$2,6,7)="3",HLOOKUP(N$1,Bilanço!$1:$151,MATCH(Çeyreklik!$A49,Bilanço!$A:$A,0),0),HLOOKUP(N$1,Bilanço!$1:$151,MATCH(Çeyreklik!$A49,Bilanço!$A:$A,0),0)-HLOOKUP(M$1,Bilanço!$1:$151,MATCH(Çeyreklik!$A49,Bilanço!$A:$A,0),0)),"")</f>
        <v>3699113000</v>
      </c>
      <c r="O49" s="2">
        <f>IFERROR(IF(MID(O$2,6,7)="3",HLOOKUP(O$1,Bilanço!$1:$151,MATCH(Çeyreklik!$A49,Bilanço!$A:$A,0),0),HLOOKUP(O$1,Bilanço!$1:$151,MATCH(Çeyreklik!$A49,Bilanço!$A:$A,0),0)-HLOOKUP(N$1,Bilanço!$1:$151,MATCH(Çeyreklik!$A49,Bilanço!$A:$A,0),0)),"")</f>
        <v>4118170000</v>
      </c>
      <c r="P49" s="2">
        <f>IFERROR(IF(MID(P$2,6,7)="3",HLOOKUP(P$1,Bilanço!$1:$151,MATCH(Çeyreklik!$A49,Bilanço!$A:$A,0),0),HLOOKUP(P$1,Bilanço!$1:$151,MATCH(Çeyreklik!$A49,Bilanço!$A:$A,0),0)-HLOOKUP(O$1,Bilanço!$1:$151,MATCH(Çeyreklik!$A49,Bilanço!$A:$A,0),0)),"")</f>
        <v>5125578000</v>
      </c>
      <c r="Q49" s="2">
        <f>IFERROR(IF(MID(Q$2,6,7)="3",HLOOKUP(Q$1,Bilanço!$1:$151,MATCH(Çeyreklik!$A49,Bilanço!$A:$A,0),0),HLOOKUP(Q$1,Bilanço!$1:$151,MATCH(Çeyreklik!$A49,Bilanço!$A:$A,0),0)-HLOOKUP(P$1,Bilanço!$1:$151,MATCH(Çeyreklik!$A49,Bilanço!$A:$A,0),0)),"")</f>
        <v>4563131000</v>
      </c>
      <c r="R49" s="2">
        <f>IFERROR(IF(MID(R$2,6,7)="3",HLOOKUP(R$1,Bilanço!$1:$151,MATCH(Çeyreklik!$A49,Bilanço!$A:$A,0),0),HLOOKUP(R$1,Bilanço!$1:$151,MATCH(Çeyreklik!$A49,Bilanço!$A:$A,0),0)-HLOOKUP(Q$1,Bilanço!$1:$151,MATCH(Çeyreklik!$A49,Bilanço!$A:$A,0),0)),"")</f>
        <v>10591131000</v>
      </c>
      <c r="S49" s="2">
        <f>IFERROR(IF(MID(S$2,6,7)="3",HLOOKUP(S$1,Bilanço!$1:$151,MATCH(Çeyreklik!$A49,Bilanço!$A:$A,0),0),HLOOKUP(S$1,Bilanço!$1:$151,MATCH(Çeyreklik!$A49,Bilanço!$A:$A,0),0)-HLOOKUP(R$1,Bilanço!$1:$151,MATCH(Çeyreklik!$A49,Bilanço!$A:$A,0),0)),"")</f>
        <v>-1416356000</v>
      </c>
      <c r="T49" s="2">
        <f>IFERROR(IF(MID(T$2,6,7)="3",HLOOKUP(T$1,Bilanço!$1:$151,MATCH(Çeyreklik!$A49,Bilanço!$A:$A,0),0),HLOOKUP(T$1,Bilanço!$1:$151,MATCH(Çeyreklik!$A49,Bilanço!$A:$A,0),0)-HLOOKUP(S$1,Bilanço!$1:$151,MATCH(Çeyreklik!$A49,Bilanço!$A:$A,0),0)),"")</f>
        <v>5838286130</v>
      </c>
      <c r="U49" s="2">
        <f>IFERROR(IF(MID(U$2,6,7)="3",HLOOKUP(U$1,Bilanço!$1:$151,MATCH(Çeyreklik!$A49,Bilanço!$A:$A,0),0),HLOOKUP(U$1,Bilanço!$1:$151,MATCH(Çeyreklik!$A49,Bilanço!$A:$A,0),0)-HLOOKUP(T$1,Bilanço!$1:$151,MATCH(Çeyreklik!$A49,Bilanço!$A:$A,0),0)),"")</f>
        <v>3920202000</v>
      </c>
      <c r="V49" s="2">
        <f>IFERROR(IF(MID(V$2,6,7)="3",HLOOKUP(V$1,Bilanço!$1:$151,MATCH(Çeyreklik!$A49,Bilanço!$A:$A,0),0),HLOOKUP(V$1,Bilanço!$1:$151,MATCH(Çeyreklik!$A49,Bilanço!$A:$A,0),0)-HLOOKUP(U$1,Bilanço!$1:$151,MATCH(Çeyreklik!$A49,Bilanço!$A:$A,0),0)),"")</f>
        <v>10495048000</v>
      </c>
      <c r="W49" s="2">
        <f>IFERROR(IF(MID(W$2,6,7)="3",HLOOKUP(W$1,Bilanço!$1:$151,MATCH(Çeyreklik!$A49,Bilanço!$A:$A,0),0),HLOOKUP(W$1,Bilanço!$1:$151,MATCH(Çeyreklik!$A49,Bilanço!$A:$A,0),0)-HLOOKUP(V$1,Bilanço!$1:$151,MATCH(Çeyreklik!$A49,Bilanço!$A:$A,0),0)),"")</f>
        <v>253202000</v>
      </c>
    </row>
    <row r="50" spans="1:23" x14ac:dyDescent="0.25">
      <c r="A50" t="str">
        <f>Data!A121</f>
        <v>Net Yabancı Para Pozisyonu</v>
      </c>
      <c r="B50" s="2">
        <f>IFERROR(IF($B$2="2022/3",IF(MID(B$2,6,7)="3",HLOOKUP(B$1,Bilanço!$1:$151,MATCH(Çeyreklik!$A50,Bilanço!$A:$A,0),0),HLOOKUP(B$1,Bilanço!$1:$151,MATCH(Çeyreklik!$A50,Bilanço!$A:$A,0),0)-HLOOKUP(A$1,Bilanço!$1:$151,MATCH(Çeyreklik!$A50,Bilanço!$A:$A,0),0)),IF(MID(B$2,6,7)="3",HLOOKUP(B$1,Bilanço!$1:$151,MATCH(Çeyreklik!$A50,Bilanço!$A:$A,0),0),HLOOKUP(B$1,Bilanço!$1:$151,MATCH(Çeyreklik!$A50,Bilanço!$A:$A,0),0)-HLOOKUP(Bilanço!$B$1,Bilanço!$1:$151,MATCH(Çeyreklik!$A50,Bilanço!$A:$A,0),0))),"")</f>
        <v>697678000</v>
      </c>
      <c r="C50" s="2">
        <f>IFERROR(IF(MID(C$2,6,7)="3",HLOOKUP(C$1,Bilanço!$1:$151,MATCH(Çeyreklik!$A50,Bilanço!$A:$A,0),0),HLOOKUP(C$1,Bilanço!$1:$151,MATCH(Çeyreklik!$A50,Bilanço!$A:$A,0),0)-HLOOKUP(B$1,Bilanço!$1:$151,MATCH(Çeyreklik!$A50,Bilanço!$A:$A,0),0)),"")</f>
        <v>-27753000</v>
      </c>
      <c r="D50" s="2">
        <f>IFERROR(IF(MID(D$2,6,7)="3",HLOOKUP(D$1,Bilanço!$1:$151,MATCH(Çeyreklik!$A50,Bilanço!$A:$A,0),0),HLOOKUP(D$1,Bilanço!$1:$151,MATCH(Çeyreklik!$A50,Bilanço!$A:$A,0),0)-HLOOKUP(C$1,Bilanço!$1:$151,MATCH(Çeyreklik!$A50,Bilanço!$A:$A,0),0)),"")</f>
        <v>-779160000</v>
      </c>
      <c r="E50" s="2">
        <f>IFERROR(IF(MID(E$2,6,7)="3",HLOOKUP(E$1,Bilanço!$1:$151,MATCH(Çeyreklik!$A50,Bilanço!$A:$A,0),0),HLOOKUP(E$1,Bilanço!$1:$151,MATCH(Çeyreklik!$A50,Bilanço!$A:$A,0),0)-HLOOKUP(D$1,Bilanço!$1:$151,MATCH(Çeyreklik!$A50,Bilanço!$A:$A,0),0)),"")</f>
        <v>776006000</v>
      </c>
      <c r="F50" s="2">
        <f>IFERROR(IF(MID(F$2,6,7)="3",HLOOKUP(F$1,Bilanço!$1:$151,MATCH(Çeyreklik!$A50,Bilanço!$A:$A,0),0),HLOOKUP(F$1,Bilanço!$1:$151,MATCH(Çeyreklik!$A50,Bilanço!$A:$A,0),0)-HLOOKUP(E$1,Bilanço!$1:$151,MATCH(Çeyreklik!$A50,Bilanço!$A:$A,0),0)),"")</f>
        <v>286689000</v>
      </c>
      <c r="G50" s="2">
        <f>IFERROR(IF(MID(G$2,6,7)="3",HLOOKUP(G$1,Bilanço!$1:$151,MATCH(Çeyreklik!$A50,Bilanço!$A:$A,0),0),HLOOKUP(G$1,Bilanço!$1:$151,MATCH(Çeyreklik!$A50,Bilanço!$A:$A,0),0)-HLOOKUP(F$1,Bilanço!$1:$151,MATCH(Çeyreklik!$A50,Bilanço!$A:$A,0),0)),"")</f>
        <v>-5450008000</v>
      </c>
      <c r="H50" s="2">
        <f>IFERROR(IF(MID(H$2,6,7)="3",HLOOKUP(H$1,Bilanço!$1:$151,MATCH(Çeyreklik!$A50,Bilanço!$A:$A,0),0),HLOOKUP(H$1,Bilanço!$1:$151,MATCH(Çeyreklik!$A50,Bilanço!$A:$A,0),0)-HLOOKUP(G$1,Bilanço!$1:$151,MATCH(Çeyreklik!$A50,Bilanço!$A:$A,0),0)),"")</f>
        <v>-2675186000</v>
      </c>
      <c r="I50" s="2">
        <f>IFERROR(IF(MID(I$2,6,7)="3",HLOOKUP(I$1,Bilanço!$1:$151,MATCH(Çeyreklik!$A50,Bilanço!$A:$A,0),0),HLOOKUP(I$1,Bilanço!$1:$151,MATCH(Çeyreklik!$A50,Bilanço!$A:$A,0),0)-HLOOKUP(H$1,Bilanço!$1:$151,MATCH(Çeyreklik!$A50,Bilanço!$A:$A,0),0)),"")</f>
        <v>-8446785000</v>
      </c>
      <c r="J50" s="2">
        <f>IFERROR(IF(MID(J$2,6,7)="3",HLOOKUP(J$1,Bilanço!$1:$151,MATCH(Çeyreklik!$A50,Bilanço!$A:$A,0),0),HLOOKUP(J$1,Bilanço!$1:$151,MATCH(Çeyreklik!$A50,Bilanço!$A:$A,0),0)-HLOOKUP(I$1,Bilanço!$1:$151,MATCH(Çeyreklik!$A50,Bilanço!$A:$A,0),0)),"")</f>
        <v>-1623100000</v>
      </c>
      <c r="K50" s="2">
        <f>IFERROR(IF(MID(K$2,6,7)="3",HLOOKUP(K$1,Bilanço!$1:$151,MATCH(Çeyreklik!$A50,Bilanço!$A:$A,0),0),HLOOKUP(K$1,Bilanço!$1:$151,MATCH(Çeyreklik!$A50,Bilanço!$A:$A,0),0)-HLOOKUP(J$1,Bilanço!$1:$151,MATCH(Çeyreklik!$A50,Bilanço!$A:$A,0),0)),"")</f>
        <v>-1694427000</v>
      </c>
      <c r="L50" s="2">
        <f>IFERROR(IF(MID(L$2,6,7)="3",HLOOKUP(L$1,Bilanço!$1:$151,MATCH(Çeyreklik!$A50,Bilanço!$A:$A,0),0),HLOOKUP(L$1,Bilanço!$1:$151,MATCH(Çeyreklik!$A50,Bilanço!$A:$A,0),0)-HLOOKUP(K$1,Bilanço!$1:$151,MATCH(Çeyreklik!$A50,Bilanço!$A:$A,0),0)),"")</f>
        <v>-8332167000</v>
      </c>
      <c r="M50" s="2">
        <f>IFERROR(IF(MID(M$2,6,7)="3",HLOOKUP(M$1,Bilanço!$1:$151,MATCH(Çeyreklik!$A50,Bilanço!$A:$A,0),0),HLOOKUP(M$1,Bilanço!$1:$151,MATCH(Çeyreklik!$A50,Bilanço!$A:$A,0),0)-HLOOKUP(L$1,Bilanço!$1:$151,MATCH(Çeyreklik!$A50,Bilanço!$A:$A,0),0)),"")</f>
        <v>-13207830000</v>
      </c>
      <c r="N50" s="2">
        <f>IFERROR(IF(MID(N$2,6,7)="3",HLOOKUP(N$1,Bilanço!$1:$151,MATCH(Çeyreklik!$A50,Bilanço!$A:$A,0),0),HLOOKUP(N$1,Bilanço!$1:$151,MATCH(Çeyreklik!$A50,Bilanço!$A:$A,0),0)-HLOOKUP(M$1,Bilanço!$1:$151,MATCH(Çeyreklik!$A50,Bilanço!$A:$A,0),0)),"")</f>
        <v>-1232480000</v>
      </c>
      <c r="O50" s="2">
        <f>IFERROR(IF(MID(O$2,6,7)="3",HLOOKUP(O$1,Bilanço!$1:$151,MATCH(Çeyreklik!$A50,Bilanço!$A:$A,0),0),HLOOKUP(O$1,Bilanço!$1:$151,MATCH(Çeyreklik!$A50,Bilanço!$A:$A,0),0)-HLOOKUP(N$1,Bilanço!$1:$151,MATCH(Çeyreklik!$A50,Bilanço!$A:$A,0),0)),"")</f>
        <v>432115000</v>
      </c>
      <c r="P50" s="2">
        <f>IFERROR(IF(MID(P$2,6,7)="3",HLOOKUP(P$1,Bilanço!$1:$151,MATCH(Çeyreklik!$A50,Bilanço!$A:$A,0),0),HLOOKUP(P$1,Bilanço!$1:$151,MATCH(Çeyreklik!$A50,Bilanço!$A:$A,0),0)-HLOOKUP(O$1,Bilanço!$1:$151,MATCH(Çeyreklik!$A50,Bilanço!$A:$A,0),0)),"")</f>
        <v>-6243380000</v>
      </c>
      <c r="Q50" s="2">
        <f>IFERROR(IF(MID(Q$2,6,7)="3",HLOOKUP(Q$1,Bilanço!$1:$151,MATCH(Çeyreklik!$A50,Bilanço!$A:$A,0),0),HLOOKUP(Q$1,Bilanço!$1:$151,MATCH(Çeyreklik!$A50,Bilanço!$A:$A,0),0)-HLOOKUP(P$1,Bilanço!$1:$151,MATCH(Çeyreklik!$A50,Bilanço!$A:$A,0),0)),"")</f>
        <v>-16610835000</v>
      </c>
      <c r="R50" s="2">
        <f>IFERROR(IF(MID(R$2,6,7)="3",HLOOKUP(R$1,Bilanço!$1:$151,MATCH(Çeyreklik!$A50,Bilanço!$A:$A,0),0),HLOOKUP(R$1,Bilanço!$1:$151,MATCH(Çeyreklik!$A50,Bilanço!$A:$A,0),0)-HLOOKUP(Q$1,Bilanço!$1:$151,MATCH(Çeyreklik!$A50,Bilanço!$A:$A,0),0)),"")</f>
        <v>-1020265000</v>
      </c>
      <c r="S50" s="2">
        <f>IFERROR(IF(MID(S$2,6,7)="3",HLOOKUP(S$1,Bilanço!$1:$151,MATCH(Çeyreklik!$A50,Bilanço!$A:$A,0),0),HLOOKUP(S$1,Bilanço!$1:$151,MATCH(Çeyreklik!$A50,Bilanço!$A:$A,0),0)-HLOOKUP(R$1,Bilanço!$1:$151,MATCH(Çeyreklik!$A50,Bilanço!$A:$A,0),0)),"")</f>
        <v>-3128375000</v>
      </c>
      <c r="T50" s="2">
        <f>IFERROR(IF(MID(T$2,6,7)="3",HLOOKUP(T$1,Bilanço!$1:$151,MATCH(Çeyreklik!$A50,Bilanço!$A:$A,0),0),HLOOKUP(T$1,Bilanço!$1:$151,MATCH(Çeyreklik!$A50,Bilanço!$A:$A,0),0)-HLOOKUP(S$1,Bilanço!$1:$151,MATCH(Çeyreklik!$A50,Bilanço!$A:$A,0),0)),"")</f>
        <v>-1937473007</v>
      </c>
      <c r="U50" s="2">
        <f>IFERROR(IF(MID(U$2,6,7)="3",HLOOKUP(U$1,Bilanço!$1:$151,MATCH(Çeyreklik!$A50,Bilanço!$A:$A,0),0),HLOOKUP(U$1,Bilanço!$1:$151,MATCH(Çeyreklik!$A50,Bilanço!$A:$A,0),0)-HLOOKUP(T$1,Bilanço!$1:$151,MATCH(Çeyreklik!$A50,Bilanço!$A:$A,0),0)),"")</f>
        <v>-25772677000</v>
      </c>
      <c r="V50" s="2">
        <f>IFERROR(IF(MID(V$2,6,7)="3",HLOOKUP(V$1,Bilanço!$1:$151,MATCH(Çeyreklik!$A50,Bilanço!$A:$A,0),0),HLOOKUP(V$1,Bilanço!$1:$151,MATCH(Çeyreklik!$A50,Bilanço!$A:$A,0),0)-HLOOKUP(U$1,Bilanço!$1:$151,MATCH(Çeyreklik!$A50,Bilanço!$A:$A,0),0)),"")</f>
        <v>-7206095000</v>
      </c>
      <c r="W50" s="2">
        <f>IFERROR(IF(MID(W$2,6,7)="3",HLOOKUP(W$1,Bilanço!$1:$151,MATCH(Çeyreklik!$A50,Bilanço!$A:$A,0),0),HLOOKUP(W$1,Bilanço!$1:$151,MATCH(Çeyreklik!$A50,Bilanço!$A:$A,0),0)-HLOOKUP(V$1,Bilanço!$1:$151,MATCH(Çeyreklik!$A50,Bilanço!$A:$A,0),0)),"")</f>
        <v>-3211945000</v>
      </c>
    </row>
    <row r="51" spans="1:23" x14ac:dyDescent="0.25">
      <c r="A51" t="str">
        <f>Data!A122</f>
        <v>Parasal net yabancı para varlık/(yükümlülük) pozisyonu</v>
      </c>
      <c r="B51" s="2">
        <f>IFERROR(IF($B$2="2022/3",IF(MID(B$2,6,7)="3",HLOOKUP(B$1,Bilanço!$1:$151,MATCH(Çeyreklik!$A51,Bilanço!$A:$A,0),0),HLOOKUP(B$1,Bilanço!$1:$151,MATCH(Çeyreklik!$A51,Bilanço!$A:$A,0),0)-HLOOKUP(A$1,Bilanço!$1:$151,MATCH(Çeyreklik!$A51,Bilanço!$A:$A,0),0)),IF(MID(B$2,6,7)="3",HLOOKUP(B$1,Bilanço!$1:$151,MATCH(Çeyreklik!$A51,Bilanço!$A:$A,0),0),HLOOKUP(B$1,Bilanço!$1:$151,MATCH(Çeyreklik!$A51,Bilanço!$A:$A,0),0)-HLOOKUP(Bilanço!$B$1,Bilanço!$1:$151,MATCH(Çeyreklik!$A51,Bilanço!$A:$A,0),0))),"")</f>
        <v>696172000</v>
      </c>
      <c r="C51" s="2">
        <f>IFERROR(IF(MID(C$2,6,7)="3",HLOOKUP(C$1,Bilanço!$1:$151,MATCH(Çeyreklik!$A51,Bilanço!$A:$A,0),0),HLOOKUP(C$1,Bilanço!$1:$151,MATCH(Çeyreklik!$A51,Bilanço!$A:$A,0),0)-HLOOKUP(B$1,Bilanço!$1:$151,MATCH(Çeyreklik!$A51,Bilanço!$A:$A,0),0)),"")</f>
        <v>-36407000</v>
      </c>
      <c r="D51" s="2">
        <f>IFERROR(IF(MID(D$2,6,7)="3",HLOOKUP(D$1,Bilanço!$1:$151,MATCH(Çeyreklik!$A51,Bilanço!$A:$A,0),0),HLOOKUP(D$1,Bilanço!$1:$151,MATCH(Çeyreklik!$A51,Bilanço!$A:$A,0),0)-HLOOKUP(C$1,Bilanço!$1:$151,MATCH(Çeyreklik!$A51,Bilanço!$A:$A,0),0)),"")</f>
        <v>-772012000</v>
      </c>
      <c r="E51" s="2">
        <f>IFERROR(IF(MID(E$2,6,7)="3",HLOOKUP(E$1,Bilanço!$1:$151,MATCH(Çeyreklik!$A51,Bilanço!$A:$A,0),0),HLOOKUP(E$1,Bilanço!$1:$151,MATCH(Çeyreklik!$A51,Bilanço!$A:$A,0),0)-HLOOKUP(D$1,Bilanço!$1:$151,MATCH(Çeyreklik!$A51,Bilanço!$A:$A,0),0)),"")</f>
        <v>760998000</v>
      </c>
      <c r="F51" s="2">
        <f>IFERROR(IF(MID(F$2,6,7)="3",HLOOKUP(F$1,Bilanço!$1:$151,MATCH(Çeyreklik!$A51,Bilanço!$A:$A,0),0),HLOOKUP(F$1,Bilanço!$1:$151,MATCH(Çeyreklik!$A51,Bilanço!$A:$A,0),0)-HLOOKUP(E$1,Bilanço!$1:$151,MATCH(Çeyreklik!$A51,Bilanço!$A:$A,0),0)),"")</f>
        <v>283124000</v>
      </c>
      <c r="G51" s="2">
        <f>IFERROR(IF(MID(G$2,6,7)="3",HLOOKUP(G$1,Bilanço!$1:$151,MATCH(Çeyreklik!$A51,Bilanço!$A:$A,0),0),HLOOKUP(G$1,Bilanço!$1:$151,MATCH(Çeyreklik!$A51,Bilanço!$A:$A,0),0)-HLOOKUP(F$1,Bilanço!$1:$151,MATCH(Çeyreklik!$A51,Bilanço!$A:$A,0),0)),"")</f>
        <v>-5568737000</v>
      </c>
      <c r="H51" s="2">
        <f>IFERROR(IF(MID(H$2,6,7)="3",HLOOKUP(H$1,Bilanço!$1:$151,MATCH(Çeyreklik!$A51,Bilanço!$A:$A,0),0),HLOOKUP(H$1,Bilanço!$1:$151,MATCH(Çeyreklik!$A51,Bilanço!$A:$A,0),0)-HLOOKUP(G$1,Bilanço!$1:$151,MATCH(Çeyreklik!$A51,Bilanço!$A:$A,0),0)),"")</f>
        <v>-2736395000</v>
      </c>
      <c r="I51" s="2">
        <f>IFERROR(IF(MID(I$2,6,7)="3",HLOOKUP(I$1,Bilanço!$1:$151,MATCH(Çeyreklik!$A51,Bilanço!$A:$A,0),0),HLOOKUP(I$1,Bilanço!$1:$151,MATCH(Çeyreklik!$A51,Bilanço!$A:$A,0),0)-HLOOKUP(H$1,Bilanço!$1:$151,MATCH(Çeyreklik!$A51,Bilanço!$A:$A,0),0)),"")</f>
        <v>-8725020000</v>
      </c>
      <c r="J51" s="2">
        <f>IFERROR(IF(MID(J$2,6,7)="3",HLOOKUP(J$1,Bilanço!$1:$151,MATCH(Çeyreklik!$A51,Bilanço!$A:$A,0),0),HLOOKUP(J$1,Bilanço!$1:$151,MATCH(Çeyreklik!$A51,Bilanço!$A:$A,0),0)-HLOOKUP(I$1,Bilanço!$1:$151,MATCH(Çeyreklik!$A51,Bilanço!$A:$A,0),0)),"")</f>
        <v>-1586370000</v>
      </c>
      <c r="K51" s="2">
        <f>IFERROR(IF(MID(K$2,6,7)="3",HLOOKUP(K$1,Bilanço!$1:$151,MATCH(Çeyreklik!$A51,Bilanço!$A:$A,0),0),HLOOKUP(K$1,Bilanço!$1:$151,MATCH(Çeyreklik!$A51,Bilanço!$A:$A,0),0)-HLOOKUP(J$1,Bilanço!$1:$151,MATCH(Çeyreklik!$A51,Bilanço!$A:$A,0),0)),"")</f>
        <v>-1778913000</v>
      </c>
      <c r="L51" s="2">
        <f>IFERROR(IF(MID(L$2,6,7)="3",HLOOKUP(L$1,Bilanço!$1:$151,MATCH(Çeyreklik!$A51,Bilanço!$A:$A,0),0),HLOOKUP(L$1,Bilanço!$1:$151,MATCH(Çeyreklik!$A51,Bilanço!$A:$A,0),0)-HLOOKUP(K$1,Bilanço!$1:$151,MATCH(Çeyreklik!$A51,Bilanço!$A:$A,0),0)),"")</f>
        <v>-8788550000</v>
      </c>
      <c r="M51" s="2">
        <f>IFERROR(IF(MID(M$2,6,7)="3",HLOOKUP(M$1,Bilanço!$1:$151,MATCH(Çeyreklik!$A51,Bilanço!$A:$A,0),0),HLOOKUP(M$1,Bilanço!$1:$151,MATCH(Çeyreklik!$A51,Bilanço!$A:$A,0),0)-HLOOKUP(L$1,Bilanço!$1:$151,MATCH(Çeyreklik!$A51,Bilanço!$A:$A,0),0)),"")</f>
        <v>-13591595000</v>
      </c>
      <c r="N51" s="2">
        <f>IFERROR(IF(MID(N$2,6,7)="3",HLOOKUP(N$1,Bilanço!$1:$151,MATCH(Çeyreklik!$A51,Bilanço!$A:$A,0),0),HLOOKUP(N$1,Bilanço!$1:$151,MATCH(Çeyreklik!$A51,Bilanço!$A:$A,0),0)-HLOOKUP(M$1,Bilanço!$1:$151,MATCH(Çeyreklik!$A51,Bilanço!$A:$A,0),0)),"")</f>
        <v>-1206171000</v>
      </c>
      <c r="O51" s="2">
        <f>IFERROR(IF(MID(O$2,6,7)="3",HLOOKUP(O$1,Bilanço!$1:$151,MATCH(Çeyreklik!$A51,Bilanço!$A:$A,0),0),HLOOKUP(O$1,Bilanço!$1:$151,MATCH(Çeyreklik!$A51,Bilanço!$A:$A,0),0)-HLOOKUP(N$1,Bilanço!$1:$151,MATCH(Çeyreklik!$A51,Bilanço!$A:$A,0),0)),"")</f>
        <v>546514000</v>
      </c>
      <c r="P51" s="2">
        <f>IFERROR(IF(MID(P$2,6,7)="3",HLOOKUP(P$1,Bilanço!$1:$151,MATCH(Çeyreklik!$A51,Bilanço!$A:$A,0),0),HLOOKUP(P$1,Bilanço!$1:$151,MATCH(Çeyreklik!$A51,Bilanço!$A:$A,0),0)-HLOOKUP(O$1,Bilanço!$1:$151,MATCH(Çeyreklik!$A51,Bilanço!$A:$A,0),0)),"")</f>
        <v>-6339309000</v>
      </c>
      <c r="Q51" s="2">
        <f>IFERROR(IF(MID(Q$2,6,7)="3",HLOOKUP(Q$1,Bilanço!$1:$151,MATCH(Çeyreklik!$A51,Bilanço!$A:$A,0),0),HLOOKUP(Q$1,Bilanço!$1:$151,MATCH(Çeyreklik!$A51,Bilanço!$A:$A,0),0)-HLOOKUP(P$1,Bilanço!$1:$151,MATCH(Çeyreklik!$A51,Bilanço!$A:$A,0),0)),"")</f>
        <v>-16631242000</v>
      </c>
      <c r="R51" s="2">
        <f>IFERROR(IF(MID(R$2,6,7)="3",HLOOKUP(R$1,Bilanço!$1:$151,MATCH(Çeyreklik!$A51,Bilanço!$A:$A,0),0),HLOOKUP(R$1,Bilanço!$1:$151,MATCH(Çeyreklik!$A51,Bilanço!$A:$A,0),0)-HLOOKUP(Q$1,Bilanço!$1:$151,MATCH(Çeyreklik!$A51,Bilanço!$A:$A,0),0)),"")</f>
        <v>-1083168000</v>
      </c>
      <c r="S51" s="2">
        <f>IFERROR(IF(MID(S$2,6,7)="3",HLOOKUP(S$1,Bilanço!$1:$151,MATCH(Çeyreklik!$A51,Bilanço!$A:$A,0),0),HLOOKUP(S$1,Bilanço!$1:$151,MATCH(Çeyreklik!$A51,Bilanço!$A:$A,0),0)-HLOOKUP(R$1,Bilanço!$1:$151,MATCH(Çeyreklik!$A51,Bilanço!$A:$A,0),0)),"")</f>
        <v>-3433896000</v>
      </c>
      <c r="T51" s="2">
        <f>IFERROR(IF(MID(T$2,6,7)="3",HLOOKUP(T$1,Bilanço!$1:$151,MATCH(Çeyreklik!$A51,Bilanço!$A:$A,0),0),HLOOKUP(T$1,Bilanço!$1:$151,MATCH(Çeyreklik!$A51,Bilanço!$A:$A,0),0)-HLOOKUP(S$1,Bilanço!$1:$151,MATCH(Çeyreklik!$A51,Bilanço!$A:$A,0),0)),"")</f>
        <v>-3405771299</v>
      </c>
      <c r="U51" s="2">
        <f>IFERROR(IF(MID(U$2,6,7)="3",HLOOKUP(U$1,Bilanço!$1:$151,MATCH(Çeyreklik!$A51,Bilanço!$A:$A,0),0),HLOOKUP(U$1,Bilanço!$1:$151,MATCH(Çeyreklik!$A51,Bilanço!$A:$A,0),0)-HLOOKUP(T$1,Bilanço!$1:$151,MATCH(Çeyreklik!$A51,Bilanço!$A:$A,0),0)),"")</f>
        <v>-27098107000</v>
      </c>
      <c r="V51" s="2">
        <f>IFERROR(IF(MID(V$2,6,7)="3",HLOOKUP(V$1,Bilanço!$1:$151,MATCH(Çeyreklik!$A51,Bilanço!$A:$A,0),0),HLOOKUP(V$1,Bilanço!$1:$151,MATCH(Çeyreklik!$A51,Bilanço!$A:$A,0),0)-HLOOKUP(U$1,Bilanço!$1:$151,MATCH(Çeyreklik!$A51,Bilanço!$A:$A,0),0)),"")</f>
        <v>-6178681000</v>
      </c>
      <c r="W51" s="2">
        <f>IFERROR(IF(MID(W$2,6,7)="3",HLOOKUP(W$1,Bilanço!$1:$151,MATCH(Çeyreklik!$A51,Bilanço!$A:$A,0),0),HLOOKUP(W$1,Bilanço!$1:$151,MATCH(Çeyreklik!$A51,Bilanço!$A:$A,0),0)-HLOOKUP(V$1,Bilanço!$1:$151,MATCH(Çeyreklik!$A51,Bilanço!$A:$A,0),0)),"")</f>
        <v>-3362762000</v>
      </c>
    </row>
    <row r="52" spans="1:23" x14ac:dyDescent="0.25">
      <c r="A52" t="str">
        <f>Data!A123</f>
        <v>Net YPP (Hedge Dahil)</v>
      </c>
      <c r="B52" s="2">
        <f>IFERROR(IF($B$2="2022/3",IF(MID(B$2,6,7)="3",HLOOKUP(B$1,Bilanço!$1:$151,MATCH(Çeyreklik!$A52,Bilanço!$A:$A,0),0),HLOOKUP(B$1,Bilanço!$1:$151,MATCH(Çeyreklik!$A52,Bilanço!$A:$A,0),0)-HLOOKUP(A$1,Bilanço!$1:$151,MATCH(Çeyreklik!$A52,Bilanço!$A:$A,0),0)),IF(MID(B$2,6,7)="3",HLOOKUP(B$1,Bilanço!$1:$151,MATCH(Çeyreklik!$A52,Bilanço!$A:$A,0),0),HLOOKUP(B$1,Bilanço!$1:$151,MATCH(Çeyreklik!$A52,Bilanço!$A:$A,0),0)-HLOOKUP(Bilanço!$B$1,Bilanço!$1:$151,MATCH(Çeyreklik!$A52,Bilanço!$A:$A,0),0))),"")</f>
        <v>-274628000</v>
      </c>
      <c r="C52" s="2">
        <f>IFERROR(IF(MID(C$2,6,7)="3",HLOOKUP(C$1,Bilanço!$1:$151,MATCH(Çeyreklik!$A52,Bilanço!$A:$A,0),0),HLOOKUP(C$1,Bilanço!$1:$151,MATCH(Çeyreklik!$A52,Bilanço!$A:$A,0),0)-HLOOKUP(B$1,Bilanço!$1:$151,MATCH(Çeyreklik!$A52,Bilanço!$A:$A,0),0)),"")</f>
        <v>-27753000</v>
      </c>
      <c r="D52" s="2">
        <f>IFERROR(IF(MID(D$2,6,7)="3",HLOOKUP(D$1,Bilanço!$1:$151,MATCH(Çeyreklik!$A52,Bilanço!$A:$A,0),0),HLOOKUP(D$1,Bilanço!$1:$151,MATCH(Çeyreklik!$A52,Bilanço!$A:$A,0),0)-HLOOKUP(C$1,Bilanço!$1:$151,MATCH(Çeyreklik!$A52,Bilanço!$A:$A,0),0)),"")</f>
        <v>-644041000</v>
      </c>
      <c r="E52" s="2">
        <f>IFERROR(IF(MID(E$2,6,7)="3",HLOOKUP(E$1,Bilanço!$1:$151,MATCH(Çeyreklik!$A52,Bilanço!$A:$A,0),0),HLOOKUP(E$1,Bilanço!$1:$151,MATCH(Çeyreklik!$A52,Bilanço!$A:$A,0),0)-HLOOKUP(D$1,Bilanço!$1:$151,MATCH(Çeyreklik!$A52,Bilanço!$A:$A,0),0)),"")</f>
        <v>776006000</v>
      </c>
      <c r="F52" s="2">
        <f>IFERROR(IF(MID(F$2,6,7)="3",HLOOKUP(F$1,Bilanço!$1:$151,MATCH(Çeyreklik!$A52,Bilanço!$A:$A,0),0),HLOOKUP(F$1,Bilanço!$1:$151,MATCH(Çeyreklik!$A52,Bilanço!$A:$A,0),0)-HLOOKUP(E$1,Bilanço!$1:$151,MATCH(Çeyreklik!$A52,Bilanço!$A:$A,0),0)),"")</f>
        <v>286689000</v>
      </c>
      <c r="G52" s="2">
        <f>IFERROR(IF(MID(G$2,6,7)="3",HLOOKUP(G$1,Bilanço!$1:$151,MATCH(Çeyreklik!$A52,Bilanço!$A:$A,0),0),HLOOKUP(G$1,Bilanço!$1:$151,MATCH(Çeyreklik!$A52,Bilanço!$A:$A,0),0)-HLOOKUP(F$1,Bilanço!$1:$151,MATCH(Çeyreklik!$A52,Bilanço!$A:$A,0),0)),"")</f>
        <v>-5450008000</v>
      </c>
      <c r="H52" s="2">
        <f>IFERROR(IF(MID(H$2,6,7)="3",HLOOKUP(H$1,Bilanço!$1:$151,MATCH(Çeyreklik!$A52,Bilanço!$A:$A,0),0),HLOOKUP(H$1,Bilanço!$1:$151,MATCH(Çeyreklik!$A52,Bilanço!$A:$A,0),0)-HLOOKUP(G$1,Bilanço!$1:$151,MATCH(Çeyreklik!$A52,Bilanço!$A:$A,0),0)),"")</f>
        <v>-2595981000</v>
      </c>
      <c r="I52" s="2">
        <f>IFERROR(IF(MID(I$2,6,7)="3",HLOOKUP(I$1,Bilanço!$1:$151,MATCH(Çeyreklik!$A52,Bilanço!$A:$A,0),0),HLOOKUP(I$1,Bilanço!$1:$151,MATCH(Çeyreklik!$A52,Bilanço!$A:$A,0),0)-HLOOKUP(H$1,Bilanço!$1:$151,MATCH(Çeyreklik!$A52,Bilanço!$A:$A,0),0)),"")</f>
        <v>-6003960000</v>
      </c>
      <c r="J52" s="2">
        <f>IFERROR(IF(MID(J$2,6,7)="3",HLOOKUP(J$1,Bilanço!$1:$151,MATCH(Çeyreklik!$A52,Bilanço!$A:$A,0),0),HLOOKUP(J$1,Bilanço!$1:$151,MATCH(Çeyreklik!$A52,Bilanço!$A:$A,0),0)-HLOOKUP(I$1,Bilanço!$1:$151,MATCH(Çeyreklik!$A52,Bilanço!$A:$A,0),0)),"")</f>
        <v>323246000</v>
      </c>
      <c r="K52" s="2">
        <f>IFERROR(IF(MID(K$2,6,7)="3",HLOOKUP(K$1,Bilanço!$1:$151,MATCH(Çeyreklik!$A52,Bilanço!$A:$A,0),0),HLOOKUP(K$1,Bilanço!$1:$151,MATCH(Çeyreklik!$A52,Bilanço!$A:$A,0),0)-HLOOKUP(J$1,Bilanço!$1:$151,MATCH(Çeyreklik!$A52,Bilanço!$A:$A,0),0)),"")</f>
        <v>-741281000</v>
      </c>
      <c r="L52" s="2">
        <f>IFERROR(IF(MID(L$2,6,7)="3",HLOOKUP(L$1,Bilanço!$1:$151,MATCH(Çeyreklik!$A52,Bilanço!$A:$A,0),0),HLOOKUP(L$1,Bilanço!$1:$151,MATCH(Çeyreklik!$A52,Bilanço!$A:$A,0),0)-HLOOKUP(K$1,Bilanço!$1:$151,MATCH(Çeyreklik!$A52,Bilanço!$A:$A,0),0)),"")</f>
        <v>-4541360000</v>
      </c>
      <c r="M52" s="2">
        <f>IFERROR(IF(MID(M$2,6,7)="3",HLOOKUP(M$1,Bilanço!$1:$151,MATCH(Çeyreklik!$A52,Bilanço!$A:$A,0),0),HLOOKUP(M$1,Bilanço!$1:$151,MATCH(Çeyreklik!$A52,Bilanço!$A:$A,0),0)-HLOOKUP(L$1,Bilanço!$1:$151,MATCH(Çeyreklik!$A52,Bilanço!$A:$A,0),0)),"")</f>
        <v>-6667879000</v>
      </c>
      <c r="N52" s="2">
        <f>IFERROR(IF(MID(N$2,6,7)="3",HLOOKUP(N$1,Bilanço!$1:$151,MATCH(Çeyreklik!$A52,Bilanço!$A:$A,0),0),HLOOKUP(N$1,Bilanço!$1:$151,MATCH(Çeyreklik!$A52,Bilanço!$A:$A,0),0)-HLOOKUP(M$1,Bilanço!$1:$151,MATCH(Çeyreklik!$A52,Bilanço!$A:$A,0),0)),"")</f>
        <v>-273385000</v>
      </c>
      <c r="O52" s="2">
        <f>IFERROR(IF(MID(O$2,6,7)="3",HLOOKUP(O$1,Bilanço!$1:$151,MATCH(Çeyreklik!$A52,Bilanço!$A:$A,0),0),HLOOKUP(O$1,Bilanço!$1:$151,MATCH(Çeyreklik!$A52,Bilanço!$A:$A,0),0)-HLOOKUP(N$1,Bilanço!$1:$151,MATCH(Çeyreklik!$A52,Bilanço!$A:$A,0),0)),"")</f>
        <v>2847310000</v>
      </c>
      <c r="P52" s="2">
        <f>IFERROR(IF(MID(P$2,6,7)="3",HLOOKUP(P$1,Bilanço!$1:$151,MATCH(Çeyreklik!$A52,Bilanço!$A:$A,0),0),HLOOKUP(P$1,Bilanço!$1:$151,MATCH(Çeyreklik!$A52,Bilanço!$A:$A,0),0)-HLOOKUP(O$1,Bilanço!$1:$151,MATCH(Çeyreklik!$A52,Bilanço!$A:$A,0),0)),"")</f>
        <v>-2053977000</v>
      </c>
      <c r="Q52" s="2">
        <f>IFERROR(IF(MID(Q$2,6,7)="3",HLOOKUP(Q$1,Bilanço!$1:$151,MATCH(Çeyreklik!$A52,Bilanço!$A:$A,0),0),HLOOKUP(Q$1,Bilanço!$1:$151,MATCH(Çeyreklik!$A52,Bilanço!$A:$A,0),0)-HLOOKUP(P$1,Bilanço!$1:$151,MATCH(Çeyreklik!$A52,Bilanço!$A:$A,0),0)),"")</f>
        <v>-5798779000</v>
      </c>
      <c r="R52" s="2">
        <f>IFERROR(IF(MID(R$2,6,7)="3",HLOOKUP(R$1,Bilanço!$1:$151,MATCH(Çeyreklik!$A52,Bilanço!$A:$A,0),0),HLOOKUP(R$1,Bilanço!$1:$151,MATCH(Çeyreklik!$A52,Bilanço!$A:$A,0),0)-HLOOKUP(Q$1,Bilanço!$1:$151,MATCH(Çeyreklik!$A52,Bilanço!$A:$A,0),0)),"")</f>
        <v>-3010925000</v>
      </c>
      <c r="S52" s="2">
        <f>IFERROR(IF(MID(S$2,6,7)="3",HLOOKUP(S$1,Bilanço!$1:$151,MATCH(Çeyreklik!$A52,Bilanço!$A:$A,0),0),HLOOKUP(S$1,Bilanço!$1:$151,MATCH(Çeyreklik!$A52,Bilanço!$A:$A,0),0)-HLOOKUP(R$1,Bilanço!$1:$151,MATCH(Çeyreklik!$A52,Bilanço!$A:$A,0),0)),"")</f>
        <v>1935295000</v>
      </c>
      <c r="T52" s="2">
        <f>IFERROR(IF(MID(T$2,6,7)="3",HLOOKUP(T$1,Bilanço!$1:$151,MATCH(Çeyreklik!$A52,Bilanço!$A:$A,0),0),HLOOKUP(T$1,Bilanço!$1:$151,MATCH(Çeyreklik!$A52,Bilanço!$A:$A,0),0)-HLOOKUP(S$1,Bilanço!$1:$151,MATCH(Çeyreklik!$A52,Bilanço!$A:$A,0),0)),"")</f>
        <v>1618530473</v>
      </c>
      <c r="U52" s="2">
        <f>IFERROR(IF(MID(U$2,6,7)="3",HLOOKUP(U$1,Bilanço!$1:$151,MATCH(Çeyreklik!$A52,Bilanço!$A:$A,0),0),HLOOKUP(U$1,Bilanço!$1:$151,MATCH(Çeyreklik!$A52,Bilanço!$A:$A,0),0)-HLOOKUP(T$1,Bilanço!$1:$151,MATCH(Çeyreklik!$A52,Bilanço!$A:$A,0),0)),"")</f>
        <v>-10339381000</v>
      </c>
      <c r="V52" s="2">
        <f>IFERROR(IF(MID(V$2,6,7)="3",HLOOKUP(V$1,Bilanço!$1:$151,MATCH(Çeyreklik!$A52,Bilanço!$A:$A,0),0),HLOOKUP(V$1,Bilanço!$1:$151,MATCH(Çeyreklik!$A52,Bilanço!$A:$A,0),0)-HLOOKUP(U$1,Bilanço!$1:$151,MATCH(Çeyreklik!$A52,Bilanço!$A:$A,0),0)),"")</f>
        <v>-831755000</v>
      </c>
      <c r="W52" s="2">
        <f>IFERROR(IF(MID(W$2,6,7)="3",HLOOKUP(W$1,Bilanço!$1:$151,MATCH(Çeyreklik!$A52,Bilanço!$A:$A,0),0),HLOOKUP(W$1,Bilanço!$1:$151,MATCH(Çeyreklik!$A52,Bilanço!$A:$A,0),0)-HLOOKUP(V$1,Bilanço!$1:$151,MATCH(Çeyreklik!$A52,Bilanço!$A:$A,0),0)),"")</f>
        <v>-2218153000</v>
      </c>
    </row>
    <row r="53" spans="1:23" x14ac:dyDescent="0.25">
      <c r="A53" t="str">
        <f>Data!A124</f>
        <v xml:space="preserve"> İşletme Faaliyetlerinden Kaynaklanan Net Nakit</v>
      </c>
      <c r="B53" s="2">
        <f>IFERROR(IF($B$2="2022/3",IF(MID(B$2,6,7)="3",HLOOKUP(B$1,Bilanço!$1:$151,MATCH(Çeyreklik!$A53,Bilanço!$A:$A,0),0),HLOOKUP(B$1,Bilanço!$1:$151,MATCH(Çeyreklik!$A53,Bilanço!$A:$A,0),0)-HLOOKUP(A$1,Bilanço!$1:$151,MATCH(Çeyreklik!$A53,Bilanço!$A:$A,0),0)),IF(MID(B$2,6,7)="3",HLOOKUP(B$1,Bilanço!$1:$151,MATCH(Çeyreklik!$A53,Bilanço!$A:$A,0),0),HLOOKUP(B$1,Bilanço!$1:$151,MATCH(Çeyreklik!$A53,Bilanço!$A:$A,0),0)-HLOOKUP(Bilanço!$B$1,Bilanço!$1:$151,MATCH(Çeyreklik!$A53,Bilanço!$A:$A,0),0))),"")</f>
        <v>39567000</v>
      </c>
      <c r="C53" s="2">
        <f>IFERROR(IF(MID(C$2,6,7)="3",HLOOKUP(C$1,Bilanço!$1:$151,MATCH(Çeyreklik!$A53,Bilanço!$A:$A,0),0),HLOOKUP(C$1,Bilanço!$1:$151,MATCH(Çeyreklik!$A53,Bilanço!$A:$A,0),0)-HLOOKUP(B$1,Bilanço!$1:$151,MATCH(Çeyreklik!$A53,Bilanço!$A:$A,0),0)),"")</f>
        <v>175592000</v>
      </c>
      <c r="D53" s="2">
        <f>IFERROR(IF(MID(D$2,6,7)="3",HLOOKUP(D$1,Bilanço!$1:$151,MATCH(Çeyreklik!$A53,Bilanço!$A:$A,0),0),HLOOKUP(D$1,Bilanço!$1:$151,MATCH(Çeyreklik!$A53,Bilanço!$A:$A,0),0)-HLOOKUP(C$1,Bilanço!$1:$151,MATCH(Çeyreklik!$A53,Bilanço!$A:$A,0),0)),"")</f>
        <v>337369000</v>
      </c>
      <c r="E53" s="2">
        <f>IFERROR(IF(MID(E$2,6,7)="3",HLOOKUP(E$1,Bilanço!$1:$151,MATCH(Çeyreklik!$A53,Bilanço!$A:$A,0),0),HLOOKUP(E$1,Bilanço!$1:$151,MATCH(Çeyreklik!$A53,Bilanço!$A:$A,0),0)-HLOOKUP(D$1,Bilanço!$1:$151,MATCH(Çeyreklik!$A53,Bilanço!$A:$A,0),0)),"")</f>
        <v>-197696000</v>
      </c>
      <c r="F53" s="2">
        <f>IFERROR(IF(MID(F$2,6,7)="3",HLOOKUP(F$1,Bilanço!$1:$151,MATCH(Çeyreklik!$A53,Bilanço!$A:$A,0),0),HLOOKUP(F$1,Bilanço!$1:$151,MATCH(Çeyreklik!$A53,Bilanço!$A:$A,0),0)-HLOOKUP(E$1,Bilanço!$1:$151,MATCH(Çeyreklik!$A53,Bilanço!$A:$A,0),0)),"")</f>
        <v>268953000</v>
      </c>
      <c r="G53" s="2">
        <f>IFERROR(IF(MID(G$2,6,7)="3",HLOOKUP(G$1,Bilanço!$1:$151,MATCH(Çeyreklik!$A53,Bilanço!$A:$A,0),0),HLOOKUP(G$1,Bilanço!$1:$151,MATCH(Çeyreklik!$A53,Bilanço!$A:$A,0),0)-HLOOKUP(F$1,Bilanço!$1:$151,MATCH(Çeyreklik!$A53,Bilanço!$A:$A,0),0)),"")</f>
        <v>238051000</v>
      </c>
      <c r="H53" s="2">
        <f>IFERROR(IF(MID(H$2,6,7)="3",HLOOKUP(H$1,Bilanço!$1:$151,MATCH(Çeyreklik!$A53,Bilanço!$A:$A,0),0),HLOOKUP(H$1,Bilanço!$1:$151,MATCH(Çeyreklik!$A53,Bilanço!$A:$A,0),0)-HLOOKUP(G$1,Bilanço!$1:$151,MATCH(Çeyreklik!$A53,Bilanço!$A:$A,0),0)),"")</f>
        <v>-281969000</v>
      </c>
      <c r="I53" s="2">
        <f>IFERROR(IF(MID(I$2,6,7)="3",HLOOKUP(I$1,Bilanço!$1:$151,MATCH(Çeyreklik!$A53,Bilanço!$A:$A,0),0),HLOOKUP(I$1,Bilanço!$1:$151,MATCH(Çeyreklik!$A53,Bilanço!$A:$A,0),0)-HLOOKUP(H$1,Bilanço!$1:$151,MATCH(Çeyreklik!$A53,Bilanço!$A:$A,0),0)),"")</f>
        <v>360405000</v>
      </c>
      <c r="J53" s="2">
        <f>IFERROR(IF(MID(J$2,6,7)="3",HLOOKUP(J$1,Bilanço!$1:$151,MATCH(Çeyreklik!$A53,Bilanço!$A:$A,0),0),HLOOKUP(J$1,Bilanço!$1:$151,MATCH(Çeyreklik!$A53,Bilanço!$A:$A,0),0)-HLOOKUP(I$1,Bilanço!$1:$151,MATCH(Çeyreklik!$A53,Bilanço!$A:$A,0),0)),"")</f>
        <v>378946000</v>
      </c>
      <c r="K53" s="2">
        <f>IFERROR(IF(MID(K$2,6,7)="3",HLOOKUP(K$1,Bilanço!$1:$151,MATCH(Çeyreklik!$A53,Bilanço!$A:$A,0),0),HLOOKUP(K$1,Bilanço!$1:$151,MATCH(Çeyreklik!$A53,Bilanço!$A:$A,0),0)-HLOOKUP(J$1,Bilanço!$1:$151,MATCH(Çeyreklik!$A53,Bilanço!$A:$A,0),0)),"")</f>
        <v>-176512000</v>
      </c>
      <c r="L53" s="2">
        <f>IFERROR(IF(MID(L$2,6,7)="3",HLOOKUP(L$1,Bilanço!$1:$151,MATCH(Çeyreklik!$A53,Bilanço!$A:$A,0),0),HLOOKUP(L$1,Bilanço!$1:$151,MATCH(Çeyreklik!$A53,Bilanço!$A:$A,0),0)-HLOOKUP(K$1,Bilanço!$1:$151,MATCH(Çeyreklik!$A53,Bilanço!$A:$A,0),0)),"")</f>
        <v>3458946000</v>
      </c>
      <c r="M53" s="2">
        <f>IFERROR(IF(MID(M$2,6,7)="3",HLOOKUP(M$1,Bilanço!$1:$151,MATCH(Çeyreklik!$A53,Bilanço!$A:$A,0),0),HLOOKUP(M$1,Bilanço!$1:$151,MATCH(Çeyreklik!$A53,Bilanço!$A:$A,0),0)-HLOOKUP(L$1,Bilanço!$1:$151,MATCH(Çeyreklik!$A53,Bilanço!$A:$A,0),0)),"")</f>
        <v>188699000</v>
      </c>
      <c r="N53" s="2">
        <f>IFERROR(IF(MID(N$2,6,7)="3",HLOOKUP(N$1,Bilanço!$1:$151,MATCH(Çeyreklik!$A53,Bilanço!$A:$A,0),0),HLOOKUP(N$1,Bilanço!$1:$151,MATCH(Çeyreklik!$A53,Bilanço!$A:$A,0),0)-HLOOKUP(M$1,Bilanço!$1:$151,MATCH(Çeyreklik!$A53,Bilanço!$A:$A,0),0)),"")</f>
        <v>2686952000</v>
      </c>
      <c r="O53" s="2">
        <f>IFERROR(IF(MID(O$2,6,7)="3",HLOOKUP(O$1,Bilanço!$1:$151,MATCH(Çeyreklik!$A53,Bilanço!$A:$A,0),0),HLOOKUP(O$1,Bilanço!$1:$151,MATCH(Çeyreklik!$A53,Bilanço!$A:$A,0),0)-HLOOKUP(N$1,Bilanço!$1:$151,MATCH(Çeyreklik!$A53,Bilanço!$A:$A,0),0)),"")</f>
        <v>2983202000</v>
      </c>
      <c r="P53" s="2">
        <f>IFERROR(IF(MID(P$2,6,7)="3",HLOOKUP(P$1,Bilanço!$1:$151,MATCH(Çeyreklik!$A53,Bilanço!$A:$A,0),0),HLOOKUP(P$1,Bilanço!$1:$151,MATCH(Çeyreklik!$A53,Bilanço!$A:$A,0),0)-HLOOKUP(O$1,Bilanço!$1:$151,MATCH(Çeyreklik!$A53,Bilanço!$A:$A,0),0)),"")</f>
        <v>4754494000</v>
      </c>
      <c r="Q53" s="2">
        <f>IFERROR(IF(MID(Q$2,6,7)="3",HLOOKUP(Q$1,Bilanço!$1:$151,MATCH(Çeyreklik!$A53,Bilanço!$A:$A,0),0),HLOOKUP(Q$1,Bilanço!$1:$151,MATCH(Çeyreklik!$A53,Bilanço!$A:$A,0),0)-HLOOKUP(P$1,Bilanço!$1:$151,MATCH(Çeyreklik!$A53,Bilanço!$A:$A,0),0)),"")</f>
        <v>-1261460000</v>
      </c>
      <c r="R53" s="2">
        <f>IFERROR(IF(MID(R$2,6,7)="3",HLOOKUP(R$1,Bilanço!$1:$151,MATCH(Çeyreklik!$A53,Bilanço!$A:$A,0),0),HLOOKUP(R$1,Bilanço!$1:$151,MATCH(Çeyreklik!$A53,Bilanço!$A:$A,0),0)-HLOOKUP(Q$1,Bilanço!$1:$151,MATCH(Çeyreklik!$A53,Bilanço!$A:$A,0),0)),"")</f>
        <v>4265022000</v>
      </c>
      <c r="S53" s="2">
        <f>IFERROR(IF(MID(S$2,6,7)="3",HLOOKUP(S$1,Bilanço!$1:$151,MATCH(Çeyreklik!$A53,Bilanço!$A:$A,0),0),HLOOKUP(S$1,Bilanço!$1:$151,MATCH(Çeyreklik!$A53,Bilanço!$A:$A,0),0)-HLOOKUP(R$1,Bilanço!$1:$151,MATCH(Çeyreklik!$A53,Bilanço!$A:$A,0),0)),"")</f>
        <v>-1337389000</v>
      </c>
      <c r="T53" s="2">
        <f>IFERROR(IF(MID(T$2,6,7)="3",HLOOKUP(T$1,Bilanço!$1:$151,MATCH(Çeyreklik!$A53,Bilanço!$A:$A,0),0),HLOOKUP(T$1,Bilanço!$1:$151,MATCH(Çeyreklik!$A53,Bilanço!$A:$A,0),0)-HLOOKUP(S$1,Bilanço!$1:$151,MATCH(Çeyreklik!$A53,Bilanço!$A:$A,0),0)),"")</f>
        <v>5593760530</v>
      </c>
      <c r="U53" s="2">
        <f>IFERROR(IF(MID(U$2,6,7)="3",HLOOKUP(U$1,Bilanço!$1:$151,MATCH(Çeyreklik!$A53,Bilanço!$A:$A,0),0),HLOOKUP(U$1,Bilanço!$1:$151,MATCH(Çeyreklik!$A53,Bilanço!$A:$A,0),0)-HLOOKUP(T$1,Bilanço!$1:$151,MATCH(Çeyreklik!$A53,Bilanço!$A:$A,0),0)),"")</f>
        <v>-5741318000</v>
      </c>
      <c r="V53" s="2">
        <f>IFERROR(IF(MID(V$2,6,7)="3",HLOOKUP(V$1,Bilanço!$1:$151,MATCH(Çeyreklik!$A53,Bilanço!$A:$A,0),0),HLOOKUP(V$1,Bilanço!$1:$151,MATCH(Çeyreklik!$A53,Bilanço!$A:$A,0),0)-HLOOKUP(U$1,Bilanço!$1:$151,MATCH(Çeyreklik!$A53,Bilanço!$A:$A,0),0)),"")</f>
        <v>1260676000</v>
      </c>
      <c r="W53" s="2">
        <f>IFERROR(IF(MID(W$2,6,7)="3",HLOOKUP(W$1,Bilanço!$1:$151,MATCH(Çeyreklik!$A53,Bilanço!$A:$A,0),0),HLOOKUP(W$1,Bilanço!$1:$151,MATCH(Çeyreklik!$A53,Bilanço!$A:$A,0),0)-HLOOKUP(V$1,Bilanço!$1:$151,MATCH(Çeyreklik!$A53,Bilanço!$A:$A,0),0)),"")</f>
        <v>2114791000</v>
      </c>
    </row>
    <row r="54" spans="1:23" x14ac:dyDescent="0.25">
      <c r="A54" t="str">
        <f>Data!A125</f>
        <v xml:space="preserve"> Düzeltme Öncesi Kar</v>
      </c>
      <c r="B54" s="2">
        <f>IFERROR(IF($B$2="2022/3",IF(MID(B$2,6,7)="3",HLOOKUP(B$1,Bilanço!$1:$151,MATCH(Çeyreklik!$A54,Bilanço!$A:$A,0),0),HLOOKUP(B$1,Bilanço!$1:$151,MATCH(Çeyreklik!$A54,Bilanço!$A:$A,0),0)-HLOOKUP(A$1,Bilanço!$1:$151,MATCH(Çeyreklik!$A54,Bilanço!$A:$A,0),0)),IF(MID(B$2,6,7)="3",HLOOKUP(B$1,Bilanço!$1:$151,MATCH(Çeyreklik!$A54,Bilanço!$A:$A,0),0),HLOOKUP(B$1,Bilanço!$1:$151,MATCH(Çeyreklik!$A54,Bilanço!$A:$A,0),0)-HLOOKUP(Bilanço!$B$1,Bilanço!$1:$151,MATCH(Çeyreklik!$A54,Bilanço!$A:$A,0),0))),"")</f>
        <v>539474000</v>
      </c>
      <c r="C54" s="2">
        <f>IFERROR(IF(MID(C$2,6,7)="3",HLOOKUP(C$1,Bilanço!$1:$151,MATCH(Çeyreklik!$A54,Bilanço!$A:$A,0),0),HLOOKUP(C$1,Bilanço!$1:$151,MATCH(Çeyreklik!$A54,Bilanço!$A:$A,0),0)-HLOOKUP(B$1,Bilanço!$1:$151,MATCH(Çeyreklik!$A54,Bilanço!$A:$A,0),0)),"")</f>
        <v>325640000</v>
      </c>
      <c r="D54" s="2">
        <f>IFERROR(IF(MID(D$2,6,7)="3",HLOOKUP(D$1,Bilanço!$1:$151,MATCH(Çeyreklik!$A54,Bilanço!$A:$A,0),0),HLOOKUP(D$1,Bilanço!$1:$151,MATCH(Çeyreklik!$A54,Bilanço!$A:$A,0),0)-HLOOKUP(C$1,Bilanço!$1:$151,MATCH(Çeyreklik!$A54,Bilanço!$A:$A,0),0)),"")</f>
        <v>447594000</v>
      </c>
      <c r="E54" s="2">
        <f>IFERROR(IF(MID(E$2,6,7)="3",HLOOKUP(E$1,Bilanço!$1:$151,MATCH(Çeyreklik!$A54,Bilanço!$A:$A,0),0),HLOOKUP(E$1,Bilanço!$1:$151,MATCH(Çeyreklik!$A54,Bilanço!$A:$A,0),0)-HLOOKUP(D$1,Bilanço!$1:$151,MATCH(Çeyreklik!$A54,Bilanço!$A:$A,0),0)),"")</f>
        <v>492976000</v>
      </c>
      <c r="F54" s="2">
        <f>IFERROR(IF(MID(F$2,6,7)="3",HLOOKUP(F$1,Bilanço!$1:$151,MATCH(Çeyreklik!$A54,Bilanço!$A:$A,0),0),HLOOKUP(F$1,Bilanço!$1:$151,MATCH(Çeyreklik!$A54,Bilanço!$A:$A,0),0)-HLOOKUP(E$1,Bilanço!$1:$151,MATCH(Çeyreklik!$A54,Bilanço!$A:$A,0),0)),"")</f>
        <v>247063000</v>
      </c>
      <c r="G54" s="2">
        <f>IFERROR(IF(MID(G$2,6,7)="3",HLOOKUP(G$1,Bilanço!$1:$151,MATCH(Çeyreklik!$A54,Bilanço!$A:$A,0),0),HLOOKUP(G$1,Bilanço!$1:$151,MATCH(Çeyreklik!$A54,Bilanço!$A:$A,0),0)-HLOOKUP(F$1,Bilanço!$1:$151,MATCH(Çeyreklik!$A54,Bilanço!$A:$A,0),0)),"")</f>
        <v>33204000</v>
      </c>
      <c r="H54" s="2">
        <f>IFERROR(IF(MID(H$2,6,7)="3",HLOOKUP(H$1,Bilanço!$1:$151,MATCH(Çeyreklik!$A54,Bilanço!$A:$A,0),0),HLOOKUP(H$1,Bilanço!$1:$151,MATCH(Çeyreklik!$A54,Bilanço!$A:$A,0),0)-HLOOKUP(G$1,Bilanço!$1:$151,MATCH(Çeyreklik!$A54,Bilanço!$A:$A,0),0)),"")</f>
        <v>-935662000</v>
      </c>
      <c r="I54" s="2">
        <f>IFERROR(IF(MID(I$2,6,7)="3",HLOOKUP(I$1,Bilanço!$1:$151,MATCH(Çeyreklik!$A54,Bilanço!$A:$A,0),0),HLOOKUP(I$1,Bilanço!$1:$151,MATCH(Çeyreklik!$A54,Bilanço!$A:$A,0),0)-HLOOKUP(H$1,Bilanço!$1:$151,MATCH(Çeyreklik!$A54,Bilanço!$A:$A,0),0)),"")</f>
        <v>-331056000</v>
      </c>
      <c r="J54" s="2">
        <f>IFERROR(IF(MID(J$2,6,7)="3",HLOOKUP(J$1,Bilanço!$1:$151,MATCH(Çeyreklik!$A54,Bilanço!$A:$A,0),0),HLOOKUP(J$1,Bilanço!$1:$151,MATCH(Çeyreklik!$A54,Bilanço!$A:$A,0),0)-HLOOKUP(I$1,Bilanço!$1:$151,MATCH(Çeyreklik!$A54,Bilanço!$A:$A,0),0)),"")</f>
        <v>-554635000</v>
      </c>
      <c r="K54" s="2">
        <f>IFERROR(IF(MID(K$2,6,7)="3",HLOOKUP(K$1,Bilanço!$1:$151,MATCH(Çeyreklik!$A54,Bilanço!$A:$A,0),0),HLOOKUP(K$1,Bilanço!$1:$151,MATCH(Çeyreklik!$A54,Bilanço!$A:$A,0),0)-HLOOKUP(J$1,Bilanço!$1:$151,MATCH(Çeyreklik!$A54,Bilanço!$A:$A,0),0)),"")</f>
        <v>-100102000</v>
      </c>
      <c r="L54" s="2">
        <f>IFERROR(IF(MID(L$2,6,7)="3",HLOOKUP(L$1,Bilanço!$1:$151,MATCH(Çeyreklik!$A54,Bilanço!$A:$A,0),0),HLOOKUP(L$1,Bilanço!$1:$151,MATCH(Çeyreklik!$A54,Bilanço!$A:$A,0),0)-HLOOKUP(K$1,Bilanço!$1:$151,MATCH(Çeyreklik!$A54,Bilanço!$A:$A,0),0)),"")</f>
        <v>2415299000</v>
      </c>
      <c r="M54" s="2">
        <f>IFERROR(IF(MID(M$2,6,7)="3",HLOOKUP(M$1,Bilanço!$1:$151,MATCH(Çeyreklik!$A54,Bilanço!$A:$A,0),0),HLOOKUP(M$1,Bilanço!$1:$151,MATCH(Çeyreklik!$A54,Bilanço!$A:$A,0),0)-HLOOKUP(L$1,Bilanço!$1:$151,MATCH(Çeyreklik!$A54,Bilanço!$A:$A,0),0)),"")</f>
        <v>2490214000</v>
      </c>
      <c r="N54" s="2">
        <f>IFERROR(IF(MID(N$2,6,7)="3",HLOOKUP(N$1,Bilanço!$1:$151,MATCH(Çeyreklik!$A54,Bilanço!$A:$A,0),0),HLOOKUP(N$1,Bilanço!$1:$151,MATCH(Çeyreklik!$A54,Bilanço!$A:$A,0),0)-HLOOKUP(M$1,Bilanço!$1:$151,MATCH(Çeyreklik!$A54,Bilanço!$A:$A,0),0)),"")</f>
        <v>-1865901000</v>
      </c>
      <c r="O54" s="2">
        <f>IFERROR(IF(MID(O$2,6,7)="3",HLOOKUP(O$1,Bilanço!$1:$151,MATCH(Çeyreklik!$A54,Bilanço!$A:$A,0),0),HLOOKUP(O$1,Bilanço!$1:$151,MATCH(Çeyreklik!$A54,Bilanço!$A:$A,0),0)-HLOOKUP(N$1,Bilanço!$1:$151,MATCH(Çeyreklik!$A54,Bilanço!$A:$A,0),0)),"")</f>
        <v>3445088000</v>
      </c>
      <c r="P54" s="2">
        <f>IFERROR(IF(MID(P$2,6,7)="3",HLOOKUP(P$1,Bilanço!$1:$151,MATCH(Çeyreklik!$A54,Bilanço!$A:$A,0),0),HLOOKUP(P$1,Bilanço!$1:$151,MATCH(Çeyreklik!$A54,Bilanço!$A:$A,0),0)-HLOOKUP(O$1,Bilanço!$1:$151,MATCH(Çeyreklik!$A54,Bilanço!$A:$A,0),0)),"")</f>
        <v>2027374000</v>
      </c>
      <c r="Q54" s="2">
        <f>IFERROR(IF(MID(Q$2,6,7)="3",HLOOKUP(Q$1,Bilanço!$1:$151,MATCH(Çeyreklik!$A54,Bilanço!$A:$A,0),0),HLOOKUP(Q$1,Bilanço!$1:$151,MATCH(Çeyreklik!$A54,Bilanço!$A:$A,0),0)-HLOOKUP(P$1,Bilanço!$1:$151,MATCH(Çeyreklik!$A54,Bilanço!$A:$A,0),0)),"")</f>
        <v>3426471000</v>
      </c>
      <c r="R54" s="2">
        <f>IFERROR(IF(MID(R$2,6,7)="3",HLOOKUP(R$1,Bilanço!$1:$151,MATCH(Çeyreklik!$A54,Bilanço!$A:$A,0),0),HLOOKUP(R$1,Bilanço!$1:$151,MATCH(Çeyreklik!$A54,Bilanço!$A:$A,0),0)-HLOOKUP(Q$1,Bilanço!$1:$151,MATCH(Çeyreklik!$A54,Bilanço!$A:$A,0),0)),"")</f>
        <v>2008009000</v>
      </c>
      <c r="S54" s="2">
        <f>IFERROR(IF(MID(S$2,6,7)="3",HLOOKUP(S$1,Bilanço!$1:$151,MATCH(Çeyreklik!$A54,Bilanço!$A:$A,0),0),HLOOKUP(S$1,Bilanço!$1:$151,MATCH(Çeyreklik!$A54,Bilanço!$A:$A,0),0)-HLOOKUP(R$1,Bilanço!$1:$151,MATCH(Çeyreklik!$A54,Bilanço!$A:$A,0),0)),"")</f>
        <v>1086255000</v>
      </c>
      <c r="T54" s="2">
        <f>IFERROR(IF(MID(T$2,6,7)="3",HLOOKUP(T$1,Bilanço!$1:$151,MATCH(Çeyreklik!$A54,Bilanço!$A:$A,0),0),HLOOKUP(T$1,Bilanço!$1:$151,MATCH(Çeyreklik!$A54,Bilanço!$A:$A,0),0)-HLOOKUP(S$1,Bilanço!$1:$151,MATCH(Çeyreklik!$A54,Bilanço!$A:$A,0),0)),"")</f>
        <v>3533833716</v>
      </c>
      <c r="U54" s="2">
        <f>IFERROR(IF(MID(U$2,6,7)="3",HLOOKUP(U$1,Bilanço!$1:$151,MATCH(Çeyreklik!$A54,Bilanço!$A:$A,0),0),HLOOKUP(U$1,Bilanço!$1:$151,MATCH(Çeyreklik!$A54,Bilanço!$A:$A,0),0)-HLOOKUP(T$1,Bilanço!$1:$151,MATCH(Çeyreklik!$A54,Bilanço!$A:$A,0),0)),"")</f>
        <v>2579045000</v>
      </c>
      <c r="V54" s="2">
        <f>IFERROR(IF(MID(V$2,6,7)="3",HLOOKUP(V$1,Bilanço!$1:$151,MATCH(Çeyreklik!$A54,Bilanço!$A:$A,0),0),HLOOKUP(V$1,Bilanço!$1:$151,MATCH(Çeyreklik!$A54,Bilanço!$A:$A,0),0)-HLOOKUP(U$1,Bilanço!$1:$151,MATCH(Çeyreklik!$A54,Bilanço!$A:$A,0),0)),"")</f>
        <v>911093000</v>
      </c>
      <c r="W54" s="2">
        <f>IFERROR(IF(MID(W$2,6,7)="3",HLOOKUP(W$1,Bilanço!$1:$151,MATCH(Çeyreklik!$A54,Bilanço!$A:$A,0),0),HLOOKUP(W$1,Bilanço!$1:$151,MATCH(Çeyreklik!$A54,Bilanço!$A:$A,0),0)-HLOOKUP(V$1,Bilanço!$1:$151,MATCH(Çeyreklik!$A54,Bilanço!$A:$A,0),0)),"")</f>
        <v>1364894000</v>
      </c>
    </row>
    <row r="55" spans="1:23" x14ac:dyDescent="0.25">
      <c r="A55" t="str">
        <f>Data!A126</f>
        <v xml:space="preserve"> Düzeltmeler:</v>
      </c>
      <c r="B55" s="2">
        <f>IFERROR(IF($B$2="2022/3",IF(MID(B$2,6,7)="3",HLOOKUP(B$1,Bilanço!$1:$151,MATCH(Çeyreklik!$A55,Bilanço!$A:$A,0),0),HLOOKUP(B$1,Bilanço!$1:$151,MATCH(Çeyreklik!$A55,Bilanço!$A:$A,0),0)-HLOOKUP(A$1,Bilanço!$1:$151,MATCH(Çeyreklik!$A55,Bilanço!$A:$A,0),0)),IF(MID(B$2,6,7)="3",HLOOKUP(B$1,Bilanço!$1:$151,MATCH(Çeyreklik!$A55,Bilanço!$A:$A,0),0),HLOOKUP(B$1,Bilanço!$1:$151,MATCH(Çeyreklik!$A55,Bilanço!$A:$A,0),0)-HLOOKUP(Bilanço!$B$1,Bilanço!$1:$151,MATCH(Çeyreklik!$A55,Bilanço!$A:$A,0),0))),"")</f>
        <v>-147740000</v>
      </c>
      <c r="C55" s="2">
        <f>IFERROR(IF(MID(C$2,6,7)="3",HLOOKUP(C$1,Bilanço!$1:$151,MATCH(Çeyreklik!$A55,Bilanço!$A:$A,0),0),HLOOKUP(C$1,Bilanço!$1:$151,MATCH(Çeyreklik!$A55,Bilanço!$A:$A,0),0)-HLOOKUP(B$1,Bilanço!$1:$151,MATCH(Çeyreklik!$A55,Bilanço!$A:$A,0),0)),"")</f>
        <v>393855000</v>
      </c>
      <c r="D55" s="2">
        <f>IFERROR(IF(MID(D$2,6,7)="3",HLOOKUP(D$1,Bilanço!$1:$151,MATCH(Çeyreklik!$A55,Bilanço!$A:$A,0),0),HLOOKUP(D$1,Bilanço!$1:$151,MATCH(Çeyreklik!$A55,Bilanço!$A:$A,0),0)-HLOOKUP(C$1,Bilanço!$1:$151,MATCH(Çeyreklik!$A55,Bilanço!$A:$A,0),0)),"")</f>
        <v>-20540000</v>
      </c>
      <c r="E55" s="2">
        <f>IFERROR(IF(MID(E$2,6,7)="3",HLOOKUP(E$1,Bilanço!$1:$151,MATCH(Çeyreklik!$A55,Bilanço!$A:$A,0),0),HLOOKUP(E$1,Bilanço!$1:$151,MATCH(Çeyreklik!$A55,Bilanço!$A:$A,0),0)-HLOOKUP(D$1,Bilanço!$1:$151,MATCH(Çeyreklik!$A55,Bilanço!$A:$A,0),0)),"")</f>
        <v>180820000</v>
      </c>
      <c r="F55" s="2">
        <f>IFERROR(IF(MID(F$2,6,7)="3",HLOOKUP(F$1,Bilanço!$1:$151,MATCH(Çeyreklik!$A55,Bilanço!$A:$A,0),0),HLOOKUP(F$1,Bilanço!$1:$151,MATCH(Çeyreklik!$A55,Bilanço!$A:$A,0),0)-HLOOKUP(E$1,Bilanço!$1:$151,MATCH(Çeyreklik!$A55,Bilanço!$A:$A,0),0)),"")</f>
        <v>305418000</v>
      </c>
      <c r="G55" s="2">
        <f>IFERROR(IF(MID(G$2,6,7)="3",HLOOKUP(G$1,Bilanço!$1:$151,MATCH(Çeyreklik!$A55,Bilanço!$A:$A,0),0),HLOOKUP(G$1,Bilanço!$1:$151,MATCH(Çeyreklik!$A55,Bilanço!$A:$A,0),0)-HLOOKUP(F$1,Bilanço!$1:$151,MATCH(Çeyreklik!$A55,Bilanço!$A:$A,0),0)),"")</f>
        <v>479905000</v>
      </c>
      <c r="H55" s="2">
        <f>IFERROR(IF(MID(H$2,6,7)="3",HLOOKUP(H$1,Bilanço!$1:$151,MATCH(Çeyreklik!$A55,Bilanço!$A:$A,0),0),HLOOKUP(H$1,Bilanço!$1:$151,MATCH(Çeyreklik!$A55,Bilanço!$A:$A,0),0)-HLOOKUP(G$1,Bilanço!$1:$151,MATCH(Çeyreklik!$A55,Bilanço!$A:$A,0),0)),"")</f>
        <v>2179095000</v>
      </c>
      <c r="I55" s="2">
        <f>IFERROR(IF(MID(I$2,6,7)="3",HLOOKUP(I$1,Bilanço!$1:$151,MATCH(Çeyreklik!$A55,Bilanço!$A:$A,0),0),HLOOKUP(I$1,Bilanço!$1:$151,MATCH(Çeyreklik!$A55,Bilanço!$A:$A,0),0)-HLOOKUP(H$1,Bilanço!$1:$151,MATCH(Çeyreklik!$A55,Bilanço!$A:$A,0),0)),"")</f>
        <v>2090583000</v>
      </c>
      <c r="J55" s="2">
        <f>IFERROR(IF(MID(J$2,6,7)="3",HLOOKUP(J$1,Bilanço!$1:$151,MATCH(Çeyreklik!$A55,Bilanço!$A:$A,0),0),HLOOKUP(J$1,Bilanço!$1:$151,MATCH(Çeyreklik!$A55,Bilanço!$A:$A,0),0)-HLOOKUP(I$1,Bilanço!$1:$151,MATCH(Çeyreklik!$A55,Bilanço!$A:$A,0),0)),"")</f>
        <v>1971053000</v>
      </c>
      <c r="K55" s="2">
        <f>IFERROR(IF(MID(K$2,6,7)="3",HLOOKUP(K$1,Bilanço!$1:$151,MATCH(Çeyreklik!$A55,Bilanço!$A:$A,0),0),HLOOKUP(K$1,Bilanço!$1:$151,MATCH(Çeyreklik!$A55,Bilanço!$A:$A,0),0)-HLOOKUP(J$1,Bilanço!$1:$151,MATCH(Çeyreklik!$A55,Bilanço!$A:$A,0),0)),"")</f>
        <v>1942998000</v>
      </c>
      <c r="L55" s="2">
        <f>IFERROR(IF(MID(L$2,6,7)="3",HLOOKUP(L$1,Bilanço!$1:$151,MATCH(Çeyreklik!$A55,Bilanço!$A:$A,0),0),HLOOKUP(L$1,Bilanço!$1:$151,MATCH(Çeyreklik!$A55,Bilanço!$A:$A,0),0)-HLOOKUP(K$1,Bilanço!$1:$151,MATCH(Çeyreklik!$A55,Bilanço!$A:$A,0),0)),"")</f>
        <v>3157961000</v>
      </c>
      <c r="M55" s="2">
        <f>IFERROR(IF(MID(M$2,6,7)="3",HLOOKUP(M$1,Bilanço!$1:$151,MATCH(Çeyreklik!$A55,Bilanço!$A:$A,0),0),HLOOKUP(M$1,Bilanço!$1:$151,MATCH(Çeyreklik!$A55,Bilanço!$A:$A,0),0)-HLOOKUP(L$1,Bilanço!$1:$151,MATCH(Çeyreklik!$A55,Bilanço!$A:$A,0),0)),"")</f>
        <v>3090432000</v>
      </c>
      <c r="N55" s="2">
        <f>IFERROR(IF(MID(N$2,6,7)="3",HLOOKUP(N$1,Bilanço!$1:$151,MATCH(Çeyreklik!$A55,Bilanço!$A:$A,0),0),HLOOKUP(N$1,Bilanço!$1:$151,MATCH(Çeyreklik!$A55,Bilanço!$A:$A,0),0)-HLOOKUP(M$1,Bilanço!$1:$151,MATCH(Çeyreklik!$A55,Bilanço!$A:$A,0),0)),"")</f>
        <v>7444914000</v>
      </c>
      <c r="O55" s="2">
        <f>IFERROR(IF(MID(O$2,6,7)="3",HLOOKUP(O$1,Bilanço!$1:$151,MATCH(Çeyreklik!$A55,Bilanço!$A:$A,0),0),HLOOKUP(O$1,Bilanço!$1:$151,MATCH(Çeyreklik!$A55,Bilanço!$A:$A,0),0)-HLOOKUP(N$1,Bilanço!$1:$151,MATCH(Çeyreklik!$A55,Bilanço!$A:$A,0),0)),"")</f>
        <v>909063000</v>
      </c>
      <c r="P55" s="2">
        <f>IFERROR(IF(MID(P$2,6,7)="3",HLOOKUP(P$1,Bilanço!$1:$151,MATCH(Çeyreklik!$A55,Bilanço!$A:$A,0),0),HLOOKUP(P$1,Bilanço!$1:$151,MATCH(Çeyreklik!$A55,Bilanço!$A:$A,0),0)-HLOOKUP(O$1,Bilanço!$1:$151,MATCH(Çeyreklik!$A55,Bilanço!$A:$A,0),0)),"")</f>
        <v>2218765000</v>
      </c>
      <c r="Q55" s="2">
        <f>IFERROR(IF(MID(Q$2,6,7)="3",HLOOKUP(Q$1,Bilanço!$1:$151,MATCH(Çeyreklik!$A55,Bilanço!$A:$A,0),0),HLOOKUP(Q$1,Bilanço!$1:$151,MATCH(Çeyreklik!$A55,Bilanço!$A:$A,0),0)-HLOOKUP(P$1,Bilanço!$1:$151,MATCH(Çeyreklik!$A55,Bilanço!$A:$A,0),0)),"")</f>
        <v>4279819000</v>
      </c>
      <c r="R55" s="2">
        <f>IFERROR(IF(MID(R$2,6,7)="3",HLOOKUP(R$1,Bilanço!$1:$151,MATCH(Çeyreklik!$A55,Bilanço!$A:$A,0),0),HLOOKUP(R$1,Bilanço!$1:$151,MATCH(Çeyreklik!$A55,Bilanço!$A:$A,0),0)-HLOOKUP(Q$1,Bilanço!$1:$151,MATCH(Çeyreklik!$A55,Bilanço!$A:$A,0),0)),"")</f>
        <v>2274180000</v>
      </c>
      <c r="S55" s="2">
        <f>IFERROR(IF(MID(S$2,6,7)="3",HLOOKUP(S$1,Bilanço!$1:$151,MATCH(Çeyreklik!$A55,Bilanço!$A:$A,0),0),HLOOKUP(S$1,Bilanço!$1:$151,MATCH(Çeyreklik!$A55,Bilanço!$A:$A,0),0)-HLOOKUP(R$1,Bilanço!$1:$151,MATCH(Çeyreklik!$A55,Bilanço!$A:$A,0),0)),"")</f>
        <v>4103773000</v>
      </c>
      <c r="T55" s="2">
        <f>IFERROR(IF(MID(T$2,6,7)="3",HLOOKUP(T$1,Bilanço!$1:$151,MATCH(Çeyreklik!$A55,Bilanço!$A:$A,0),0),HLOOKUP(T$1,Bilanço!$1:$151,MATCH(Çeyreklik!$A55,Bilanço!$A:$A,0),0)-HLOOKUP(S$1,Bilanço!$1:$151,MATCH(Çeyreklik!$A55,Bilanço!$A:$A,0),0)),"")</f>
        <v>2149407972</v>
      </c>
      <c r="U55" s="2">
        <f>IFERROR(IF(MID(U$2,6,7)="3",HLOOKUP(U$1,Bilanço!$1:$151,MATCH(Çeyreklik!$A55,Bilanço!$A:$A,0),0),HLOOKUP(U$1,Bilanço!$1:$151,MATCH(Çeyreklik!$A55,Bilanço!$A:$A,0),0)-HLOOKUP(T$1,Bilanço!$1:$151,MATCH(Çeyreklik!$A55,Bilanço!$A:$A,0),0)),"")</f>
        <v>4903943000</v>
      </c>
      <c r="V55" s="2">
        <f>IFERROR(IF(MID(V$2,6,7)="3",HLOOKUP(V$1,Bilanço!$1:$151,MATCH(Çeyreklik!$A55,Bilanço!$A:$A,0),0),HLOOKUP(V$1,Bilanço!$1:$151,MATCH(Çeyreklik!$A55,Bilanço!$A:$A,0),0)-HLOOKUP(U$1,Bilanço!$1:$151,MATCH(Çeyreklik!$A55,Bilanço!$A:$A,0),0)),"")</f>
        <v>3640770000</v>
      </c>
      <c r="W55" s="2">
        <f>IFERROR(IF(MID(W$2,6,7)="3",HLOOKUP(W$1,Bilanço!$1:$151,MATCH(Çeyreklik!$A55,Bilanço!$A:$A,0),0),HLOOKUP(W$1,Bilanço!$1:$151,MATCH(Çeyreklik!$A55,Bilanço!$A:$A,0),0)-HLOOKUP(V$1,Bilanço!$1:$151,MATCH(Çeyreklik!$A55,Bilanço!$A:$A,0),0)),"")</f>
        <v>4360227000</v>
      </c>
    </row>
    <row r="56" spans="1:23" x14ac:dyDescent="0.25">
      <c r="A56" t="str">
        <f>Data!A127</f>
        <v xml:space="preserve">  Amortisman &amp; İtfa Payları</v>
      </c>
      <c r="B56" s="2">
        <f>IFERROR(IF($B$2="2022/3",IF(MID(B$2,6,7)="3",HLOOKUP(B$1,Bilanço!$1:$151,MATCH(Çeyreklik!$A56,Bilanço!$A:$A,0),0),HLOOKUP(B$1,Bilanço!$1:$151,MATCH(Çeyreklik!$A56,Bilanço!$A:$A,0),0)-HLOOKUP(A$1,Bilanço!$1:$151,MATCH(Çeyreklik!$A56,Bilanço!$A:$A,0),0)),IF(MID(B$2,6,7)="3",HLOOKUP(B$1,Bilanço!$1:$151,MATCH(Çeyreklik!$A56,Bilanço!$A:$A,0),0),HLOOKUP(B$1,Bilanço!$1:$151,MATCH(Çeyreklik!$A56,Bilanço!$A:$A,0),0)-HLOOKUP(Bilanço!$B$1,Bilanço!$1:$151,MATCH(Çeyreklik!$A56,Bilanço!$A:$A,0),0))),"")</f>
        <v>45770000</v>
      </c>
      <c r="C56" s="2">
        <f>IFERROR(IF(MID(C$2,6,7)="3",HLOOKUP(C$1,Bilanço!$1:$151,MATCH(Çeyreklik!$A56,Bilanço!$A:$A,0),0),HLOOKUP(C$1,Bilanço!$1:$151,MATCH(Çeyreklik!$A56,Bilanço!$A:$A,0),0)-HLOOKUP(B$1,Bilanço!$1:$151,MATCH(Çeyreklik!$A56,Bilanço!$A:$A,0),0)),"")</f>
        <v>56028000</v>
      </c>
      <c r="D56" s="2">
        <f>IFERROR(IF(MID(D$2,6,7)="3",HLOOKUP(D$1,Bilanço!$1:$151,MATCH(Çeyreklik!$A56,Bilanço!$A:$A,0),0),HLOOKUP(D$1,Bilanço!$1:$151,MATCH(Çeyreklik!$A56,Bilanço!$A:$A,0),0)-HLOOKUP(C$1,Bilanço!$1:$151,MATCH(Çeyreklik!$A56,Bilanço!$A:$A,0),0)),"")</f>
        <v>53481000</v>
      </c>
      <c r="E56" s="2">
        <f>IFERROR(IF(MID(E$2,6,7)="3",HLOOKUP(E$1,Bilanço!$1:$151,MATCH(Çeyreklik!$A56,Bilanço!$A:$A,0),0),HLOOKUP(E$1,Bilanço!$1:$151,MATCH(Çeyreklik!$A56,Bilanço!$A:$A,0),0)-HLOOKUP(D$1,Bilanço!$1:$151,MATCH(Çeyreklik!$A56,Bilanço!$A:$A,0),0)),"")</f>
        <v>52972000</v>
      </c>
      <c r="F56" s="2">
        <f>IFERROR(IF(MID(F$2,6,7)="3",HLOOKUP(F$1,Bilanço!$1:$151,MATCH(Çeyreklik!$A56,Bilanço!$A:$A,0),0),HLOOKUP(F$1,Bilanço!$1:$151,MATCH(Çeyreklik!$A56,Bilanço!$A:$A,0),0)-HLOOKUP(E$1,Bilanço!$1:$151,MATCH(Çeyreklik!$A56,Bilanço!$A:$A,0),0)),"")</f>
        <v>56138000</v>
      </c>
      <c r="G56" s="2">
        <f>IFERROR(IF(MID(G$2,6,7)="3",HLOOKUP(G$1,Bilanço!$1:$151,MATCH(Çeyreklik!$A56,Bilanço!$A:$A,0),0),HLOOKUP(G$1,Bilanço!$1:$151,MATCH(Çeyreklik!$A56,Bilanço!$A:$A,0),0)-HLOOKUP(F$1,Bilanço!$1:$151,MATCH(Çeyreklik!$A56,Bilanço!$A:$A,0),0)),"")</f>
        <v>59379000</v>
      </c>
      <c r="H56" s="2">
        <f>IFERROR(IF(MID(H$2,6,7)="3",HLOOKUP(H$1,Bilanço!$1:$151,MATCH(Çeyreklik!$A56,Bilanço!$A:$A,0),0),HLOOKUP(H$1,Bilanço!$1:$151,MATCH(Çeyreklik!$A56,Bilanço!$A:$A,0),0)-HLOOKUP(G$1,Bilanço!$1:$151,MATCH(Çeyreklik!$A56,Bilanço!$A:$A,0),0)),"")</f>
        <v>61520000</v>
      </c>
      <c r="I56" s="2">
        <f>IFERROR(IF(MID(I$2,6,7)="3",HLOOKUP(I$1,Bilanço!$1:$151,MATCH(Çeyreklik!$A56,Bilanço!$A:$A,0),0),HLOOKUP(I$1,Bilanço!$1:$151,MATCH(Çeyreklik!$A56,Bilanço!$A:$A,0),0)-HLOOKUP(H$1,Bilanço!$1:$151,MATCH(Çeyreklik!$A56,Bilanço!$A:$A,0),0)),"")</f>
        <v>78065000</v>
      </c>
      <c r="J56" s="2">
        <f>IFERROR(IF(MID(J$2,6,7)="3",HLOOKUP(J$1,Bilanço!$1:$151,MATCH(Çeyreklik!$A56,Bilanço!$A:$A,0),0),HLOOKUP(J$1,Bilanço!$1:$151,MATCH(Çeyreklik!$A56,Bilanço!$A:$A,0),0)-HLOOKUP(I$1,Bilanço!$1:$151,MATCH(Çeyreklik!$A56,Bilanço!$A:$A,0),0)),"")</f>
        <v>83489000</v>
      </c>
      <c r="K56" s="2">
        <f>IFERROR(IF(MID(K$2,6,7)="3",HLOOKUP(K$1,Bilanço!$1:$151,MATCH(Çeyreklik!$A56,Bilanço!$A:$A,0),0),HLOOKUP(K$1,Bilanço!$1:$151,MATCH(Çeyreklik!$A56,Bilanço!$A:$A,0),0)-HLOOKUP(J$1,Bilanço!$1:$151,MATCH(Çeyreklik!$A56,Bilanço!$A:$A,0),0)),"")</f>
        <v>88855000</v>
      </c>
      <c r="L56" s="2">
        <f>IFERROR(IF(MID(L$2,6,7)="3",HLOOKUP(L$1,Bilanço!$1:$151,MATCH(Çeyreklik!$A56,Bilanço!$A:$A,0),0),HLOOKUP(L$1,Bilanço!$1:$151,MATCH(Çeyreklik!$A56,Bilanço!$A:$A,0),0)-HLOOKUP(K$1,Bilanço!$1:$151,MATCH(Çeyreklik!$A56,Bilanço!$A:$A,0),0)),"")</f>
        <v>917358000</v>
      </c>
      <c r="M56" s="2">
        <f>IFERROR(IF(MID(M$2,6,7)="3",HLOOKUP(M$1,Bilanço!$1:$151,MATCH(Çeyreklik!$A56,Bilanço!$A:$A,0),0),HLOOKUP(M$1,Bilanço!$1:$151,MATCH(Çeyreklik!$A56,Bilanço!$A:$A,0),0)-HLOOKUP(L$1,Bilanço!$1:$151,MATCH(Çeyreklik!$A56,Bilanço!$A:$A,0),0)),"")</f>
        <v>360836000</v>
      </c>
      <c r="N56" s="2">
        <f>IFERROR(IF(MID(N$2,6,7)="3",HLOOKUP(N$1,Bilanço!$1:$151,MATCH(Çeyreklik!$A56,Bilanço!$A:$A,0),0),HLOOKUP(N$1,Bilanço!$1:$151,MATCH(Çeyreklik!$A56,Bilanço!$A:$A,0),0)-HLOOKUP(M$1,Bilanço!$1:$151,MATCH(Çeyreklik!$A56,Bilanço!$A:$A,0),0)),"")</f>
        <v>415680000</v>
      </c>
      <c r="O56" s="2">
        <f>IFERROR(IF(MID(O$2,6,7)="3",HLOOKUP(O$1,Bilanço!$1:$151,MATCH(Çeyreklik!$A56,Bilanço!$A:$A,0),0),HLOOKUP(O$1,Bilanço!$1:$151,MATCH(Çeyreklik!$A56,Bilanço!$A:$A,0),0)-HLOOKUP(N$1,Bilanço!$1:$151,MATCH(Çeyreklik!$A56,Bilanço!$A:$A,0),0)),"")</f>
        <v>453718000</v>
      </c>
      <c r="P56" s="2">
        <f>IFERROR(IF(MID(P$2,6,7)="3",HLOOKUP(P$1,Bilanço!$1:$151,MATCH(Çeyreklik!$A56,Bilanço!$A:$A,0),0),HLOOKUP(P$1,Bilanço!$1:$151,MATCH(Çeyreklik!$A56,Bilanço!$A:$A,0),0)-HLOOKUP(O$1,Bilanço!$1:$151,MATCH(Çeyreklik!$A56,Bilanço!$A:$A,0),0)),"")</f>
        <v>479367000</v>
      </c>
      <c r="Q56" s="2">
        <f>IFERROR(IF(MID(Q$2,6,7)="3",HLOOKUP(Q$1,Bilanço!$1:$151,MATCH(Çeyreklik!$A56,Bilanço!$A:$A,0),0),HLOOKUP(Q$1,Bilanço!$1:$151,MATCH(Çeyreklik!$A56,Bilanço!$A:$A,0),0)-HLOOKUP(P$1,Bilanço!$1:$151,MATCH(Çeyreklik!$A56,Bilanço!$A:$A,0),0)),"")</f>
        <v>520654000</v>
      </c>
      <c r="R56" s="2">
        <f>IFERROR(IF(MID(R$2,6,7)="3",HLOOKUP(R$1,Bilanço!$1:$151,MATCH(Çeyreklik!$A56,Bilanço!$A:$A,0),0),HLOOKUP(R$1,Bilanço!$1:$151,MATCH(Çeyreklik!$A56,Bilanço!$A:$A,0),0)-HLOOKUP(Q$1,Bilanço!$1:$151,MATCH(Çeyreklik!$A56,Bilanço!$A:$A,0),0)),"")</f>
        <v>526436000</v>
      </c>
      <c r="S56" s="2">
        <f>IFERROR(IF(MID(S$2,6,7)="3",HLOOKUP(S$1,Bilanço!$1:$151,MATCH(Çeyreklik!$A56,Bilanço!$A:$A,0),0),HLOOKUP(S$1,Bilanço!$1:$151,MATCH(Çeyreklik!$A56,Bilanço!$A:$A,0),0)-HLOOKUP(R$1,Bilanço!$1:$151,MATCH(Çeyreklik!$A56,Bilanço!$A:$A,0),0)),"")</f>
        <v>584790000</v>
      </c>
      <c r="T56" s="2">
        <f>IFERROR(IF(MID(T$2,6,7)="3",HLOOKUP(T$1,Bilanço!$1:$151,MATCH(Çeyreklik!$A56,Bilanço!$A:$A,0),0),HLOOKUP(T$1,Bilanço!$1:$151,MATCH(Çeyreklik!$A56,Bilanço!$A:$A,0),0)-HLOOKUP(S$1,Bilanço!$1:$151,MATCH(Çeyreklik!$A56,Bilanço!$A:$A,0),0)),"")</f>
        <v>651723688</v>
      </c>
      <c r="U56" s="2">
        <f>IFERROR(IF(MID(U$2,6,7)="3",HLOOKUP(U$1,Bilanço!$1:$151,MATCH(Çeyreklik!$A56,Bilanço!$A:$A,0),0),HLOOKUP(U$1,Bilanço!$1:$151,MATCH(Çeyreklik!$A56,Bilanço!$A:$A,0),0)-HLOOKUP(T$1,Bilanço!$1:$151,MATCH(Çeyreklik!$A56,Bilanço!$A:$A,0),0)),"")</f>
        <v>520989000</v>
      </c>
      <c r="V56" s="2">
        <f>IFERROR(IF(MID(V$2,6,7)="3",HLOOKUP(V$1,Bilanço!$1:$151,MATCH(Çeyreklik!$A56,Bilanço!$A:$A,0),0),HLOOKUP(V$1,Bilanço!$1:$151,MATCH(Çeyreklik!$A56,Bilanço!$A:$A,0),0)-HLOOKUP(U$1,Bilanço!$1:$151,MATCH(Çeyreklik!$A56,Bilanço!$A:$A,0),0)),"")</f>
        <v>545006000</v>
      </c>
      <c r="W56" s="2">
        <f>IFERROR(IF(MID(W$2,6,7)="3",HLOOKUP(W$1,Bilanço!$1:$151,MATCH(Çeyreklik!$A56,Bilanço!$A:$A,0),0),HLOOKUP(W$1,Bilanço!$1:$151,MATCH(Çeyreklik!$A56,Bilanço!$A:$A,0),0)-HLOOKUP(V$1,Bilanço!$1:$151,MATCH(Çeyreklik!$A56,Bilanço!$A:$A,0),0)),"")</f>
        <v>704989000</v>
      </c>
    </row>
    <row r="57" spans="1:23" x14ac:dyDescent="0.25">
      <c r="A57" t="str">
        <f>Data!A128</f>
        <v xml:space="preserve">  Karşılıklardaki Değişim</v>
      </c>
      <c r="B57" s="2">
        <f>IFERROR(IF($B$2="2022/3",IF(MID(B$2,6,7)="3",HLOOKUP(B$1,Bilanço!$1:$151,MATCH(Çeyreklik!$A57,Bilanço!$A:$A,0),0),HLOOKUP(B$1,Bilanço!$1:$151,MATCH(Çeyreklik!$A57,Bilanço!$A:$A,0),0)-HLOOKUP(A$1,Bilanço!$1:$151,MATCH(Çeyreklik!$A57,Bilanço!$A:$A,0),0)),IF(MID(B$2,6,7)="3",HLOOKUP(B$1,Bilanço!$1:$151,MATCH(Çeyreklik!$A57,Bilanço!$A:$A,0),0),HLOOKUP(B$1,Bilanço!$1:$151,MATCH(Çeyreklik!$A57,Bilanço!$A:$A,0),0)-HLOOKUP(Bilanço!$B$1,Bilanço!$1:$151,MATCH(Çeyreklik!$A57,Bilanço!$A:$A,0),0))),"")</f>
        <v>1994000</v>
      </c>
      <c r="C57" s="2">
        <f>IFERROR(IF(MID(C$2,6,7)="3",HLOOKUP(C$1,Bilanço!$1:$151,MATCH(Çeyreklik!$A57,Bilanço!$A:$A,0),0),HLOOKUP(C$1,Bilanço!$1:$151,MATCH(Çeyreklik!$A57,Bilanço!$A:$A,0),0)-HLOOKUP(B$1,Bilanço!$1:$151,MATCH(Çeyreklik!$A57,Bilanço!$A:$A,0),0)),"")</f>
        <v>89706000</v>
      </c>
      <c r="D57" s="2">
        <f>IFERROR(IF(MID(D$2,6,7)="3",HLOOKUP(D$1,Bilanço!$1:$151,MATCH(Çeyreklik!$A57,Bilanço!$A:$A,0),0),HLOOKUP(D$1,Bilanço!$1:$151,MATCH(Çeyreklik!$A57,Bilanço!$A:$A,0),0)-HLOOKUP(C$1,Bilanço!$1:$151,MATCH(Çeyreklik!$A57,Bilanço!$A:$A,0),0)),"")</f>
        <v>-57559000</v>
      </c>
      <c r="E57" s="2">
        <f>IFERROR(IF(MID(E$2,6,7)="3",HLOOKUP(E$1,Bilanço!$1:$151,MATCH(Çeyreklik!$A57,Bilanço!$A:$A,0),0),HLOOKUP(E$1,Bilanço!$1:$151,MATCH(Çeyreklik!$A57,Bilanço!$A:$A,0),0)-HLOOKUP(D$1,Bilanço!$1:$151,MATCH(Çeyreklik!$A57,Bilanço!$A:$A,0),0)),"")</f>
        <v>129507000</v>
      </c>
      <c r="F57" s="2">
        <f>IFERROR(IF(MID(F$2,6,7)="3",HLOOKUP(F$1,Bilanço!$1:$151,MATCH(Çeyreklik!$A57,Bilanço!$A:$A,0),0),HLOOKUP(F$1,Bilanço!$1:$151,MATCH(Çeyreklik!$A57,Bilanço!$A:$A,0),0)-HLOOKUP(E$1,Bilanço!$1:$151,MATCH(Çeyreklik!$A57,Bilanço!$A:$A,0),0)),"")</f>
        <v>98897000</v>
      </c>
      <c r="G57" s="2">
        <f>IFERROR(IF(MID(G$2,6,7)="3",HLOOKUP(G$1,Bilanço!$1:$151,MATCH(Çeyreklik!$A57,Bilanço!$A:$A,0),0),HLOOKUP(G$1,Bilanço!$1:$151,MATCH(Çeyreklik!$A57,Bilanço!$A:$A,0),0)-HLOOKUP(F$1,Bilanço!$1:$151,MATCH(Çeyreklik!$A57,Bilanço!$A:$A,0),0)),"")</f>
        <v>40384000</v>
      </c>
      <c r="H57" s="2">
        <f>IFERROR(IF(MID(H$2,6,7)="3",HLOOKUP(H$1,Bilanço!$1:$151,MATCH(Çeyreklik!$A57,Bilanço!$A:$A,0),0),HLOOKUP(H$1,Bilanço!$1:$151,MATCH(Çeyreklik!$A57,Bilanço!$A:$A,0),0)-HLOOKUP(G$1,Bilanço!$1:$151,MATCH(Çeyreklik!$A57,Bilanço!$A:$A,0),0)),"")</f>
        <v>49151000</v>
      </c>
      <c r="I57" s="2">
        <f>IFERROR(IF(MID(I$2,6,7)="3",HLOOKUP(I$1,Bilanço!$1:$151,MATCH(Çeyreklik!$A57,Bilanço!$A:$A,0),0),HLOOKUP(I$1,Bilanço!$1:$151,MATCH(Çeyreklik!$A57,Bilanço!$A:$A,0),0)-HLOOKUP(H$1,Bilanço!$1:$151,MATCH(Çeyreklik!$A57,Bilanço!$A:$A,0),0)),"")</f>
        <v>340234000</v>
      </c>
      <c r="J57" s="2">
        <f>IFERROR(IF(MID(J$2,6,7)="3",HLOOKUP(J$1,Bilanço!$1:$151,MATCH(Çeyreklik!$A57,Bilanço!$A:$A,0),0),HLOOKUP(J$1,Bilanço!$1:$151,MATCH(Çeyreklik!$A57,Bilanço!$A:$A,0),0)-HLOOKUP(I$1,Bilanço!$1:$151,MATCH(Çeyreklik!$A57,Bilanço!$A:$A,0),0)),"")</f>
        <v>46845000</v>
      </c>
      <c r="K57" s="2">
        <f>IFERROR(IF(MID(K$2,6,7)="3",HLOOKUP(K$1,Bilanço!$1:$151,MATCH(Çeyreklik!$A57,Bilanço!$A:$A,0),0),HLOOKUP(K$1,Bilanço!$1:$151,MATCH(Çeyreklik!$A57,Bilanço!$A:$A,0),0)-HLOOKUP(J$1,Bilanço!$1:$151,MATCH(Çeyreklik!$A57,Bilanço!$A:$A,0),0)),"")</f>
        <v>202409000</v>
      </c>
      <c r="L57" s="2">
        <f>IFERROR(IF(MID(L$2,6,7)="3",HLOOKUP(L$1,Bilanço!$1:$151,MATCH(Çeyreklik!$A57,Bilanço!$A:$A,0),0),HLOOKUP(L$1,Bilanço!$1:$151,MATCH(Çeyreklik!$A57,Bilanço!$A:$A,0),0)-HLOOKUP(K$1,Bilanço!$1:$151,MATCH(Çeyreklik!$A57,Bilanço!$A:$A,0),0)),"")</f>
        <v>-132514000</v>
      </c>
      <c r="M57" s="2">
        <f>IFERROR(IF(MID(M$2,6,7)="3",HLOOKUP(M$1,Bilanço!$1:$151,MATCH(Çeyreklik!$A57,Bilanço!$A:$A,0),0),HLOOKUP(M$1,Bilanço!$1:$151,MATCH(Çeyreklik!$A57,Bilanço!$A:$A,0),0)-HLOOKUP(L$1,Bilanço!$1:$151,MATCH(Çeyreklik!$A57,Bilanço!$A:$A,0),0)),"")</f>
        <v>1461990000</v>
      </c>
      <c r="N57" s="2">
        <f>IFERROR(IF(MID(N$2,6,7)="3",HLOOKUP(N$1,Bilanço!$1:$151,MATCH(Çeyreklik!$A57,Bilanço!$A:$A,0),0),HLOOKUP(N$1,Bilanço!$1:$151,MATCH(Çeyreklik!$A57,Bilanço!$A:$A,0),0)-HLOOKUP(M$1,Bilanço!$1:$151,MATCH(Çeyreklik!$A57,Bilanço!$A:$A,0),0)),"")</f>
        <v>-105349000</v>
      </c>
      <c r="O57" s="2">
        <f>IFERROR(IF(MID(O$2,6,7)="3",HLOOKUP(O$1,Bilanço!$1:$151,MATCH(Çeyreklik!$A57,Bilanço!$A:$A,0),0),HLOOKUP(O$1,Bilanço!$1:$151,MATCH(Çeyreklik!$A57,Bilanço!$A:$A,0),0)-HLOOKUP(N$1,Bilanço!$1:$151,MATCH(Çeyreklik!$A57,Bilanço!$A:$A,0),0)),"")</f>
        <v>51950000</v>
      </c>
      <c r="P57" s="2">
        <f>IFERROR(IF(MID(P$2,6,7)="3",HLOOKUP(P$1,Bilanço!$1:$151,MATCH(Çeyreklik!$A57,Bilanço!$A:$A,0),0),HLOOKUP(P$1,Bilanço!$1:$151,MATCH(Çeyreklik!$A57,Bilanço!$A:$A,0),0)-HLOOKUP(O$1,Bilanço!$1:$151,MATCH(Çeyreklik!$A57,Bilanço!$A:$A,0),0)),"")</f>
        <v>-226318000</v>
      </c>
      <c r="Q57" s="2">
        <f>IFERROR(IF(MID(Q$2,6,7)="3",HLOOKUP(Q$1,Bilanço!$1:$151,MATCH(Çeyreklik!$A57,Bilanço!$A:$A,0),0),HLOOKUP(Q$1,Bilanço!$1:$151,MATCH(Çeyreklik!$A57,Bilanço!$A:$A,0),0)-HLOOKUP(P$1,Bilanço!$1:$151,MATCH(Çeyreklik!$A57,Bilanço!$A:$A,0),0)),"")</f>
        <v>1273170000</v>
      </c>
      <c r="R57" s="2">
        <f>IFERROR(IF(MID(R$2,6,7)="3",HLOOKUP(R$1,Bilanço!$1:$151,MATCH(Çeyreklik!$A57,Bilanço!$A:$A,0),0),HLOOKUP(R$1,Bilanço!$1:$151,MATCH(Çeyreklik!$A57,Bilanço!$A:$A,0),0)-HLOOKUP(Q$1,Bilanço!$1:$151,MATCH(Çeyreklik!$A57,Bilanço!$A:$A,0),0)),"")</f>
        <v>124166000</v>
      </c>
      <c r="S57" s="2">
        <f>IFERROR(IF(MID(S$2,6,7)="3",HLOOKUP(S$1,Bilanço!$1:$151,MATCH(Çeyreklik!$A57,Bilanço!$A:$A,0),0),HLOOKUP(S$1,Bilanço!$1:$151,MATCH(Çeyreklik!$A57,Bilanço!$A:$A,0),0)-HLOOKUP(R$1,Bilanço!$1:$151,MATCH(Çeyreklik!$A57,Bilanço!$A:$A,0),0)),"")</f>
        <v>162912000</v>
      </c>
      <c r="T57" s="2">
        <f>IFERROR(IF(MID(T$2,6,7)="3",HLOOKUP(T$1,Bilanço!$1:$151,MATCH(Çeyreklik!$A57,Bilanço!$A:$A,0),0),HLOOKUP(T$1,Bilanço!$1:$151,MATCH(Çeyreklik!$A57,Bilanço!$A:$A,0),0)-HLOOKUP(S$1,Bilanço!$1:$151,MATCH(Çeyreklik!$A57,Bilanço!$A:$A,0),0)),"")</f>
        <v>-186437793</v>
      </c>
      <c r="U57" s="2">
        <f>IFERROR(IF(MID(U$2,6,7)="3",HLOOKUP(U$1,Bilanço!$1:$151,MATCH(Çeyreklik!$A57,Bilanço!$A:$A,0),0),HLOOKUP(U$1,Bilanço!$1:$151,MATCH(Çeyreklik!$A57,Bilanço!$A:$A,0),0)-HLOOKUP(T$1,Bilanço!$1:$151,MATCH(Çeyreklik!$A57,Bilanço!$A:$A,0),0)),"")</f>
        <v>1530928000</v>
      </c>
      <c r="V57" s="2">
        <f>IFERROR(IF(MID(V$2,6,7)="3",HLOOKUP(V$1,Bilanço!$1:$151,MATCH(Çeyreklik!$A57,Bilanço!$A:$A,0),0),HLOOKUP(V$1,Bilanço!$1:$151,MATCH(Çeyreklik!$A57,Bilanço!$A:$A,0),0)-HLOOKUP(U$1,Bilanço!$1:$151,MATCH(Çeyreklik!$A57,Bilanço!$A:$A,0),0)),"")</f>
        <v>102512000</v>
      </c>
      <c r="W57" s="2">
        <f>IFERROR(IF(MID(W$2,6,7)="3",HLOOKUP(W$1,Bilanço!$1:$151,MATCH(Çeyreklik!$A57,Bilanço!$A:$A,0),0),HLOOKUP(W$1,Bilanço!$1:$151,MATCH(Çeyreklik!$A57,Bilanço!$A:$A,0),0)-HLOOKUP(V$1,Bilanço!$1:$151,MATCH(Çeyreklik!$A57,Bilanço!$A:$A,0),0)),"")</f>
        <v>310465000</v>
      </c>
    </row>
    <row r="58" spans="1:23" x14ac:dyDescent="0.25">
      <c r="A58" t="str">
        <f>Data!A129</f>
        <v xml:space="preserve">  Diğer Gelir/ Gider</v>
      </c>
      <c r="B58" s="2">
        <f>IFERROR(IF($B$2="2022/3",IF(MID(B$2,6,7)="3",HLOOKUP(B$1,Bilanço!$1:$151,MATCH(Çeyreklik!$A58,Bilanço!$A:$A,0),0),HLOOKUP(B$1,Bilanço!$1:$151,MATCH(Çeyreklik!$A58,Bilanço!$A:$A,0),0)-HLOOKUP(A$1,Bilanço!$1:$151,MATCH(Çeyreklik!$A58,Bilanço!$A:$A,0),0)),IF(MID(B$2,6,7)="3",HLOOKUP(B$1,Bilanço!$1:$151,MATCH(Çeyreklik!$A58,Bilanço!$A:$A,0),0),HLOOKUP(B$1,Bilanço!$1:$151,MATCH(Çeyreklik!$A58,Bilanço!$A:$A,0),0)-HLOOKUP(Bilanço!$B$1,Bilanço!$1:$151,MATCH(Çeyreklik!$A58,Bilanço!$A:$A,0),0))),"")</f>
        <v>-195504000</v>
      </c>
      <c r="C58" s="2">
        <f>IFERROR(IF(MID(C$2,6,7)="3",HLOOKUP(C$1,Bilanço!$1:$151,MATCH(Çeyreklik!$A58,Bilanço!$A:$A,0),0),HLOOKUP(C$1,Bilanço!$1:$151,MATCH(Çeyreklik!$A58,Bilanço!$A:$A,0),0)-HLOOKUP(B$1,Bilanço!$1:$151,MATCH(Çeyreklik!$A58,Bilanço!$A:$A,0),0)),"")</f>
        <v>248121000</v>
      </c>
      <c r="D58" s="2">
        <f>IFERROR(IF(MID(D$2,6,7)="3",HLOOKUP(D$1,Bilanço!$1:$151,MATCH(Çeyreklik!$A58,Bilanço!$A:$A,0),0),HLOOKUP(D$1,Bilanço!$1:$151,MATCH(Çeyreklik!$A58,Bilanço!$A:$A,0),0)-HLOOKUP(C$1,Bilanço!$1:$151,MATCH(Çeyreklik!$A58,Bilanço!$A:$A,0),0)),"")</f>
        <v>-16462000</v>
      </c>
      <c r="E58" s="2">
        <f>IFERROR(IF(MID(E$2,6,7)="3",HLOOKUP(E$1,Bilanço!$1:$151,MATCH(Çeyreklik!$A58,Bilanço!$A:$A,0),0),HLOOKUP(E$1,Bilanço!$1:$151,MATCH(Çeyreklik!$A58,Bilanço!$A:$A,0),0)-HLOOKUP(D$1,Bilanço!$1:$151,MATCH(Çeyreklik!$A58,Bilanço!$A:$A,0),0)),"")</f>
        <v>-1659000</v>
      </c>
      <c r="F58" s="2">
        <f>IFERROR(IF(MID(F$2,6,7)="3",HLOOKUP(F$1,Bilanço!$1:$151,MATCH(Çeyreklik!$A58,Bilanço!$A:$A,0),0),HLOOKUP(F$1,Bilanço!$1:$151,MATCH(Çeyreklik!$A58,Bilanço!$A:$A,0),0)-HLOOKUP(E$1,Bilanço!$1:$151,MATCH(Çeyreklik!$A58,Bilanço!$A:$A,0),0)),"")</f>
        <v>150383000</v>
      </c>
      <c r="G58" s="2">
        <f>IFERROR(IF(MID(G$2,6,7)="3",HLOOKUP(G$1,Bilanço!$1:$151,MATCH(Çeyreklik!$A58,Bilanço!$A:$A,0),0),HLOOKUP(G$1,Bilanço!$1:$151,MATCH(Çeyreklik!$A58,Bilanço!$A:$A,0),0)-HLOOKUP(F$1,Bilanço!$1:$151,MATCH(Çeyreklik!$A58,Bilanço!$A:$A,0),0)),"")</f>
        <v>380142000</v>
      </c>
      <c r="H58" s="2">
        <f>IFERROR(IF(MID(H$2,6,7)="3",HLOOKUP(H$1,Bilanço!$1:$151,MATCH(Çeyreklik!$A58,Bilanço!$A:$A,0),0),HLOOKUP(H$1,Bilanço!$1:$151,MATCH(Çeyreklik!$A58,Bilanço!$A:$A,0),0)-HLOOKUP(G$1,Bilanço!$1:$151,MATCH(Çeyreklik!$A58,Bilanço!$A:$A,0),0)),"")</f>
        <v>2068424000</v>
      </c>
      <c r="I58" s="2">
        <f>IFERROR(IF(MID(I$2,6,7)="3",HLOOKUP(I$1,Bilanço!$1:$151,MATCH(Çeyreklik!$A58,Bilanço!$A:$A,0),0),HLOOKUP(I$1,Bilanço!$1:$151,MATCH(Çeyreklik!$A58,Bilanço!$A:$A,0),0)-HLOOKUP(H$1,Bilanço!$1:$151,MATCH(Çeyreklik!$A58,Bilanço!$A:$A,0),0)),"")</f>
        <v>1672284000</v>
      </c>
      <c r="J58" s="2">
        <f>IFERROR(IF(MID(J$2,6,7)="3",HLOOKUP(J$1,Bilanço!$1:$151,MATCH(Çeyreklik!$A58,Bilanço!$A:$A,0),0),HLOOKUP(J$1,Bilanço!$1:$151,MATCH(Çeyreklik!$A58,Bilanço!$A:$A,0),0)-HLOOKUP(I$1,Bilanço!$1:$151,MATCH(Çeyreklik!$A58,Bilanço!$A:$A,0),0)),"")</f>
        <v>1840719000</v>
      </c>
      <c r="K58" s="2">
        <f>IFERROR(IF(MID(K$2,6,7)="3",HLOOKUP(K$1,Bilanço!$1:$151,MATCH(Çeyreklik!$A58,Bilanço!$A:$A,0),0),HLOOKUP(K$1,Bilanço!$1:$151,MATCH(Çeyreklik!$A58,Bilanço!$A:$A,0),0)-HLOOKUP(J$1,Bilanço!$1:$151,MATCH(Çeyreklik!$A58,Bilanço!$A:$A,0),0)),"")</f>
        <v>1651734000</v>
      </c>
      <c r="L58" s="2">
        <f>IFERROR(IF(MID(L$2,6,7)="3",HLOOKUP(L$1,Bilanço!$1:$151,MATCH(Çeyreklik!$A58,Bilanço!$A:$A,0),0),HLOOKUP(L$1,Bilanço!$1:$151,MATCH(Çeyreklik!$A58,Bilanço!$A:$A,0),0)-HLOOKUP(K$1,Bilanço!$1:$151,MATCH(Çeyreklik!$A58,Bilanço!$A:$A,0),0)),"")</f>
        <v>2373117000</v>
      </c>
      <c r="M58" s="2">
        <f>IFERROR(IF(MID(M$2,6,7)="3",HLOOKUP(M$1,Bilanço!$1:$151,MATCH(Çeyreklik!$A58,Bilanço!$A:$A,0),0),HLOOKUP(M$1,Bilanço!$1:$151,MATCH(Çeyreklik!$A58,Bilanço!$A:$A,0),0)-HLOOKUP(L$1,Bilanço!$1:$151,MATCH(Çeyreklik!$A58,Bilanço!$A:$A,0),0)),"")</f>
        <v>1267606000</v>
      </c>
      <c r="N58" s="2">
        <f>IFERROR(IF(MID(N$2,6,7)="3",HLOOKUP(N$1,Bilanço!$1:$151,MATCH(Çeyreklik!$A58,Bilanço!$A:$A,0),0),HLOOKUP(N$1,Bilanço!$1:$151,MATCH(Çeyreklik!$A58,Bilanço!$A:$A,0),0)-HLOOKUP(M$1,Bilanço!$1:$151,MATCH(Çeyreklik!$A58,Bilanço!$A:$A,0),0)),"")</f>
        <v>8510092000</v>
      </c>
      <c r="O58" s="2">
        <f>IFERROR(IF(MID(O$2,6,7)="3",HLOOKUP(O$1,Bilanço!$1:$151,MATCH(Çeyreklik!$A58,Bilanço!$A:$A,0),0),HLOOKUP(O$1,Bilanço!$1:$151,MATCH(Çeyreklik!$A58,Bilanço!$A:$A,0),0)-HLOOKUP(N$1,Bilanço!$1:$151,MATCH(Çeyreklik!$A58,Bilanço!$A:$A,0),0)),"")</f>
        <v>3867359000</v>
      </c>
      <c r="P58" s="2">
        <f>IFERROR(IF(MID(P$2,6,7)="3",HLOOKUP(P$1,Bilanço!$1:$151,MATCH(Çeyreklik!$A58,Bilanço!$A:$A,0),0),HLOOKUP(P$1,Bilanço!$1:$151,MATCH(Çeyreklik!$A58,Bilanço!$A:$A,0),0)-HLOOKUP(O$1,Bilanço!$1:$151,MATCH(Çeyreklik!$A58,Bilanço!$A:$A,0),0)),"")</f>
        <v>2678630000</v>
      </c>
      <c r="Q58" s="2">
        <f>IFERROR(IF(MID(Q$2,6,7)="3",HLOOKUP(Q$1,Bilanço!$1:$151,MATCH(Çeyreklik!$A58,Bilanço!$A:$A,0),0),HLOOKUP(Q$1,Bilanço!$1:$151,MATCH(Çeyreklik!$A58,Bilanço!$A:$A,0),0)-HLOOKUP(P$1,Bilanço!$1:$151,MATCH(Çeyreklik!$A58,Bilanço!$A:$A,0),0)),"")</f>
        <v>4177443000</v>
      </c>
      <c r="R58" s="2">
        <f>IFERROR(IF(MID(R$2,6,7)="3",HLOOKUP(R$1,Bilanço!$1:$151,MATCH(Çeyreklik!$A58,Bilanço!$A:$A,0),0),HLOOKUP(R$1,Bilanço!$1:$151,MATCH(Çeyreklik!$A58,Bilanço!$A:$A,0),0)-HLOOKUP(Q$1,Bilanço!$1:$151,MATCH(Çeyreklik!$A58,Bilanço!$A:$A,0),0)),"")</f>
        <v>3076695000</v>
      </c>
      <c r="S58" s="2">
        <f>IFERROR(IF(MID(S$2,6,7)="3",HLOOKUP(S$1,Bilanço!$1:$151,MATCH(Çeyreklik!$A58,Bilanço!$A:$A,0),0),HLOOKUP(S$1,Bilanço!$1:$151,MATCH(Çeyreklik!$A58,Bilanço!$A:$A,0),0)-HLOOKUP(R$1,Bilanço!$1:$151,MATCH(Çeyreklik!$A58,Bilanço!$A:$A,0),0)),"")</f>
        <v>3972495000</v>
      </c>
      <c r="T58" s="2">
        <f>IFERROR(IF(MID(T$2,6,7)="3",HLOOKUP(T$1,Bilanço!$1:$151,MATCH(Çeyreklik!$A58,Bilanço!$A:$A,0),0),HLOOKUP(T$1,Bilanço!$1:$151,MATCH(Çeyreklik!$A58,Bilanço!$A:$A,0),0)-HLOOKUP(S$1,Bilanço!$1:$151,MATCH(Çeyreklik!$A58,Bilanço!$A:$A,0),0)),"")</f>
        <v>1356646378</v>
      </c>
      <c r="U58" s="2">
        <f>IFERROR(IF(MID(U$2,6,7)="3",HLOOKUP(U$1,Bilanço!$1:$151,MATCH(Çeyreklik!$A58,Bilanço!$A:$A,0),0),HLOOKUP(U$1,Bilanço!$1:$151,MATCH(Çeyreklik!$A58,Bilanço!$A:$A,0),0)-HLOOKUP(T$1,Bilanço!$1:$151,MATCH(Çeyreklik!$A58,Bilanço!$A:$A,0),0)),"")</f>
        <v>3520417000</v>
      </c>
      <c r="V58" s="2">
        <f>IFERROR(IF(MID(V$2,6,7)="3",HLOOKUP(V$1,Bilanço!$1:$151,MATCH(Çeyreklik!$A58,Bilanço!$A:$A,0),0),HLOOKUP(V$1,Bilanço!$1:$151,MATCH(Çeyreklik!$A58,Bilanço!$A:$A,0),0)-HLOOKUP(U$1,Bilanço!$1:$151,MATCH(Çeyreklik!$A58,Bilanço!$A:$A,0),0)),"")</f>
        <v>3217575000</v>
      </c>
      <c r="W58" s="2">
        <f>IFERROR(IF(MID(W$2,6,7)="3",HLOOKUP(W$1,Bilanço!$1:$151,MATCH(Çeyreklik!$A58,Bilanço!$A:$A,0),0),HLOOKUP(W$1,Bilanço!$1:$151,MATCH(Çeyreklik!$A58,Bilanço!$A:$A,0),0)-HLOOKUP(V$1,Bilanço!$1:$151,MATCH(Çeyreklik!$A58,Bilanço!$A:$A,0),0)),"")</f>
        <v>4271929000</v>
      </c>
    </row>
    <row r="59" spans="1:23" x14ac:dyDescent="0.25">
      <c r="A59" t="str">
        <f>Data!A130</f>
        <v xml:space="preserve"> İşletme Sermayesinde Değişikler Öncesi Faaliyet Karı (+)</v>
      </c>
      <c r="B59" s="2">
        <f>IFERROR(IF($B$2="2022/3",IF(MID(B$2,6,7)="3",HLOOKUP(B$1,Bilanço!$1:$151,MATCH(Çeyreklik!$A59,Bilanço!$A:$A,0),0),HLOOKUP(B$1,Bilanço!$1:$151,MATCH(Çeyreklik!$A59,Bilanço!$A:$A,0),0)-HLOOKUP(A$1,Bilanço!$1:$151,MATCH(Çeyreklik!$A59,Bilanço!$A:$A,0),0)),IF(MID(B$2,6,7)="3",HLOOKUP(B$1,Bilanço!$1:$151,MATCH(Çeyreklik!$A59,Bilanço!$A:$A,0),0),HLOOKUP(B$1,Bilanço!$1:$151,MATCH(Çeyreklik!$A59,Bilanço!$A:$A,0),0)-HLOOKUP(Bilanço!$B$1,Bilanço!$1:$151,MATCH(Çeyreklik!$A59,Bilanço!$A:$A,0),0))),"")</f>
        <v>391734000</v>
      </c>
      <c r="C59" s="2">
        <f>IFERROR(IF(MID(C$2,6,7)="3",HLOOKUP(C$1,Bilanço!$1:$151,MATCH(Çeyreklik!$A59,Bilanço!$A:$A,0),0),HLOOKUP(C$1,Bilanço!$1:$151,MATCH(Çeyreklik!$A59,Bilanço!$A:$A,0),0)-HLOOKUP(B$1,Bilanço!$1:$151,MATCH(Çeyreklik!$A59,Bilanço!$A:$A,0),0)),"")</f>
        <v>719495000</v>
      </c>
      <c r="D59" s="2">
        <f>IFERROR(IF(MID(D$2,6,7)="3",HLOOKUP(D$1,Bilanço!$1:$151,MATCH(Çeyreklik!$A59,Bilanço!$A:$A,0),0),HLOOKUP(D$1,Bilanço!$1:$151,MATCH(Çeyreklik!$A59,Bilanço!$A:$A,0),0)-HLOOKUP(C$1,Bilanço!$1:$151,MATCH(Çeyreklik!$A59,Bilanço!$A:$A,0),0)),"")</f>
        <v>427054000</v>
      </c>
      <c r="E59" s="2">
        <f>IFERROR(IF(MID(E$2,6,7)="3",HLOOKUP(E$1,Bilanço!$1:$151,MATCH(Çeyreklik!$A59,Bilanço!$A:$A,0),0),HLOOKUP(E$1,Bilanço!$1:$151,MATCH(Çeyreklik!$A59,Bilanço!$A:$A,0),0)-HLOOKUP(D$1,Bilanço!$1:$151,MATCH(Çeyreklik!$A59,Bilanço!$A:$A,0),0)),"")</f>
        <v>673796000</v>
      </c>
      <c r="F59" s="2">
        <f>IFERROR(IF(MID(F$2,6,7)="3",HLOOKUP(F$1,Bilanço!$1:$151,MATCH(Çeyreklik!$A59,Bilanço!$A:$A,0),0),HLOOKUP(F$1,Bilanço!$1:$151,MATCH(Çeyreklik!$A59,Bilanço!$A:$A,0),0)-HLOOKUP(E$1,Bilanço!$1:$151,MATCH(Çeyreklik!$A59,Bilanço!$A:$A,0),0)),"")</f>
        <v>552481000</v>
      </c>
      <c r="G59" s="2">
        <f>IFERROR(IF(MID(G$2,6,7)="3",HLOOKUP(G$1,Bilanço!$1:$151,MATCH(Çeyreklik!$A59,Bilanço!$A:$A,0),0),HLOOKUP(G$1,Bilanço!$1:$151,MATCH(Çeyreklik!$A59,Bilanço!$A:$A,0),0)-HLOOKUP(F$1,Bilanço!$1:$151,MATCH(Çeyreklik!$A59,Bilanço!$A:$A,0),0)),"")</f>
        <v>513109000</v>
      </c>
      <c r="H59" s="2">
        <f>IFERROR(IF(MID(H$2,6,7)="3",HLOOKUP(H$1,Bilanço!$1:$151,MATCH(Çeyreklik!$A59,Bilanço!$A:$A,0),0),HLOOKUP(H$1,Bilanço!$1:$151,MATCH(Çeyreklik!$A59,Bilanço!$A:$A,0),0)-HLOOKUP(G$1,Bilanço!$1:$151,MATCH(Çeyreklik!$A59,Bilanço!$A:$A,0),0)),"")</f>
        <v>1243433000</v>
      </c>
      <c r="I59" s="2">
        <f>IFERROR(IF(MID(I$2,6,7)="3",HLOOKUP(I$1,Bilanço!$1:$151,MATCH(Çeyreklik!$A59,Bilanço!$A:$A,0),0),HLOOKUP(I$1,Bilanço!$1:$151,MATCH(Çeyreklik!$A59,Bilanço!$A:$A,0),0)-HLOOKUP(H$1,Bilanço!$1:$151,MATCH(Çeyreklik!$A59,Bilanço!$A:$A,0),0)),"")</f>
        <v>1759527000</v>
      </c>
      <c r="J59" s="2">
        <f>IFERROR(IF(MID(J$2,6,7)="3",HLOOKUP(J$1,Bilanço!$1:$151,MATCH(Çeyreklik!$A59,Bilanço!$A:$A,0),0),HLOOKUP(J$1,Bilanço!$1:$151,MATCH(Çeyreklik!$A59,Bilanço!$A:$A,0),0)-HLOOKUP(I$1,Bilanço!$1:$151,MATCH(Çeyreklik!$A59,Bilanço!$A:$A,0),0)),"")</f>
        <v>1416418000</v>
      </c>
      <c r="K59" s="2">
        <f>IFERROR(IF(MID(K$2,6,7)="3",HLOOKUP(K$1,Bilanço!$1:$151,MATCH(Çeyreklik!$A59,Bilanço!$A:$A,0),0),HLOOKUP(K$1,Bilanço!$1:$151,MATCH(Çeyreklik!$A59,Bilanço!$A:$A,0),0)-HLOOKUP(J$1,Bilanço!$1:$151,MATCH(Çeyreklik!$A59,Bilanço!$A:$A,0),0)),"")</f>
        <v>1842896000</v>
      </c>
      <c r="L59" s="2">
        <f>IFERROR(IF(MID(L$2,6,7)="3",HLOOKUP(L$1,Bilanço!$1:$151,MATCH(Çeyreklik!$A59,Bilanço!$A:$A,0),0),HLOOKUP(L$1,Bilanço!$1:$151,MATCH(Çeyreklik!$A59,Bilanço!$A:$A,0),0)-HLOOKUP(K$1,Bilanço!$1:$151,MATCH(Çeyreklik!$A59,Bilanço!$A:$A,0),0)),"")</f>
        <v>5573260000</v>
      </c>
      <c r="M59" s="2">
        <f>IFERROR(IF(MID(M$2,6,7)="3",HLOOKUP(M$1,Bilanço!$1:$151,MATCH(Çeyreklik!$A59,Bilanço!$A:$A,0),0),HLOOKUP(M$1,Bilanço!$1:$151,MATCH(Çeyreklik!$A59,Bilanço!$A:$A,0),0)-HLOOKUP(L$1,Bilanço!$1:$151,MATCH(Çeyreklik!$A59,Bilanço!$A:$A,0),0)),"")</f>
        <v>5580646000</v>
      </c>
      <c r="N59" s="2">
        <f>IFERROR(IF(MID(N$2,6,7)="3",HLOOKUP(N$1,Bilanço!$1:$151,MATCH(Çeyreklik!$A59,Bilanço!$A:$A,0),0),HLOOKUP(N$1,Bilanço!$1:$151,MATCH(Çeyreklik!$A59,Bilanço!$A:$A,0),0)-HLOOKUP(M$1,Bilanço!$1:$151,MATCH(Çeyreklik!$A59,Bilanço!$A:$A,0),0)),"")</f>
        <v>5579013000</v>
      </c>
      <c r="O59" s="2">
        <f>IFERROR(IF(MID(O$2,6,7)="3",HLOOKUP(O$1,Bilanço!$1:$151,MATCH(Çeyreklik!$A59,Bilanço!$A:$A,0),0),HLOOKUP(O$1,Bilanço!$1:$151,MATCH(Çeyreklik!$A59,Bilanço!$A:$A,0),0)-HLOOKUP(N$1,Bilanço!$1:$151,MATCH(Çeyreklik!$A59,Bilanço!$A:$A,0),0)),"")</f>
        <v>4354151000</v>
      </c>
      <c r="P59" s="2">
        <f>IFERROR(IF(MID(P$2,6,7)="3",HLOOKUP(P$1,Bilanço!$1:$151,MATCH(Çeyreklik!$A59,Bilanço!$A:$A,0),0),HLOOKUP(P$1,Bilanço!$1:$151,MATCH(Çeyreklik!$A59,Bilanço!$A:$A,0),0)-HLOOKUP(O$1,Bilanço!$1:$151,MATCH(Çeyreklik!$A59,Bilanço!$A:$A,0),0)),"")</f>
        <v>4246139000</v>
      </c>
      <c r="Q59" s="2">
        <f>IFERROR(IF(MID(Q$2,6,7)="3",HLOOKUP(Q$1,Bilanço!$1:$151,MATCH(Çeyreklik!$A59,Bilanço!$A:$A,0),0),HLOOKUP(Q$1,Bilanço!$1:$151,MATCH(Çeyreklik!$A59,Bilanço!$A:$A,0),0)-HLOOKUP(P$1,Bilanço!$1:$151,MATCH(Çeyreklik!$A59,Bilanço!$A:$A,0),0)),"")</f>
        <v>7706290000</v>
      </c>
      <c r="R59" s="2">
        <f>IFERROR(IF(MID(R$2,6,7)="3",HLOOKUP(R$1,Bilanço!$1:$151,MATCH(Çeyreklik!$A59,Bilanço!$A:$A,0),0),HLOOKUP(R$1,Bilanço!$1:$151,MATCH(Çeyreklik!$A59,Bilanço!$A:$A,0),0)-HLOOKUP(Q$1,Bilanço!$1:$151,MATCH(Çeyreklik!$A59,Bilanço!$A:$A,0),0)),"")</f>
        <v>4282189000</v>
      </c>
      <c r="S59" s="2">
        <f>IFERROR(IF(MID(S$2,6,7)="3",HLOOKUP(S$1,Bilanço!$1:$151,MATCH(Çeyreklik!$A59,Bilanço!$A:$A,0),0),HLOOKUP(S$1,Bilanço!$1:$151,MATCH(Çeyreklik!$A59,Bilanço!$A:$A,0),0)-HLOOKUP(R$1,Bilanço!$1:$151,MATCH(Çeyreklik!$A59,Bilanço!$A:$A,0),0)),"")</f>
        <v>5190028000</v>
      </c>
      <c r="T59" s="2">
        <f>IFERROR(IF(MID(T$2,6,7)="3",HLOOKUP(T$1,Bilanço!$1:$151,MATCH(Çeyreklik!$A59,Bilanço!$A:$A,0),0),HLOOKUP(T$1,Bilanço!$1:$151,MATCH(Çeyreklik!$A59,Bilanço!$A:$A,0),0)-HLOOKUP(S$1,Bilanço!$1:$151,MATCH(Çeyreklik!$A59,Bilanço!$A:$A,0),0)),"")</f>
        <v>5683241688</v>
      </c>
      <c r="U59" s="2">
        <f>IFERROR(IF(MID(U$2,6,7)="3",HLOOKUP(U$1,Bilanço!$1:$151,MATCH(Çeyreklik!$A59,Bilanço!$A:$A,0),0),HLOOKUP(U$1,Bilanço!$1:$151,MATCH(Çeyreklik!$A59,Bilanço!$A:$A,0),0)-HLOOKUP(T$1,Bilanço!$1:$151,MATCH(Çeyreklik!$A59,Bilanço!$A:$A,0),0)),"")</f>
        <v>7482988000</v>
      </c>
      <c r="V59" s="2">
        <f>IFERROR(IF(MID(V$2,6,7)="3",HLOOKUP(V$1,Bilanço!$1:$151,MATCH(Çeyreklik!$A59,Bilanço!$A:$A,0),0),HLOOKUP(V$1,Bilanço!$1:$151,MATCH(Çeyreklik!$A59,Bilanço!$A:$A,0),0)-HLOOKUP(U$1,Bilanço!$1:$151,MATCH(Çeyreklik!$A59,Bilanço!$A:$A,0),0)),"")</f>
        <v>4551863000</v>
      </c>
      <c r="W59" s="2">
        <f>IFERROR(IF(MID(W$2,6,7)="3",HLOOKUP(W$1,Bilanço!$1:$151,MATCH(Çeyreklik!$A59,Bilanço!$A:$A,0),0),HLOOKUP(W$1,Bilanço!$1:$151,MATCH(Çeyreklik!$A59,Bilanço!$A:$A,0),0)-HLOOKUP(V$1,Bilanço!$1:$151,MATCH(Çeyreklik!$A59,Bilanço!$A:$A,0),0)),"")</f>
        <v>5725121000</v>
      </c>
    </row>
    <row r="60" spans="1:23" x14ac:dyDescent="0.25">
      <c r="A60" t="str">
        <f>Data!A131</f>
        <v xml:space="preserve">  İşletme Sermayesindeki Değişiklikler</v>
      </c>
      <c r="B60" s="2">
        <f>IFERROR(IF($B$2="2022/3",IF(MID(B$2,6,7)="3",HLOOKUP(B$1,Bilanço!$1:$151,MATCH(Çeyreklik!$A60,Bilanço!$A:$A,0),0),HLOOKUP(B$1,Bilanço!$1:$151,MATCH(Çeyreklik!$A60,Bilanço!$A:$A,0),0)-HLOOKUP(A$1,Bilanço!$1:$151,MATCH(Çeyreklik!$A60,Bilanço!$A:$A,0),0)),IF(MID(B$2,6,7)="3",HLOOKUP(B$1,Bilanço!$1:$151,MATCH(Çeyreklik!$A60,Bilanço!$A:$A,0),0),HLOOKUP(B$1,Bilanço!$1:$151,MATCH(Çeyreklik!$A60,Bilanço!$A:$A,0),0)-HLOOKUP(Bilanço!$B$1,Bilanço!$1:$151,MATCH(Çeyreklik!$A60,Bilanço!$A:$A,0),0))),"")</f>
        <v>-217527000</v>
      </c>
      <c r="C60" s="2">
        <f>IFERROR(IF(MID(C$2,6,7)="3",HLOOKUP(C$1,Bilanço!$1:$151,MATCH(Çeyreklik!$A60,Bilanço!$A:$A,0),0),HLOOKUP(C$1,Bilanço!$1:$151,MATCH(Çeyreklik!$A60,Bilanço!$A:$A,0),0)-HLOOKUP(B$1,Bilanço!$1:$151,MATCH(Çeyreklik!$A60,Bilanço!$A:$A,0),0)),"")</f>
        <v>-386418000</v>
      </c>
      <c r="D60" s="2">
        <f>IFERROR(IF(MID(D$2,6,7)="3",HLOOKUP(D$1,Bilanço!$1:$151,MATCH(Çeyreklik!$A60,Bilanço!$A:$A,0),0),HLOOKUP(D$1,Bilanço!$1:$151,MATCH(Çeyreklik!$A60,Bilanço!$A:$A,0),0)-HLOOKUP(C$1,Bilanço!$1:$151,MATCH(Çeyreklik!$A60,Bilanço!$A:$A,0),0)),"")</f>
        <v>22071000</v>
      </c>
      <c r="E60" s="2">
        <f>IFERROR(IF(MID(E$2,6,7)="3",HLOOKUP(E$1,Bilanço!$1:$151,MATCH(Çeyreklik!$A60,Bilanço!$A:$A,0),0),HLOOKUP(E$1,Bilanço!$1:$151,MATCH(Çeyreklik!$A60,Bilanço!$A:$A,0),0)-HLOOKUP(D$1,Bilanço!$1:$151,MATCH(Çeyreklik!$A60,Bilanço!$A:$A,0),0)),"")</f>
        <v>-795278000</v>
      </c>
      <c r="F60" s="2">
        <f>IFERROR(IF(MID(F$2,6,7)="3",HLOOKUP(F$1,Bilanço!$1:$151,MATCH(Çeyreklik!$A60,Bilanço!$A:$A,0),0),HLOOKUP(F$1,Bilanço!$1:$151,MATCH(Çeyreklik!$A60,Bilanço!$A:$A,0),0)-HLOOKUP(E$1,Bilanço!$1:$151,MATCH(Çeyreklik!$A60,Bilanço!$A:$A,0),0)),"")</f>
        <v>-41633000</v>
      </c>
      <c r="G60" s="2">
        <f>IFERROR(IF(MID(G$2,6,7)="3",HLOOKUP(G$1,Bilanço!$1:$151,MATCH(Çeyreklik!$A60,Bilanço!$A:$A,0),0),HLOOKUP(G$1,Bilanço!$1:$151,MATCH(Çeyreklik!$A60,Bilanço!$A:$A,0),0)-HLOOKUP(F$1,Bilanço!$1:$151,MATCH(Çeyreklik!$A60,Bilanço!$A:$A,0),0)),"")</f>
        <v>-134631000</v>
      </c>
      <c r="H60" s="2">
        <f>IFERROR(IF(MID(H$2,6,7)="3",HLOOKUP(H$1,Bilanço!$1:$151,MATCH(Çeyreklik!$A60,Bilanço!$A:$A,0),0),HLOOKUP(H$1,Bilanço!$1:$151,MATCH(Çeyreklik!$A60,Bilanço!$A:$A,0),0)-HLOOKUP(G$1,Bilanço!$1:$151,MATCH(Çeyreklik!$A60,Bilanço!$A:$A,0),0)),"")</f>
        <v>-1453808000</v>
      </c>
      <c r="I60" s="2">
        <f>IFERROR(IF(MID(I$2,6,7)="3",HLOOKUP(I$1,Bilanço!$1:$151,MATCH(Çeyreklik!$A60,Bilanço!$A:$A,0),0),HLOOKUP(I$1,Bilanço!$1:$151,MATCH(Çeyreklik!$A60,Bilanço!$A:$A,0),0)-HLOOKUP(H$1,Bilanço!$1:$151,MATCH(Çeyreklik!$A60,Bilanço!$A:$A,0),0)),"")</f>
        <v>-1149287000</v>
      </c>
      <c r="J60" s="2">
        <f>IFERROR(IF(MID(J$2,6,7)="3",HLOOKUP(J$1,Bilanço!$1:$151,MATCH(Çeyreklik!$A60,Bilanço!$A:$A,0),0),HLOOKUP(J$1,Bilanço!$1:$151,MATCH(Çeyreklik!$A60,Bilanço!$A:$A,0),0)-HLOOKUP(I$1,Bilanço!$1:$151,MATCH(Çeyreklik!$A60,Bilanço!$A:$A,0),0)),"")</f>
        <v>-867509000</v>
      </c>
      <c r="K60" s="2">
        <f>IFERROR(IF(MID(K$2,6,7)="3",HLOOKUP(K$1,Bilanço!$1:$151,MATCH(Çeyreklik!$A60,Bilanço!$A:$A,0),0),HLOOKUP(K$1,Bilanço!$1:$151,MATCH(Çeyreklik!$A60,Bilanço!$A:$A,0),0)-HLOOKUP(J$1,Bilanço!$1:$151,MATCH(Çeyreklik!$A60,Bilanço!$A:$A,0),0)),"")</f>
        <v>-1864863000</v>
      </c>
      <c r="L60" s="2">
        <f>IFERROR(IF(MID(L$2,6,7)="3",HLOOKUP(L$1,Bilanço!$1:$151,MATCH(Çeyreklik!$A60,Bilanço!$A:$A,0),0),HLOOKUP(L$1,Bilanço!$1:$151,MATCH(Çeyreklik!$A60,Bilanço!$A:$A,0),0)-HLOOKUP(K$1,Bilanço!$1:$151,MATCH(Çeyreklik!$A60,Bilanço!$A:$A,0),0)),"")</f>
        <v>-1113284000</v>
      </c>
      <c r="M60" s="2">
        <f>IFERROR(IF(MID(M$2,6,7)="3",HLOOKUP(M$1,Bilanço!$1:$151,MATCH(Çeyreklik!$A60,Bilanço!$A:$A,0),0),HLOOKUP(M$1,Bilanço!$1:$151,MATCH(Çeyreklik!$A60,Bilanço!$A:$A,0),0)-HLOOKUP(L$1,Bilanço!$1:$151,MATCH(Çeyreklik!$A60,Bilanço!$A:$A,0),0)),"")</f>
        <v>-4862573000</v>
      </c>
      <c r="N60" s="2">
        <f>IFERROR(IF(MID(N$2,6,7)="3",HLOOKUP(N$1,Bilanço!$1:$151,MATCH(Çeyreklik!$A60,Bilanço!$A:$A,0),0),HLOOKUP(N$1,Bilanço!$1:$151,MATCH(Çeyreklik!$A60,Bilanço!$A:$A,0),0)-HLOOKUP(M$1,Bilanço!$1:$151,MATCH(Çeyreklik!$A60,Bilanço!$A:$A,0),0)),"")</f>
        <v>-1838265000</v>
      </c>
      <c r="O60" s="2">
        <f>IFERROR(IF(MID(O$2,6,7)="3",HLOOKUP(O$1,Bilanço!$1:$151,MATCH(Çeyreklik!$A60,Bilanço!$A:$A,0),0),HLOOKUP(O$1,Bilanço!$1:$151,MATCH(Çeyreklik!$A60,Bilanço!$A:$A,0),0)-HLOOKUP(N$1,Bilanço!$1:$151,MATCH(Çeyreklik!$A60,Bilanço!$A:$A,0),0)),"")</f>
        <v>-354102000</v>
      </c>
      <c r="P60" s="2">
        <f>IFERROR(IF(MID(P$2,6,7)="3",HLOOKUP(P$1,Bilanço!$1:$151,MATCH(Çeyreklik!$A60,Bilanço!$A:$A,0),0),HLOOKUP(P$1,Bilanço!$1:$151,MATCH(Çeyreklik!$A60,Bilanço!$A:$A,0),0)-HLOOKUP(O$1,Bilanço!$1:$151,MATCH(Çeyreklik!$A60,Bilanço!$A:$A,0),0)),"")</f>
        <v>873713000</v>
      </c>
      <c r="Q60" s="2">
        <f>IFERROR(IF(MID(Q$2,6,7)="3",HLOOKUP(Q$1,Bilanço!$1:$151,MATCH(Çeyreklik!$A60,Bilanço!$A:$A,0),0),HLOOKUP(Q$1,Bilanço!$1:$151,MATCH(Çeyreklik!$A60,Bilanço!$A:$A,0),0)-HLOOKUP(P$1,Bilanço!$1:$151,MATCH(Çeyreklik!$A60,Bilanço!$A:$A,0),0)),"")</f>
        <v>-8453548000</v>
      </c>
      <c r="R60" s="2">
        <f>IFERROR(IF(MID(R$2,6,7)="3",HLOOKUP(R$1,Bilanço!$1:$151,MATCH(Çeyreklik!$A60,Bilanço!$A:$A,0),0),HLOOKUP(R$1,Bilanço!$1:$151,MATCH(Çeyreklik!$A60,Bilanço!$A:$A,0),0)-HLOOKUP(Q$1,Bilanço!$1:$151,MATCH(Çeyreklik!$A60,Bilanço!$A:$A,0),0)),"")</f>
        <v>929625000</v>
      </c>
      <c r="S60" s="2">
        <f>IFERROR(IF(MID(S$2,6,7)="3",HLOOKUP(S$1,Bilanço!$1:$151,MATCH(Çeyreklik!$A60,Bilanço!$A:$A,0),0),HLOOKUP(S$1,Bilanço!$1:$151,MATCH(Çeyreklik!$A60,Bilanço!$A:$A,0),0)-HLOOKUP(R$1,Bilanço!$1:$151,MATCH(Çeyreklik!$A60,Bilanço!$A:$A,0),0)),"")</f>
        <v>-6057259000</v>
      </c>
      <c r="T60" s="2">
        <f>IFERROR(IF(MID(T$2,6,7)="3",HLOOKUP(T$1,Bilanço!$1:$151,MATCH(Çeyreklik!$A60,Bilanço!$A:$A,0),0),HLOOKUP(T$1,Bilanço!$1:$151,MATCH(Çeyreklik!$A60,Bilanço!$A:$A,0),0)-HLOOKUP(S$1,Bilanço!$1:$151,MATCH(Çeyreklik!$A60,Bilanço!$A:$A,0),0)),"")</f>
        <v>233991278</v>
      </c>
      <c r="U60" s="2">
        <f>IFERROR(IF(MID(U$2,6,7)="3",HLOOKUP(U$1,Bilanço!$1:$151,MATCH(Çeyreklik!$A60,Bilanço!$A:$A,0),0),HLOOKUP(U$1,Bilanço!$1:$151,MATCH(Çeyreklik!$A60,Bilanço!$A:$A,0),0)-HLOOKUP(T$1,Bilanço!$1:$151,MATCH(Çeyreklik!$A60,Bilanço!$A:$A,0),0)),"")</f>
        <v>-12750482000</v>
      </c>
      <c r="V60" s="2">
        <f>IFERROR(IF(MID(V$2,6,7)="3",HLOOKUP(V$1,Bilanço!$1:$151,MATCH(Çeyreklik!$A60,Bilanço!$A:$A,0),0),HLOOKUP(V$1,Bilanço!$1:$151,MATCH(Çeyreklik!$A60,Bilanço!$A:$A,0),0)-HLOOKUP(U$1,Bilanço!$1:$151,MATCH(Çeyreklik!$A60,Bilanço!$A:$A,0),0)),"")</f>
        <v>-2706508000</v>
      </c>
      <c r="W60" s="2">
        <f>IFERROR(IF(MID(W$2,6,7)="3",HLOOKUP(W$1,Bilanço!$1:$151,MATCH(Çeyreklik!$A60,Bilanço!$A:$A,0),0),HLOOKUP(W$1,Bilanço!$1:$151,MATCH(Çeyreklik!$A60,Bilanço!$A:$A,0),0)-HLOOKUP(V$1,Bilanço!$1:$151,MATCH(Çeyreklik!$A60,Bilanço!$A:$A,0),0)),"")</f>
        <v>-3127199000</v>
      </c>
    </row>
    <row r="61" spans="1:23" x14ac:dyDescent="0.25">
      <c r="A61" t="str">
        <f>Data!A132</f>
        <v xml:space="preserve"> Esas Faaliyet ile İlgili Oluşan Nakit (+)</v>
      </c>
      <c r="B61" s="2">
        <f>IFERROR(IF($B$2="2022/3",IF(MID(B$2,6,7)="3",HLOOKUP(B$1,Bilanço!$1:$151,MATCH(Çeyreklik!$A61,Bilanço!$A:$A,0),0),HLOOKUP(B$1,Bilanço!$1:$151,MATCH(Çeyreklik!$A61,Bilanço!$A:$A,0),0)-HLOOKUP(A$1,Bilanço!$1:$151,MATCH(Çeyreklik!$A61,Bilanço!$A:$A,0),0)),IF(MID(B$2,6,7)="3",HLOOKUP(B$1,Bilanço!$1:$151,MATCH(Çeyreklik!$A61,Bilanço!$A:$A,0),0),HLOOKUP(B$1,Bilanço!$1:$151,MATCH(Çeyreklik!$A61,Bilanço!$A:$A,0),0)-HLOOKUP(Bilanço!$B$1,Bilanço!$1:$151,MATCH(Çeyreklik!$A61,Bilanço!$A:$A,0),0))),"")</f>
        <v>174207000</v>
      </c>
      <c r="C61" s="2">
        <f>IFERROR(IF(MID(C$2,6,7)="3",HLOOKUP(C$1,Bilanço!$1:$151,MATCH(Çeyreklik!$A61,Bilanço!$A:$A,0),0),HLOOKUP(C$1,Bilanço!$1:$151,MATCH(Çeyreklik!$A61,Bilanço!$A:$A,0),0)-HLOOKUP(B$1,Bilanço!$1:$151,MATCH(Çeyreklik!$A61,Bilanço!$A:$A,0),0)),"")</f>
        <v>333077000</v>
      </c>
      <c r="D61" s="2">
        <f>IFERROR(IF(MID(D$2,6,7)="3",HLOOKUP(D$1,Bilanço!$1:$151,MATCH(Çeyreklik!$A61,Bilanço!$A:$A,0),0),HLOOKUP(D$1,Bilanço!$1:$151,MATCH(Çeyreklik!$A61,Bilanço!$A:$A,0),0)-HLOOKUP(C$1,Bilanço!$1:$151,MATCH(Çeyreklik!$A61,Bilanço!$A:$A,0),0)),"")</f>
        <v>449125000</v>
      </c>
      <c r="E61" s="2">
        <f>IFERROR(IF(MID(E$2,6,7)="3",HLOOKUP(E$1,Bilanço!$1:$151,MATCH(Çeyreklik!$A61,Bilanço!$A:$A,0),0),HLOOKUP(E$1,Bilanço!$1:$151,MATCH(Çeyreklik!$A61,Bilanço!$A:$A,0),0)-HLOOKUP(D$1,Bilanço!$1:$151,MATCH(Çeyreklik!$A61,Bilanço!$A:$A,0),0)),"")</f>
        <v>-121482000</v>
      </c>
      <c r="F61" s="2">
        <f>IFERROR(IF(MID(F$2,6,7)="3",HLOOKUP(F$1,Bilanço!$1:$151,MATCH(Çeyreklik!$A61,Bilanço!$A:$A,0),0),HLOOKUP(F$1,Bilanço!$1:$151,MATCH(Çeyreklik!$A61,Bilanço!$A:$A,0),0)-HLOOKUP(E$1,Bilanço!$1:$151,MATCH(Çeyreklik!$A61,Bilanço!$A:$A,0),0)),"")</f>
        <v>510848000</v>
      </c>
      <c r="G61" s="2">
        <f>IFERROR(IF(MID(G$2,6,7)="3",HLOOKUP(G$1,Bilanço!$1:$151,MATCH(Çeyreklik!$A61,Bilanço!$A:$A,0),0),HLOOKUP(G$1,Bilanço!$1:$151,MATCH(Çeyreklik!$A61,Bilanço!$A:$A,0),0)-HLOOKUP(F$1,Bilanço!$1:$151,MATCH(Çeyreklik!$A61,Bilanço!$A:$A,0),0)),"")</f>
        <v>378478000</v>
      </c>
      <c r="H61" s="2">
        <f>IFERROR(IF(MID(H$2,6,7)="3",HLOOKUP(H$1,Bilanço!$1:$151,MATCH(Çeyreklik!$A61,Bilanço!$A:$A,0),0),HLOOKUP(H$1,Bilanço!$1:$151,MATCH(Çeyreklik!$A61,Bilanço!$A:$A,0),0)-HLOOKUP(G$1,Bilanço!$1:$151,MATCH(Çeyreklik!$A61,Bilanço!$A:$A,0),0)),"")</f>
        <v>-210375000</v>
      </c>
      <c r="I61" s="2">
        <f>IFERROR(IF(MID(I$2,6,7)="3",HLOOKUP(I$1,Bilanço!$1:$151,MATCH(Çeyreklik!$A61,Bilanço!$A:$A,0),0),HLOOKUP(I$1,Bilanço!$1:$151,MATCH(Çeyreklik!$A61,Bilanço!$A:$A,0),0)-HLOOKUP(H$1,Bilanço!$1:$151,MATCH(Çeyreklik!$A61,Bilanço!$A:$A,0),0)),"")</f>
        <v>610240000</v>
      </c>
      <c r="J61" s="2">
        <f>IFERROR(IF(MID(J$2,6,7)="3",HLOOKUP(J$1,Bilanço!$1:$151,MATCH(Çeyreklik!$A61,Bilanço!$A:$A,0),0),HLOOKUP(J$1,Bilanço!$1:$151,MATCH(Çeyreklik!$A61,Bilanço!$A:$A,0),0)-HLOOKUP(I$1,Bilanço!$1:$151,MATCH(Çeyreklik!$A61,Bilanço!$A:$A,0),0)),"")</f>
        <v>548909000</v>
      </c>
      <c r="K61" s="2">
        <f>IFERROR(IF(MID(K$2,6,7)="3",HLOOKUP(K$1,Bilanço!$1:$151,MATCH(Çeyreklik!$A61,Bilanço!$A:$A,0),0),HLOOKUP(K$1,Bilanço!$1:$151,MATCH(Çeyreklik!$A61,Bilanço!$A:$A,0),0)-HLOOKUP(J$1,Bilanço!$1:$151,MATCH(Çeyreklik!$A61,Bilanço!$A:$A,0),0)),"")</f>
        <v>-21967000</v>
      </c>
      <c r="L61" s="2">
        <f>IFERROR(IF(MID(L$2,6,7)="3",HLOOKUP(L$1,Bilanço!$1:$151,MATCH(Çeyreklik!$A61,Bilanço!$A:$A,0),0),HLOOKUP(L$1,Bilanço!$1:$151,MATCH(Çeyreklik!$A61,Bilanço!$A:$A,0),0)-HLOOKUP(K$1,Bilanço!$1:$151,MATCH(Çeyreklik!$A61,Bilanço!$A:$A,0),0)),"")</f>
        <v>4459976000</v>
      </c>
      <c r="M61" s="2">
        <f>IFERROR(IF(MID(M$2,6,7)="3",HLOOKUP(M$1,Bilanço!$1:$151,MATCH(Çeyreklik!$A61,Bilanço!$A:$A,0),0),HLOOKUP(M$1,Bilanço!$1:$151,MATCH(Çeyreklik!$A61,Bilanço!$A:$A,0),0)-HLOOKUP(L$1,Bilanço!$1:$151,MATCH(Çeyreklik!$A61,Bilanço!$A:$A,0),0)),"")</f>
        <v>718073000</v>
      </c>
      <c r="N61" s="2">
        <f>IFERROR(IF(MID(N$2,6,7)="3",HLOOKUP(N$1,Bilanço!$1:$151,MATCH(Çeyreklik!$A61,Bilanço!$A:$A,0),0),HLOOKUP(N$1,Bilanço!$1:$151,MATCH(Çeyreklik!$A61,Bilanço!$A:$A,0),0)-HLOOKUP(M$1,Bilanço!$1:$151,MATCH(Çeyreklik!$A61,Bilanço!$A:$A,0),0)),"")</f>
        <v>3740748000</v>
      </c>
      <c r="O61" s="2">
        <f>IFERROR(IF(MID(O$2,6,7)="3",HLOOKUP(O$1,Bilanço!$1:$151,MATCH(Çeyreklik!$A61,Bilanço!$A:$A,0),0),HLOOKUP(O$1,Bilanço!$1:$151,MATCH(Çeyreklik!$A61,Bilanço!$A:$A,0),0)-HLOOKUP(N$1,Bilanço!$1:$151,MATCH(Çeyreklik!$A61,Bilanço!$A:$A,0),0)),"")</f>
        <v>4000049000</v>
      </c>
      <c r="P61" s="2">
        <f>IFERROR(IF(MID(P$2,6,7)="3",HLOOKUP(P$1,Bilanço!$1:$151,MATCH(Çeyreklik!$A61,Bilanço!$A:$A,0),0),HLOOKUP(P$1,Bilanço!$1:$151,MATCH(Çeyreklik!$A61,Bilanço!$A:$A,0),0)-HLOOKUP(O$1,Bilanço!$1:$151,MATCH(Çeyreklik!$A61,Bilanço!$A:$A,0),0)),"")</f>
        <v>5119852000</v>
      </c>
      <c r="Q61" s="2">
        <f>IFERROR(IF(MID(Q$2,6,7)="3",HLOOKUP(Q$1,Bilanço!$1:$151,MATCH(Çeyreklik!$A61,Bilanço!$A:$A,0),0),HLOOKUP(Q$1,Bilanço!$1:$151,MATCH(Çeyreklik!$A61,Bilanço!$A:$A,0),0)-HLOOKUP(P$1,Bilanço!$1:$151,MATCH(Çeyreklik!$A61,Bilanço!$A:$A,0),0)),"")</f>
        <v>-747258000</v>
      </c>
      <c r="R61" s="2">
        <f>IFERROR(IF(MID(R$2,6,7)="3",HLOOKUP(R$1,Bilanço!$1:$151,MATCH(Çeyreklik!$A61,Bilanço!$A:$A,0),0),HLOOKUP(R$1,Bilanço!$1:$151,MATCH(Çeyreklik!$A61,Bilanço!$A:$A,0),0)-HLOOKUP(Q$1,Bilanço!$1:$151,MATCH(Çeyreklik!$A61,Bilanço!$A:$A,0),0)),"")</f>
        <v>5211814000</v>
      </c>
      <c r="S61" s="2">
        <f>IFERROR(IF(MID(S$2,6,7)="3",HLOOKUP(S$1,Bilanço!$1:$151,MATCH(Çeyreklik!$A61,Bilanço!$A:$A,0),0),HLOOKUP(S$1,Bilanço!$1:$151,MATCH(Çeyreklik!$A61,Bilanço!$A:$A,0),0)-HLOOKUP(R$1,Bilanço!$1:$151,MATCH(Çeyreklik!$A61,Bilanço!$A:$A,0),0)),"")</f>
        <v>-867231000</v>
      </c>
      <c r="T61" s="2">
        <f>IFERROR(IF(MID(T$2,6,7)="3",HLOOKUP(T$1,Bilanço!$1:$151,MATCH(Çeyreklik!$A61,Bilanço!$A:$A,0),0),HLOOKUP(T$1,Bilanço!$1:$151,MATCH(Çeyreklik!$A61,Bilanço!$A:$A,0),0)-HLOOKUP(S$1,Bilanço!$1:$151,MATCH(Çeyreklik!$A61,Bilanço!$A:$A,0),0)),"")</f>
        <v>5917232965</v>
      </c>
      <c r="U61" s="2">
        <f>IFERROR(IF(MID(U$2,6,7)="3",HLOOKUP(U$1,Bilanço!$1:$151,MATCH(Çeyreklik!$A61,Bilanço!$A:$A,0),0),HLOOKUP(U$1,Bilanço!$1:$151,MATCH(Çeyreklik!$A61,Bilanço!$A:$A,0),0)-HLOOKUP(T$1,Bilanço!$1:$151,MATCH(Çeyreklik!$A61,Bilanço!$A:$A,0),0)),"")</f>
        <v>-5267494000</v>
      </c>
      <c r="V61" s="2">
        <f>IFERROR(IF(MID(V$2,6,7)="3",HLOOKUP(V$1,Bilanço!$1:$151,MATCH(Çeyreklik!$A61,Bilanço!$A:$A,0),0),HLOOKUP(V$1,Bilanço!$1:$151,MATCH(Çeyreklik!$A61,Bilanço!$A:$A,0),0)-HLOOKUP(U$1,Bilanço!$1:$151,MATCH(Çeyreklik!$A61,Bilanço!$A:$A,0),0)),"")</f>
        <v>1845355000</v>
      </c>
      <c r="W61" s="2">
        <f>IFERROR(IF(MID(W$2,6,7)="3",HLOOKUP(W$1,Bilanço!$1:$151,MATCH(Çeyreklik!$A61,Bilanço!$A:$A,0),0),HLOOKUP(W$1,Bilanço!$1:$151,MATCH(Çeyreklik!$A61,Bilanço!$A:$A,0),0)-HLOOKUP(V$1,Bilanço!$1:$151,MATCH(Çeyreklik!$A61,Bilanço!$A:$A,0),0)),"")</f>
        <v>2597922000</v>
      </c>
    </row>
    <row r="62" spans="1:23" x14ac:dyDescent="0.25">
      <c r="A62" t="str">
        <f>Data!A133</f>
        <v xml:space="preserve">  Diğer İşletme Faaliyetlerinden Nakit</v>
      </c>
      <c r="B62" s="2">
        <f>IFERROR(IF($B$2="2022/3",IF(MID(B$2,6,7)="3",HLOOKUP(B$1,Bilanço!$1:$151,MATCH(Çeyreklik!$A62,Bilanço!$A:$A,0),0),HLOOKUP(B$1,Bilanço!$1:$151,MATCH(Çeyreklik!$A62,Bilanço!$A:$A,0),0)-HLOOKUP(A$1,Bilanço!$1:$151,MATCH(Çeyreklik!$A62,Bilanço!$A:$A,0),0)),IF(MID(B$2,6,7)="3",HLOOKUP(B$1,Bilanço!$1:$151,MATCH(Çeyreklik!$A62,Bilanço!$A:$A,0),0),HLOOKUP(B$1,Bilanço!$1:$151,MATCH(Çeyreklik!$A62,Bilanço!$A:$A,0),0)-HLOOKUP(Bilanço!$B$1,Bilanço!$1:$151,MATCH(Çeyreklik!$A62,Bilanço!$A:$A,0),0))),"")</f>
        <v>-134640000</v>
      </c>
      <c r="C62" s="2">
        <f>IFERROR(IF(MID(C$2,6,7)="3",HLOOKUP(C$1,Bilanço!$1:$151,MATCH(Çeyreklik!$A62,Bilanço!$A:$A,0),0),HLOOKUP(C$1,Bilanço!$1:$151,MATCH(Çeyreklik!$A62,Bilanço!$A:$A,0),0)-HLOOKUP(B$1,Bilanço!$1:$151,MATCH(Çeyreklik!$A62,Bilanço!$A:$A,0),0)),"")</f>
        <v>-157485000</v>
      </c>
      <c r="D62" s="2">
        <f>IFERROR(IF(MID(D$2,6,7)="3",HLOOKUP(D$1,Bilanço!$1:$151,MATCH(Çeyreklik!$A62,Bilanço!$A:$A,0),0),HLOOKUP(D$1,Bilanço!$1:$151,MATCH(Çeyreklik!$A62,Bilanço!$A:$A,0),0)-HLOOKUP(C$1,Bilanço!$1:$151,MATCH(Çeyreklik!$A62,Bilanço!$A:$A,0),0)),"")</f>
        <v>-111756000</v>
      </c>
      <c r="E62" s="2">
        <f>IFERROR(IF(MID(E$2,6,7)="3",HLOOKUP(E$1,Bilanço!$1:$151,MATCH(Çeyreklik!$A62,Bilanço!$A:$A,0),0),HLOOKUP(E$1,Bilanço!$1:$151,MATCH(Çeyreklik!$A62,Bilanço!$A:$A,0),0)-HLOOKUP(D$1,Bilanço!$1:$151,MATCH(Çeyreklik!$A62,Bilanço!$A:$A,0),0)),"")</f>
        <v>-76214000</v>
      </c>
      <c r="F62" s="2">
        <f>IFERROR(IF(MID(F$2,6,7)="3",HLOOKUP(F$1,Bilanço!$1:$151,MATCH(Çeyreklik!$A62,Bilanço!$A:$A,0),0),HLOOKUP(F$1,Bilanço!$1:$151,MATCH(Çeyreklik!$A62,Bilanço!$A:$A,0),0)-HLOOKUP(E$1,Bilanço!$1:$151,MATCH(Çeyreklik!$A62,Bilanço!$A:$A,0),0)),"")</f>
        <v>-241895000</v>
      </c>
      <c r="G62" s="2">
        <f>IFERROR(IF(MID(G$2,6,7)="3",HLOOKUP(G$1,Bilanço!$1:$151,MATCH(Çeyreklik!$A62,Bilanço!$A:$A,0),0),HLOOKUP(G$1,Bilanço!$1:$151,MATCH(Çeyreklik!$A62,Bilanço!$A:$A,0),0)-HLOOKUP(F$1,Bilanço!$1:$151,MATCH(Çeyreklik!$A62,Bilanço!$A:$A,0),0)),"")</f>
        <v>-140427000</v>
      </c>
      <c r="H62" s="2">
        <f>IFERROR(IF(MID(H$2,6,7)="3",HLOOKUP(H$1,Bilanço!$1:$151,MATCH(Çeyreklik!$A62,Bilanço!$A:$A,0),0),HLOOKUP(H$1,Bilanço!$1:$151,MATCH(Çeyreklik!$A62,Bilanço!$A:$A,0),0)-HLOOKUP(G$1,Bilanço!$1:$151,MATCH(Çeyreklik!$A62,Bilanço!$A:$A,0),0)),"")</f>
        <v>-71594000</v>
      </c>
      <c r="I62" s="2">
        <f>IFERROR(IF(MID(I$2,6,7)="3",HLOOKUP(I$1,Bilanço!$1:$151,MATCH(Çeyreklik!$A62,Bilanço!$A:$A,0),0),HLOOKUP(I$1,Bilanço!$1:$151,MATCH(Çeyreklik!$A62,Bilanço!$A:$A,0),0)-HLOOKUP(H$1,Bilanço!$1:$151,MATCH(Çeyreklik!$A62,Bilanço!$A:$A,0),0)),"")</f>
        <v>-249835000</v>
      </c>
      <c r="J62" s="2">
        <f>IFERROR(IF(MID(J$2,6,7)="3",HLOOKUP(J$1,Bilanço!$1:$151,MATCH(Çeyreklik!$A62,Bilanço!$A:$A,0),0),HLOOKUP(J$1,Bilanço!$1:$151,MATCH(Çeyreklik!$A62,Bilanço!$A:$A,0),0)-HLOOKUP(I$1,Bilanço!$1:$151,MATCH(Çeyreklik!$A62,Bilanço!$A:$A,0),0)),"")</f>
        <v>-169963000</v>
      </c>
      <c r="K62" s="2">
        <f>IFERROR(IF(MID(K$2,6,7)="3",HLOOKUP(K$1,Bilanço!$1:$151,MATCH(Çeyreklik!$A62,Bilanço!$A:$A,0),0),HLOOKUP(K$1,Bilanço!$1:$151,MATCH(Çeyreklik!$A62,Bilanço!$A:$A,0),0)-HLOOKUP(J$1,Bilanço!$1:$151,MATCH(Çeyreklik!$A62,Bilanço!$A:$A,0),0)),"")</f>
        <v>-154545000</v>
      </c>
      <c r="L62" s="2">
        <f>IFERROR(IF(MID(L$2,6,7)="3",HLOOKUP(L$1,Bilanço!$1:$151,MATCH(Çeyreklik!$A62,Bilanço!$A:$A,0),0),HLOOKUP(L$1,Bilanço!$1:$151,MATCH(Çeyreklik!$A62,Bilanço!$A:$A,0),0)-HLOOKUP(K$1,Bilanço!$1:$151,MATCH(Çeyreklik!$A62,Bilanço!$A:$A,0),0)),"")</f>
        <v>-1001030000</v>
      </c>
      <c r="M62" s="2">
        <f>IFERROR(IF(MID(M$2,6,7)="3",HLOOKUP(M$1,Bilanço!$1:$151,MATCH(Çeyreklik!$A62,Bilanço!$A:$A,0),0),HLOOKUP(M$1,Bilanço!$1:$151,MATCH(Çeyreklik!$A62,Bilanço!$A:$A,0),0)-HLOOKUP(L$1,Bilanço!$1:$151,MATCH(Çeyreklik!$A62,Bilanço!$A:$A,0),0)),"")</f>
        <v>-529374000</v>
      </c>
      <c r="N62" s="2">
        <f>IFERROR(IF(MID(N$2,6,7)="3",HLOOKUP(N$1,Bilanço!$1:$151,MATCH(Çeyreklik!$A62,Bilanço!$A:$A,0),0),HLOOKUP(N$1,Bilanço!$1:$151,MATCH(Çeyreklik!$A62,Bilanço!$A:$A,0),0)-HLOOKUP(M$1,Bilanço!$1:$151,MATCH(Çeyreklik!$A62,Bilanço!$A:$A,0),0)),"")</f>
        <v>-1053796000</v>
      </c>
      <c r="O62" s="2">
        <f>IFERROR(IF(MID(O$2,6,7)="3",HLOOKUP(O$1,Bilanço!$1:$151,MATCH(Çeyreklik!$A62,Bilanço!$A:$A,0),0),HLOOKUP(O$1,Bilanço!$1:$151,MATCH(Çeyreklik!$A62,Bilanço!$A:$A,0),0)-HLOOKUP(N$1,Bilanço!$1:$151,MATCH(Çeyreklik!$A62,Bilanço!$A:$A,0),0)),"")</f>
        <v>-1016847000</v>
      </c>
      <c r="P62" s="2">
        <f>IFERROR(IF(MID(P$2,6,7)="3",HLOOKUP(P$1,Bilanço!$1:$151,MATCH(Çeyreklik!$A62,Bilanço!$A:$A,0),0),HLOOKUP(P$1,Bilanço!$1:$151,MATCH(Çeyreklik!$A62,Bilanço!$A:$A,0),0)-HLOOKUP(O$1,Bilanço!$1:$151,MATCH(Çeyreklik!$A62,Bilanço!$A:$A,0),0)),"")</f>
        <v>-365358000</v>
      </c>
      <c r="Q62" s="2">
        <f>IFERROR(IF(MID(Q$2,6,7)="3",HLOOKUP(Q$1,Bilanço!$1:$151,MATCH(Çeyreklik!$A62,Bilanço!$A:$A,0),0),HLOOKUP(Q$1,Bilanço!$1:$151,MATCH(Çeyreklik!$A62,Bilanço!$A:$A,0),0)-HLOOKUP(P$1,Bilanço!$1:$151,MATCH(Çeyreklik!$A62,Bilanço!$A:$A,0),0)),"")</f>
        <v>-514202000</v>
      </c>
      <c r="R62" s="2">
        <f>IFERROR(IF(MID(R$2,6,7)="3",HLOOKUP(R$1,Bilanço!$1:$151,MATCH(Çeyreklik!$A62,Bilanço!$A:$A,0),0),HLOOKUP(R$1,Bilanço!$1:$151,MATCH(Çeyreklik!$A62,Bilanço!$A:$A,0),0)-HLOOKUP(Q$1,Bilanço!$1:$151,MATCH(Çeyreklik!$A62,Bilanço!$A:$A,0),0)),"")</f>
        <v>-946792000</v>
      </c>
      <c r="S62" s="2">
        <f>IFERROR(IF(MID(S$2,6,7)="3",HLOOKUP(S$1,Bilanço!$1:$151,MATCH(Çeyreklik!$A62,Bilanço!$A:$A,0),0),HLOOKUP(S$1,Bilanço!$1:$151,MATCH(Çeyreklik!$A62,Bilanço!$A:$A,0),0)-HLOOKUP(R$1,Bilanço!$1:$151,MATCH(Çeyreklik!$A62,Bilanço!$A:$A,0),0)),"")</f>
        <v>-470158000</v>
      </c>
      <c r="T62" s="2">
        <f>IFERROR(IF(MID(T$2,6,7)="3",HLOOKUP(T$1,Bilanço!$1:$151,MATCH(Çeyreklik!$A62,Bilanço!$A:$A,0),0),HLOOKUP(T$1,Bilanço!$1:$151,MATCH(Çeyreklik!$A62,Bilanço!$A:$A,0),0)-HLOOKUP(S$1,Bilanço!$1:$151,MATCH(Çeyreklik!$A62,Bilanço!$A:$A,0),0)),"")</f>
        <v>-323472436</v>
      </c>
      <c r="U62" s="2">
        <f>IFERROR(IF(MID(U$2,6,7)="3",HLOOKUP(U$1,Bilanço!$1:$151,MATCH(Çeyreklik!$A62,Bilanço!$A:$A,0),0),HLOOKUP(U$1,Bilanço!$1:$151,MATCH(Çeyreklik!$A62,Bilanço!$A:$A,0),0)-HLOOKUP(T$1,Bilanço!$1:$151,MATCH(Çeyreklik!$A62,Bilanço!$A:$A,0),0)),"")</f>
        <v>-473824000</v>
      </c>
      <c r="V62" s="2">
        <f>IFERROR(IF(MID(V$2,6,7)="3",HLOOKUP(V$1,Bilanço!$1:$151,MATCH(Çeyreklik!$A62,Bilanço!$A:$A,0),0),HLOOKUP(V$1,Bilanço!$1:$151,MATCH(Çeyreklik!$A62,Bilanço!$A:$A,0),0)-HLOOKUP(U$1,Bilanço!$1:$151,MATCH(Çeyreklik!$A62,Bilanço!$A:$A,0),0)),"")</f>
        <v>-584679000</v>
      </c>
      <c r="W62" s="2">
        <f>IFERROR(IF(MID(W$2,6,7)="3",HLOOKUP(W$1,Bilanço!$1:$151,MATCH(Çeyreklik!$A62,Bilanço!$A:$A,0),0),HLOOKUP(W$1,Bilanço!$1:$151,MATCH(Çeyreklik!$A62,Bilanço!$A:$A,0),0)-HLOOKUP(V$1,Bilanço!$1:$151,MATCH(Çeyreklik!$A62,Bilanço!$A:$A,0),0)),"")</f>
        <v>-483131000</v>
      </c>
    </row>
    <row r="63" spans="1:23" x14ac:dyDescent="0.25">
      <c r="A63" t="str">
        <f>Data!A134</f>
        <v xml:space="preserve">  Sabit Sermaye Yatırımları</v>
      </c>
      <c r="B63" s="2">
        <f>IFERROR(IF($B$2="2022/3",IF(MID(B$2,6,7)="3",HLOOKUP(B$1,Bilanço!$1:$151,MATCH(Çeyreklik!$A63,Bilanço!$A:$A,0),0),HLOOKUP(B$1,Bilanço!$1:$151,MATCH(Çeyreklik!$A63,Bilanço!$A:$A,0),0)-HLOOKUP(A$1,Bilanço!$1:$151,MATCH(Çeyreklik!$A63,Bilanço!$A:$A,0),0)),IF(MID(B$2,6,7)="3",HLOOKUP(B$1,Bilanço!$1:$151,MATCH(Çeyreklik!$A63,Bilanço!$A:$A,0),0),HLOOKUP(B$1,Bilanço!$1:$151,MATCH(Çeyreklik!$A63,Bilanço!$A:$A,0),0)-HLOOKUP(Bilanço!$B$1,Bilanço!$1:$151,MATCH(Çeyreklik!$A63,Bilanço!$A:$A,0),0))),"")</f>
        <v>-26340000</v>
      </c>
      <c r="C63" s="2">
        <f>IFERROR(IF(MID(C$2,6,7)="3",HLOOKUP(C$1,Bilanço!$1:$151,MATCH(Çeyreklik!$A63,Bilanço!$A:$A,0),0),HLOOKUP(C$1,Bilanço!$1:$151,MATCH(Çeyreklik!$A63,Bilanço!$A:$A,0),0)-HLOOKUP(B$1,Bilanço!$1:$151,MATCH(Çeyreklik!$A63,Bilanço!$A:$A,0),0)),"")</f>
        <v>-50713000</v>
      </c>
      <c r="D63" s="2">
        <f>IFERROR(IF(MID(D$2,6,7)="3",HLOOKUP(D$1,Bilanço!$1:$151,MATCH(Çeyreklik!$A63,Bilanço!$A:$A,0),0),HLOOKUP(D$1,Bilanço!$1:$151,MATCH(Çeyreklik!$A63,Bilanço!$A:$A,0),0)-HLOOKUP(C$1,Bilanço!$1:$151,MATCH(Çeyreklik!$A63,Bilanço!$A:$A,0),0)),"")</f>
        <v>-116759000</v>
      </c>
      <c r="E63" s="2">
        <f>IFERROR(IF(MID(E$2,6,7)="3",HLOOKUP(E$1,Bilanço!$1:$151,MATCH(Çeyreklik!$A63,Bilanço!$A:$A,0),0),HLOOKUP(E$1,Bilanço!$1:$151,MATCH(Çeyreklik!$A63,Bilanço!$A:$A,0),0)-HLOOKUP(D$1,Bilanço!$1:$151,MATCH(Çeyreklik!$A63,Bilanço!$A:$A,0),0)),"")</f>
        <v>-28222000</v>
      </c>
      <c r="F63" s="2">
        <f>IFERROR(IF(MID(F$2,6,7)="3",HLOOKUP(F$1,Bilanço!$1:$151,MATCH(Çeyreklik!$A63,Bilanço!$A:$A,0),0),HLOOKUP(F$1,Bilanço!$1:$151,MATCH(Çeyreklik!$A63,Bilanço!$A:$A,0),0)-HLOOKUP(E$1,Bilanço!$1:$151,MATCH(Çeyreklik!$A63,Bilanço!$A:$A,0),0)),"")</f>
        <v>-69486000</v>
      </c>
      <c r="G63" s="2">
        <f>IFERROR(IF(MID(G$2,6,7)="3",HLOOKUP(G$1,Bilanço!$1:$151,MATCH(Çeyreklik!$A63,Bilanço!$A:$A,0),0),HLOOKUP(G$1,Bilanço!$1:$151,MATCH(Çeyreklik!$A63,Bilanço!$A:$A,0),0)-HLOOKUP(F$1,Bilanço!$1:$151,MATCH(Çeyreklik!$A63,Bilanço!$A:$A,0),0)),"")</f>
        <v>-27072000</v>
      </c>
      <c r="H63" s="2">
        <f>IFERROR(IF(MID(H$2,6,7)="3",HLOOKUP(H$1,Bilanço!$1:$151,MATCH(Çeyreklik!$A63,Bilanço!$A:$A,0),0),HLOOKUP(H$1,Bilanço!$1:$151,MATCH(Çeyreklik!$A63,Bilanço!$A:$A,0),0)-HLOOKUP(G$1,Bilanço!$1:$151,MATCH(Çeyreklik!$A63,Bilanço!$A:$A,0),0)),"")</f>
        <v>-340207000</v>
      </c>
      <c r="I63" s="2">
        <f>IFERROR(IF(MID(I$2,6,7)="3",HLOOKUP(I$1,Bilanço!$1:$151,MATCH(Çeyreklik!$A63,Bilanço!$A:$A,0),0),HLOOKUP(I$1,Bilanço!$1:$151,MATCH(Çeyreklik!$A63,Bilanço!$A:$A,0),0)-HLOOKUP(H$1,Bilanço!$1:$151,MATCH(Çeyreklik!$A63,Bilanço!$A:$A,0),0)),"")</f>
        <v>-74890000</v>
      </c>
      <c r="J63" s="2">
        <f>IFERROR(IF(MID(J$2,6,7)="3",HLOOKUP(J$1,Bilanço!$1:$151,MATCH(Çeyreklik!$A63,Bilanço!$A:$A,0),0),HLOOKUP(J$1,Bilanço!$1:$151,MATCH(Çeyreklik!$A63,Bilanço!$A:$A,0),0)-HLOOKUP(I$1,Bilanço!$1:$151,MATCH(Çeyreklik!$A63,Bilanço!$A:$A,0),0)),"")</f>
        <v>-105286000</v>
      </c>
      <c r="K63" s="2">
        <f>IFERROR(IF(MID(K$2,6,7)="3",HLOOKUP(K$1,Bilanço!$1:$151,MATCH(Çeyreklik!$A63,Bilanço!$A:$A,0),0),HLOOKUP(K$1,Bilanço!$1:$151,MATCH(Çeyreklik!$A63,Bilanço!$A:$A,0),0)-HLOOKUP(J$1,Bilanço!$1:$151,MATCH(Çeyreklik!$A63,Bilanço!$A:$A,0),0)),"")</f>
        <v>-144507000</v>
      </c>
      <c r="L63" s="2">
        <f>IFERROR(IF(MID(L$2,6,7)="3",HLOOKUP(L$1,Bilanço!$1:$151,MATCH(Çeyreklik!$A63,Bilanço!$A:$A,0),0),HLOOKUP(L$1,Bilanço!$1:$151,MATCH(Çeyreklik!$A63,Bilanço!$A:$A,0),0)-HLOOKUP(K$1,Bilanço!$1:$151,MATCH(Çeyreklik!$A63,Bilanço!$A:$A,0),0)),"")</f>
        <v>-821751000</v>
      </c>
      <c r="M63" s="2">
        <f>IFERROR(IF(MID(M$2,6,7)="3",HLOOKUP(M$1,Bilanço!$1:$151,MATCH(Çeyreklik!$A63,Bilanço!$A:$A,0),0),HLOOKUP(M$1,Bilanço!$1:$151,MATCH(Çeyreklik!$A63,Bilanço!$A:$A,0),0)-HLOOKUP(L$1,Bilanço!$1:$151,MATCH(Çeyreklik!$A63,Bilanço!$A:$A,0),0)),"")</f>
        <v>-255102000</v>
      </c>
      <c r="N63" s="2">
        <f>IFERROR(IF(MID(N$2,6,7)="3",HLOOKUP(N$1,Bilanço!$1:$151,MATCH(Çeyreklik!$A63,Bilanço!$A:$A,0),0),HLOOKUP(N$1,Bilanço!$1:$151,MATCH(Çeyreklik!$A63,Bilanço!$A:$A,0),0)-HLOOKUP(M$1,Bilanço!$1:$151,MATCH(Çeyreklik!$A63,Bilanço!$A:$A,0),0)),"")</f>
        <v>-259634000</v>
      </c>
      <c r="O63" s="2">
        <f>IFERROR(IF(MID(O$2,6,7)="3",HLOOKUP(O$1,Bilanço!$1:$151,MATCH(Çeyreklik!$A63,Bilanço!$A:$A,0),0),HLOOKUP(O$1,Bilanço!$1:$151,MATCH(Çeyreklik!$A63,Bilanço!$A:$A,0),0)-HLOOKUP(N$1,Bilanço!$1:$151,MATCH(Çeyreklik!$A63,Bilanço!$A:$A,0),0)),"")</f>
        <v>-463403000</v>
      </c>
      <c r="P63" s="2">
        <f>IFERROR(IF(MID(P$2,6,7)="3",HLOOKUP(P$1,Bilanço!$1:$151,MATCH(Çeyreklik!$A63,Bilanço!$A:$A,0),0),HLOOKUP(P$1,Bilanço!$1:$151,MATCH(Çeyreklik!$A63,Bilanço!$A:$A,0),0)-HLOOKUP(O$1,Bilanço!$1:$151,MATCH(Çeyreklik!$A63,Bilanço!$A:$A,0),0)),"")</f>
        <v>-626212000</v>
      </c>
      <c r="Q63" s="2">
        <f>IFERROR(IF(MID(Q$2,6,7)="3",HLOOKUP(Q$1,Bilanço!$1:$151,MATCH(Çeyreklik!$A63,Bilanço!$A:$A,0),0),HLOOKUP(Q$1,Bilanço!$1:$151,MATCH(Çeyreklik!$A63,Bilanço!$A:$A,0),0)-HLOOKUP(P$1,Bilanço!$1:$151,MATCH(Çeyreklik!$A63,Bilanço!$A:$A,0),0)),"")</f>
        <v>-372893000</v>
      </c>
      <c r="R63" s="2">
        <f>IFERROR(IF(MID(R$2,6,7)="3",HLOOKUP(R$1,Bilanço!$1:$151,MATCH(Çeyreklik!$A63,Bilanço!$A:$A,0),0),HLOOKUP(R$1,Bilanço!$1:$151,MATCH(Çeyreklik!$A63,Bilanço!$A:$A,0),0)-HLOOKUP(Q$1,Bilanço!$1:$151,MATCH(Çeyreklik!$A63,Bilanço!$A:$A,0),0)),"")</f>
        <v>-455609000</v>
      </c>
      <c r="S63" s="2">
        <f>IFERROR(IF(MID(S$2,6,7)="3",HLOOKUP(S$1,Bilanço!$1:$151,MATCH(Çeyreklik!$A63,Bilanço!$A:$A,0),0),HLOOKUP(S$1,Bilanço!$1:$151,MATCH(Çeyreklik!$A63,Bilanço!$A:$A,0),0)-HLOOKUP(R$1,Bilanço!$1:$151,MATCH(Çeyreklik!$A63,Bilanço!$A:$A,0),0)),"")</f>
        <v>-876360000</v>
      </c>
      <c r="T63" s="2">
        <f>IFERROR(IF(MID(T$2,6,7)="3",HLOOKUP(T$1,Bilanço!$1:$151,MATCH(Çeyreklik!$A63,Bilanço!$A:$A,0),0),HLOOKUP(T$1,Bilanço!$1:$151,MATCH(Çeyreklik!$A63,Bilanço!$A:$A,0),0)-HLOOKUP(S$1,Bilanço!$1:$151,MATCH(Çeyreklik!$A63,Bilanço!$A:$A,0),0)),"")</f>
        <v>-1492729534</v>
      </c>
      <c r="U63" s="2">
        <f>IFERROR(IF(MID(U$2,6,7)="3",HLOOKUP(U$1,Bilanço!$1:$151,MATCH(Çeyreklik!$A63,Bilanço!$A:$A,0),0),HLOOKUP(U$1,Bilanço!$1:$151,MATCH(Çeyreklik!$A63,Bilanço!$A:$A,0),0)-HLOOKUP(T$1,Bilanço!$1:$151,MATCH(Çeyreklik!$A63,Bilanço!$A:$A,0),0)),"")</f>
        <v>-175842000</v>
      </c>
      <c r="V63" s="2">
        <f>IFERROR(IF(MID(V$2,6,7)="3",HLOOKUP(V$1,Bilanço!$1:$151,MATCH(Çeyreklik!$A63,Bilanço!$A:$A,0),0),HLOOKUP(V$1,Bilanço!$1:$151,MATCH(Çeyreklik!$A63,Bilanço!$A:$A,0),0)-HLOOKUP(U$1,Bilanço!$1:$151,MATCH(Çeyreklik!$A63,Bilanço!$A:$A,0),0)),"")</f>
        <v>-279481000</v>
      </c>
      <c r="W63" s="2">
        <f>IFERROR(IF(MID(W$2,6,7)="3",HLOOKUP(W$1,Bilanço!$1:$151,MATCH(Çeyreklik!$A63,Bilanço!$A:$A,0),0),HLOOKUP(W$1,Bilanço!$1:$151,MATCH(Çeyreklik!$A63,Bilanço!$A:$A,0),0)-HLOOKUP(V$1,Bilanço!$1:$151,MATCH(Çeyreklik!$A63,Bilanço!$A:$A,0),0)),"")</f>
        <v>-630745000</v>
      </c>
    </row>
    <row r="64" spans="1:23" x14ac:dyDescent="0.25">
      <c r="A64" t="str">
        <f>Data!A135</f>
        <v xml:space="preserve">  Diğer Yatırım Faaliyetlerinden Nakit</v>
      </c>
      <c r="B64" s="2">
        <f>IFERROR(IF($B$2="2022/3",IF(MID(B$2,6,7)="3",HLOOKUP(B$1,Bilanço!$1:$151,MATCH(Çeyreklik!$A64,Bilanço!$A:$A,0),0),HLOOKUP(B$1,Bilanço!$1:$151,MATCH(Çeyreklik!$A64,Bilanço!$A:$A,0),0)-HLOOKUP(A$1,Bilanço!$1:$151,MATCH(Çeyreklik!$A64,Bilanço!$A:$A,0),0)),IF(MID(B$2,6,7)="3",HLOOKUP(B$1,Bilanço!$1:$151,MATCH(Çeyreklik!$A64,Bilanço!$A:$A,0),0),HLOOKUP(B$1,Bilanço!$1:$151,MATCH(Çeyreklik!$A64,Bilanço!$A:$A,0),0)-HLOOKUP(Bilanço!$B$1,Bilanço!$1:$151,MATCH(Çeyreklik!$A64,Bilanço!$A:$A,0),0))),"")</f>
        <v>927609000</v>
      </c>
      <c r="C64" s="2">
        <f>IFERROR(IF(MID(C$2,6,7)="3",HLOOKUP(C$1,Bilanço!$1:$151,MATCH(Çeyreklik!$A64,Bilanço!$A:$A,0),0),HLOOKUP(C$1,Bilanço!$1:$151,MATCH(Çeyreklik!$A64,Bilanço!$A:$A,0),0)-HLOOKUP(B$1,Bilanço!$1:$151,MATCH(Çeyreklik!$A64,Bilanço!$A:$A,0),0)),"")</f>
        <v>679659000</v>
      </c>
      <c r="D64" s="2">
        <f>IFERROR(IF(MID(D$2,6,7)="3",HLOOKUP(D$1,Bilanço!$1:$151,MATCH(Çeyreklik!$A64,Bilanço!$A:$A,0),0),HLOOKUP(D$1,Bilanço!$1:$151,MATCH(Çeyreklik!$A64,Bilanço!$A:$A,0),0)-HLOOKUP(C$1,Bilanço!$1:$151,MATCH(Çeyreklik!$A64,Bilanço!$A:$A,0),0)),"")</f>
        <v>-1391753000</v>
      </c>
      <c r="E64" s="2">
        <f>IFERROR(IF(MID(E$2,6,7)="3",HLOOKUP(E$1,Bilanço!$1:$151,MATCH(Çeyreklik!$A64,Bilanço!$A:$A,0),0),HLOOKUP(E$1,Bilanço!$1:$151,MATCH(Çeyreklik!$A64,Bilanço!$A:$A,0),0)-HLOOKUP(D$1,Bilanço!$1:$151,MATCH(Çeyreklik!$A64,Bilanço!$A:$A,0),0)),"")</f>
        <v>-1071938000</v>
      </c>
      <c r="F64" s="2">
        <f>IFERROR(IF(MID(F$2,6,7)="3",HLOOKUP(F$1,Bilanço!$1:$151,MATCH(Çeyreklik!$A64,Bilanço!$A:$A,0),0),HLOOKUP(F$1,Bilanço!$1:$151,MATCH(Çeyreklik!$A64,Bilanço!$A:$A,0),0)-HLOOKUP(E$1,Bilanço!$1:$151,MATCH(Çeyreklik!$A64,Bilanço!$A:$A,0),0)),"")</f>
        <v>45994000</v>
      </c>
      <c r="G64" s="2">
        <f>IFERROR(IF(MID(G$2,6,7)="3",HLOOKUP(G$1,Bilanço!$1:$151,MATCH(Çeyreklik!$A64,Bilanço!$A:$A,0),0),HLOOKUP(G$1,Bilanço!$1:$151,MATCH(Çeyreklik!$A64,Bilanço!$A:$A,0),0)-HLOOKUP(F$1,Bilanço!$1:$151,MATCH(Çeyreklik!$A64,Bilanço!$A:$A,0),0)),"")</f>
        <v>-73401000</v>
      </c>
      <c r="H64" s="2">
        <f>IFERROR(IF(MID(H$2,6,7)="3",HLOOKUP(H$1,Bilanço!$1:$151,MATCH(Çeyreklik!$A64,Bilanço!$A:$A,0),0),HLOOKUP(H$1,Bilanço!$1:$151,MATCH(Çeyreklik!$A64,Bilanço!$A:$A,0),0)-HLOOKUP(G$1,Bilanço!$1:$151,MATCH(Çeyreklik!$A64,Bilanço!$A:$A,0),0)),"")</f>
        <v>20508000</v>
      </c>
      <c r="I64" s="2">
        <f>IFERROR(IF(MID(I$2,6,7)="3",HLOOKUP(I$1,Bilanço!$1:$151,MATCH(Çeyreklik!$A64,Bilanço!$A:$A,0),0),HLOOKUP(I$1,Bilanço!$1:$151,MATCH(Çeyreklik!$A64,Bilanço!$A:$A,0),0)-HLOOKUP(H$1,Bilanço!$1:$151,MATCH(Çeyreklik!$A64,Bilanço!$A:$A,0),0)),"")</f>
        <v>-242347000</v>
      </c>
      <c r="J64" s="2">
        <f>IFERROR(IF(MID(J$2,6,7)="3",HLOOKUP(J$1,Bilanço!$1:$151,MATCH(Çeyreklik!$A64,Bilanço!$A:$A,0),0),HLOOKUP(J$1,Bilanço!$1:$151,MATCH(Çeyreklik!$A64,Bilanço!$A:$A,0),0)-HLOOKUP(I$1,Bilanço!$1:$151,MATCH(Çeyreklik!$A64,Bilanço!$A:$A,0),0)),"")</f>
        <v>15636000</v>
      </c>
      <c r="K64" s="2">
        <f>IFERROR(IF(MID(K$2,6,7)="3",HLOOKUP(K$1,Bilanço!$1:$151,MATCH(Çeyreklik!$A64,Bilanço!$A:$A,0),0),HLOOKUP(K$1,Bilanço!$1:$151,MATCH(Çeyreklik!$A64,Bilanço!$A:$A,0),0)-HLOOKUP(J$1,Bilanço!$1:$151,MATCH(Çeyreklik!$A64,Bilanço!$A:$A,0),0)),"")</f>
        <v>868056000</v>
      </c>
      <c r="L64" s="2">
        <f>IFERROR(IF(MID(L$2,6,7)="3",HLOOKUP(L$1,Bilanço!$1:$151,MATCH(Çeyreklik!$A64,Bilanço!$A:$A,0),0),HLOOKUP(L$1,Bilanço!$1:$151,MATCH(Çeyreklik!$A64,Bilanço!$A:$A,0),0)-HLOOKUP(K$1,Bilanço!$1:$151,MATCH(Çeyreklik!$A64,Bilanço!$A:$A,0),0)),"")</f>
        <v>10841779000</v>
      </c>
      <c r="M64" s="2">
        <f>IFERROR(IF(MID(M$2,6,7)="3",HLOOKUP(M$1,Bilanço!$1:$151,MATCH(Çeyreklik!$A64,Bilanço!$A:$A,0),0),HLOOKUP(M$1,Bilanço!$1:$151,MATCH(Çeyreklik!$A64,Bilanço!$A:$A,0),0)-HLOOKUP(L$1,Bilanço!$1:$151,MATCH(Çeyreklik!$A64,Bilanço!$A:$A,0),0)),"")</f>
        <v>687180000</v>
      </c>
      <c r="N64" s="2">
        <f>IFERROR(IF(MID(N$2,6,7)="3",HLOOKUP(N$1,Bilanço!$1:$151,MATCH(Çeyreklik!$A64,Bilanço!$A:$A,0),0),HLOOKUP(N$1,Bilanço!$1:$151,MATCH(Çeyreklik!$A64,Bilanço!$A:$A,0),0)-HLOOKUP(M$1,Bilanço!$1:$151,MATCH(Çeyreklik!$A64,Bilanço!$A:$A,0),0)),"")</f>
        <v>-510285000</v>
      </c>
      <c r="O64" s="2">
        <f>IFERROR(IF(MID(O$2,6,7)="3",HLOOKUP(O$1,Bilanço!$1:$151,MATCH(Çeyreklik!$A64,Bilanço!$A:$A,0),0),HLOOKUP(O$1,Bilanço!$1:$151,MATCH(Çeyreklik!$A64,Bilanço!$A:$A,0),0)-HLOOKUP(N$1,Bilanço!$1:$151,MATCH(Çeyreklik!$A64,Bilanço!$A:$A,0),0)),"")</f>
        <v>680308000</v>
      </c>
      <c r="P64" s="2">
        <f>IFERROR(IF(MID(P$2,6,7)="3",HLOOKUP(P$1,Bilanço!$1:$151,MATCH(Çeyreklik!$A64,Bilanço!$A:$A,0),0),HLOOKUP(P$1,Bilanço!$1:$151,MATCH(Çeyreklik!$A64,Bilanço!$A:$A,0),0)-HLOOKUP(O$1,Bilanço!$1:$151,MATCH(Çeyreklik!$A64,Bilanço!$A:$A,0),0)),"")</f>
        <v>127955000</v>
      </c>
      <c r="Q64" s="2">
        <f>IFERROR(IF(MID(Q$2,6,7)="3",HLOOKUP(Q$1,Bilanço!$1:$151,MATCH(Çeyreklik!$A64,Bilanço!$A:$A,0),0),HLOOKUP(Q$1,Bilanço!$1:$151,MATCH(Çeyreklik!$A64,Bilanço!$A:$A,0),0)-HLOOKUP(P$1,Bilanço!$1:$151,MATCH(Çeyreklik!$A64,Bilanço!$A:$A,0),0)),"")</f>
        <v>123067000</v>
      </c>
      <c r="R64" s="2">
        <f>IFERROR(IF(MID(R$2,6,7)="3",HLOOKUP(R$1,Bilanço!$1:$151,MATCH(Çeyreklik!$A64,Bilanço!$A:$A,0),0),HLOOKUP(R$1,Bilanço!$1:$151,MATCH(Çeyreklik!$A64,Bilanço!$A:$A,0),0)-HLOOKUP(Q$1,Bilanço!$1:$151,MATCH(Çeyreklik!$A64,Bilanço!$A:$A,0),0)),"")</f>
        <v>793967000</v>
      </c>
      <c r="S64" s="2">
        <f>IFERROR(IF(MID(S$2,6,7)="3",HLOOKUP(S$1,Bilanço!$1:$151,MATCH(Çeyreklik!$A64,Bilanço!$A:$A,0),0),HLOOKUP(S$1,Bilanço!$1:$151,MATCH(Çeyreklik!$A64,Bilanço!$A:$A,0),0)-HLOOKUP(R$1,Bilanço!$1:$151,MATCH(Çeyreklik!$A64,Bilanço!$A:$A,0),0)),"")</f>
        <v>1082943000</v>
      </c>
      <c r="T64" s="2">
        <f>IFERROR(IF(MID(T$2,6,7)="3",HLOOKUP(T$1,Bilanço!$1:$151,MATCH(Çeyreklik!$A64,Bilanço!$A:$A,0),0),HLOOKUP(T$1,Bilanço!$1:$151,MATCH(Çeyreklik!$A64,Bilanço!$A:$A,0),0)-HLOOKUP(S$1,Bilanço!$1:$151,MATCH(Çeyreklik!$A64,Bilanço!$A:$A,0),0)),"")</f>
        <v>1628118983</v>
      </c>
      <c r="U64" s="2">
        <f>IFERROR(IF(MID(U$2,6,7)="3",HLOOKUP(U$1,Bilanço!$1:$151,MATCH(Çeyreklik!$A64,Bilanço!$A:$A,0),0),HLOOKUP(U$1,Bilanço!$1:$151,MATCH(Çeyreklik!$A64,Bilanço!$A:$A,0),0)-HLOOKUP(T$1,Bilanço!$1:$151,MATCH(Çeyreklik!$A64,Bilanço!$A:$A,0),0)),"")</f>
        <v>726181000</v>
      </c>
      <c r="V64" s="2">
        <f>IFERROR(IF(MID(V$2,6,7)="3",HLOOKUP(V$1,Bilanço!$1:$151,MATCH(Çeyreklik!$A64,Bilanço!$A:$A,0),0),HLOOKUP(V$1,Bilanço!$1:$151,MATCH(Çeyreklik!$A64,Bilanço!$A:$A,0),0)-HLOOKUP(U$1,Bilanço!$1:$151,MATCH(Çeyreklik!$A64,Bilanço!$A:$A,0),0)),"")</f>
        <v>1433148000</v>
      </c>
      <c r="W64" s="2">
        <f>IFERROR(IF(MID(W$2,6,7)="3",HLOOKUP(W$1,Bilanço!$1:$151,MATCH(Çeyreklik!$A64,Bilanço!$A:$A,0),0),HLOOKUP(W$1,Bilanço!$1:$151,MATCH(Çeyreklik!$A64,Bilanço!$A:$A,0),0)-HLOOKUP(V$1,Bilanço!$1:$151,MATCH(Çeyreklik!$A64,Bilanço!$A:$A,0),0)),"")</f>
        <v>1666237000</v>
      </c>
    </row>
    <row r="65" spans="1:23" x14ac:dyDescent="0.25">
      <c r="A65" t="str">
        <f>Data!A136</f>
        <v xml:space="preserve"> Yatırım Faaliyetlerinden Kaynaklanan Nakit</v>
      </c>
      <c r="B65" s="2">
        <f>IFERROR(IF($B$2="2022/3",IF(MID(B$2,6,7)="3",HLOOKUP(B$1,Bilanço!$1:$151,MATCH(Çeyreklik!$A65,Bilanço!$A:$A,0),0),HLOOKUP(B$1,Bilanço!$1:$151,MATCH(Çeyreklik!$A65,Bilanço!$A:$A,0),0)-HLOOKUP(A$1,Bilanço!$1:$151,MATCH(Çeyreklik!$A65,Bilanço!$A:$A,0),0)),IF(MID(B$2,6,7)="3",HLOOKUP(B$1,Bilanço!$1:$151,MATCH(Çeyreklik!$A65,Bilanço!$A:$A,0),0),HLOOKUP(B$1,Bilanço!$1:$151,MATCH(Çeyreklik!$A65,Bilanço!$A:$A,0),0)-HLOOKUP(Bilanço!$B$1,Bilanço!$1:$151,MATCH(Çeyreklik!$A65,Bilanço!$A:$A,0),0))),"")</f>
        <v>901269000</v>
      </c>
      <c r="C65" s="2">
        <f>IFERROR(IF(MID(C$2,6,7)="3",HLOOKUP(C$1,Bilanço!$1:$151,MATCH(Çeyreklik!$A65,Bilanço!$A:$A,0),0),HLOOKUP(C$1,Bilanço!$1:$151,MATCH(Çeyreklik!$A65,Bilanço!$A:$A,0),0)-HLOOKUP(B$1,Bilanço!$1:$151,MATCH(Çeyreklik!$A65,Bilanço!$A:$A,0),0)),"")</f>
        <v>628946000</v>
      </c>
      <c r="D65" s="2">
        <f>IFERROR(IF(MID(D$2,6,7)="3",HLOOKUP(D$1,Bilanço!$1:$151,MATCH(Çeyreklik!$A65,Bilanço!$A:$A,0),0),HLOOKUP(D$1,Bilanço!$1:$151,MATCH(Çeyreklik!$A65,Bilanço!$A:$A,0),0)-HLOOKUP(C$1,Bilanço!$1:$151,MATCH(Çeyreklik!$A65,Bilanço!$A:$A,0),0)),"")</f>
        <v>-1508512000</v>
      </c>
      <c r="E65" s="2">
        <f>IFERROR(IF(MID(E$2,6,7)="3",HLOOKUP(E$1,Bilanço!$1:$151,MATCH(Çeyreklik!$A65,Bilanço!$A:$A,0),0),HLOOKUP(E$1,Bilanço!$1:$151,MATCH(Çeyreklik!$A65,Bilanço!$A:$A,0),0)-HLOOKUP(D$1,Bilanço!$1:$151,MATCH(Çeyreklik!$A65,Bilanço!$A:$A,0),0)),"")</f>
        <v>-1100160000</v>
      </c>
      <c r="F65" s="2">
        <f>IFERROR(IF(MID(F$2,6,7)="3",HLOOKUP(F$1,Bilanço!$1:$151,MATCH(Çeyreklik!$A65,Bilanço!$A:$A,0),0),HLOOKUP(F$1,Bilanço!$1:$151,MATCH(Çeyreklik!$A65,Bilanço!$A:$A,0),0)-HLOOKUP(E$1,Bilanço!$1:$151,MATCH(Çeyreklik!$A65,Bilanço!$A:$A,0),0)),"")</f>
        <v>-23492000</v>
      </c>
      <c r="G65" s="2">
        <f>IFERROR(IF(MID(G$2,6,7)="3",HLOOKUP(G$1,Bilanço!$1:$151,MATCH(Çeyreklik!$A65,Bilanço!$A:$A,0),0),HLOOKUP(G$1,Bilanço!$1:$151,MATCH(Çeyreklik!$A65,Bilanço!$A:$A,0),0)-HLOOKUP(F$1,Bilanço!$1:$151,MATCH(Çeyreklik!$A65,Bilanço!$A:$A,0),0)),"")</f>
        <v>-100473000</v>
      </c>
      <c r="H65" s="2">
        <f>IFERROR(IF(MID(H$2,6,7)="3",HLOOKUP(H$1,Bilanço!$1:$151,MATCH(Çeyreklik!$A65,Bilanço!$A:$A,0),0),HLOOKUP(H$1,Bilanço!$1:$151,MATCH(Çeyreklik!$A65,Bilanço!$A:$A,0),0)-HLOOKUP(G$1,Bilanço!$1:$151,MATCH(Çeyreklik!$A65,Bilanço!$A:$A,0),0)),"")</f>
        <v>-319699000</v>
      </c>
      <c r="I65" s="2">
        <f>IFERROR(IF(MID(I$2,6,7)="3",HLOOKUP(I$1,Bilanço!$1:$151,MATCH(Çeyreklik!$A65,Bilanço!$A:$A,0),0),HLOOKUP(I$1,Bilanço!$1:$151,MATCH(Çeyreklik!$A65,Bilanço!$A:$A,0),0)-HLOOKUP(H$1,Bilanço!$1:$151,MATCH(Çeyreklik!$A65,Bilanço!$A:$A,0),0)),"")</f>
        <v>-317237000</v>
      </c>
      <c r="J65" s="2">
        <f>IFERROR(IF(MID(J$2,6,7)="3",HLOOKUP(J$1,Bilanço!$1:$151,MATCH(Çeyreklik!$A65,Bilanço!$A:$A,0),0),HLOOKUP(J$1,Bilanço!$1:$151,MATCH(Çeyreklik!$A65,Bilanço!$A:$A,0),0)-HLOOKUP(I$1,Bilanço!$1:$151,MATCH(Çeyreklik!$A65,Bilanço!$A:$A,0),0)),"")</f>
        <v>-89650000</v>
      </c>
      <c r="K65" s="2">
        <f>IFERROR(IF(MID(K$2,6,7)="3",HLOOKUP(K$1,Bilanço!$1:$151,MATCH(Çeyreklik!$A65,Bilanço!$A:$A,0),0),HLOOKUP(K$1,Bilanço!$1:$151,MATCH(Çeyreklik!$A65,Bilanço!$A:$A,0),0)-HLOOKUP(J$1,Bilanço!$1:$151,MATCH(Çeyreklik!$A65,Bilanço!$A:$A,0),0)),"")</f>
        <v>723549000</v>
      </c>
      <c r="L65" s="2">
        <f>IFERROR(IF(MID(L$2,6,7)="3",HLOOKUP(L$1,Bilanço!$1:$151,MATCH(Çeyreklik!$A65,Bilanço!$A:$A,0),0),HLOOKUP(L$1,Bilanço!$1:$151,MATCH(Çeyreklik!$A65,Bilanço!$A:$A,0),0)-HLOOKUP(K$1,Bilanço!$1:$151,MATCH(Çeyreklik!$A65,Bilanço!$A:$A,0),0)),"")</f>
        <v>10020028000</v>
      </c>
      <c r="M65" s="2">
        <f>IFERROR(IF(MID(M$2,6,7)="3",HLOOKUP(M$1,Bilanço!$1:$151,MATCH(Çeyreklik!$A65,Bilanço!$A:$A,0),0),HLOOKUP(M$1,Bilanço!$1:$151,MATCH(Çeyreklik!$A65,Bilanço!$A:$A,0),0)-HLOOKUP(L$1,Bilanço!$1:$151,MATCH(Çeyreklik!$A65,Bilanço!$A:$A,0),0)),"")</f>
        <v>432078000</v>
      </c>
      <c r="N65" s="2">
        <f>IFERROR(IF(MID(N$2,6,7)="3",HLOOKUP(N$1,Bilanço!$1:$151,MATCH(Çeyreklik!$A65,Bilanço!$A:$A,0),0),HLOOKUP(N$1,Bilanço!$1:$151,MATCH(Çeyreklik!$A65,Bilanço!$A:$A,0),0)-HLOOKUP(M$1,Bilanço!$1:$151,MATCH(Çeyreklik!$A65,Bilanço!$A:$A,0),0)),"")</f>
        <v>-769919000</v>
      </c>
      <c r="O65" s="2">
        <f>IFERROR(IF(MID(O$2,6,7)="3",HLOOKUP(O$1,Bilanço!$1:$151,MATCH(Çeyreklik!$A65,Bilanço!$A:$A,0),0),HLOOKUP(O$1,Bilanço!$1:$151,MATCH(Çeyreklik!$A65,Bilanço!$A:$A,0),0)-HLOOKUP(N$1,Bilanço!$1:$151,MATCH(Çeyreklik!$A65,Bilanço!$A:$A,0),0)),"")</f>
        <v>216905000</v>
      </c>
      <c r="P65" s="2">
        <f>IFERROR(IF(MID(P$2,6,7)="3",HLOOKUP(P$1,Bilanço!$1:$151,MATCH(Çeyreklik!$A65,Bilanço!$A:$A,0),0),HLOOKUP(P$1,Bilanço!$1:$151,MATCH(Çeyreklik!$A65,Bilanço!$A:$A,0),0)-HLOOKUP(O$1,Bilanço!$1:$151,MATCH(Çeyreklik!$A65,Bilanço!$A:$A,0),0)),"")</f>
        <v>-498257000</v>
      </c>
      <c r="Q65" s="2">
        <f>IFERROR(IF(MID(Q$2,6,7)="3",HLOOKUP(Q$1,Bilanço!$1:$151,MATCH(Çeyreklik!$A65,Bilanço!$A:$A,0),0),HLOOKUP(Q$1,Bilanço!$1:$151,MATCH(Çeyreklik!$A65,Bilanço!$A:$A,0),0)-HLOOKUP(P$1,Bilanço!$1:$151,MATCH(Çeyreklik!$A65,Bilanço!$A:$A,0),0)),"")</f>
        <v>-249826000</v>
      </c>
      <c r="R65" s="2">
        <f>IFERROR(IF(MID(R$2,6,7)="3",HLOOKUP(R$1,Bilanço!$1:$151,MATCH(Çeyreklik!$A65,Bilanço!$A:$A,0),0),HLOOKUP(R$1,Bilanço!$1:$151,MATCH(Çeyreklik!$A65,Bilanço!$A:$A,0),0)-HLOOKUP(Q$1,Bilanço!$1:$151,MATCH(Çeyreklik!$A65,Bilanço!$A:$A,0),0)),"")</f>
        <v>338358000</v>
      </c>
      <c r="S65" s="2">
        <f>IFERROR(IF(MID(S$2,6,7)="3",HLOOKUP(S$1,Bilanço!$1:$151,MATCH(Çeyreklik!$A65,Bilanço!$A:$A,0),0),HLOOKUP(S$1,Bilanço!$1:$151,MATCH(Çeyreklik!$A65,Bilanço!$A:$A,0),0)-HLOOKUP(R$1,Bilanço!$1:$151,MATCH(Çeyreklik!$A65,Bilanço!$A:$A,0),0)),"")</f>
        <v>206583000</v>
      </c>
      <c r="T65" s="2">
        <f>IFERROR(IF(MID(T$2,6,7)="3",HLOOKUP(T$1,Bilanço!$1:$151,MATCH(Çeyreklik!$A65,Bilanço!$A:$A,0),0),HLOOKUP(T$1,Bilanço!$1:$151,MATCH(Çeyreklik!$A65,Bilanço!$A:$A,0),0)-HLOOKUP(S$1,Bilanço!$1:$151,MATCH(Çeyreklik!$A65,Bilanço!$A:$A,0),0)),"")</f>
        <v>135389449</v>
      </c>
      <c r="U65" s="2">
        <f>IFERROR(IF(MID(U$2,6,7)="3",HLOOKUP(U$1,Bilanço!$1:$151,MATCH(Çeyreklik!$A65,Bilanço!$A:$A,0),0),HLOOKUP(U$1,Bilanço!$1:$151,MATCH(Çeyreklik!$A65,Bilanço!$A:$A,0),0)-HLOOKUP(T$1,Bilanço!$1:$151,MATCH(Çeyreklik!$A65,Bilanço!$A:$A,0),0)),"")</f>
        <v>550339000</v>
      </c>
      <c r="V65" s="2">
        <f>IFERROR(IF(MID(V$2,6,7)="3",HLOOKUP(V$1,Bilanço!$1:$151,MATCH(Çeyreklik!$A65,Bilanço!$A:$A,0),0),HLOOKUP(V$1,Bilanço!$1:$151,MATCH(Çeyreklik!$A65,Bilanço!$A:$A,0),0)-HLOOKUP(U$1,Bilanço!$1:$151,MATCH(Çeyreklik!$A65,Bilanço!$A:$A,0),0)),"")</f>
        <v>1153667000</v>
      </c>
      <c r="W65" s="2">
        <f>IFERROR(IF(MID(W$2,6,7)="3",HLOOKUP(W$1,Bilanço!$1:$151,MATCH(Çeyreklik!$A65,Bilanço!$A:$A,0),0),HLOOKUP(W$1,Bilanço!$1:$151,MATCH(Çeyreklik!$A65,Bilanço!$A:$A,0),0)-HLOOKUP(V$1,Bilanço!$1:$151,MATCH(Çeyreklik!$A65,Bilanço!$A:$A,0),0)),"")</f>
        <v>1035492000</v>
      </c>
    </row>
    <row r="66" spans="1:23" x14ac:dyDescent="0.25">
      <c r="A66" t="str">
        <f>Data!A137</f>
        <v>Serbest Nakit Akım</v>
      </c>
      <c r="B66" s="2">
        <f>IFERROR(IF($B$2="2022/3",IF(MID(B$2,6,7)="3",HLOOKUP(B$1,Bilanço!$1:$151,MATCH(Çeyreklik!$A66,Bilanço!$A:$A,0),0),HLOOKUP(B$1,Bilanço!$1:$151,MATCH(Çeyreklik!$A66,Bilanço!$A:$A,0),0)-HLOOKUP(A$1,Bilanço!$1:$151,MATCH(Çeyreklik!$A66,Bilanço!$A:$A,0),0)),IF(MID(B$2,6,7)="3",HLOOKUP(B$1,Bilanço!$1:$151,MATCH(Çeyreklik!$A66,Bilanço!$A:$A,0),0),HLOOKUP(B$1,Bilanço!$1:$151,MATCH(Çeyreklik!$A66,Bilanço!$A:$A,0),0)-HLOOKUP(Bilanço!$B$1,Bilanço!$1:$151,MATCH(Çeyreklik!$A66,Bilanço!$A:$A,0),0))),"")</f>
        <v>940836000</v>
      </c>
      <c r="C66" s="2">
        <f>IFERROR(IF(MID(C$2,6,7)="3",HLOOKUP(C$1,Bilanço!$1:$151,MATCH(Çeyreklik!$A66,Bilanço!$A:$A,0),0),HLOOKUP(C$1,Bilanço!$1:$151,MATCH(Çeyreklik!$A66,Bilanço!$A:$A,0),0)-HLOOKUP(B$1,Bilanço!$1:$151,MATCH(Çeyreklik!$A66,Bilanço!$A:$A,0),0)),"")</f>
        <v>804538000</v>
      </c>
      <c r="D66" s="2">
        <f>IFERROR(IF(MID(D$2,6,7)="3",HLOOKUP(D$1,Bilanço!$1:$151,MATCH(Çeyreklik!$A66,Bilanço!$A:$A,0),0),HLOOKUP(D$1,Bilanço!$1:$151,MATCH(Çeyreklik!$A66,Bilanço!$A:$A,0),0)-HLOOKUP(C$1,Bilanço!$1:$151,MATCH(Çeyreklik!$A66,Bilanço!$A:$A,0),0)),"")</f>
        <v>-1171143000</v>
      </c>
      <c r="E66" s="2">
        <f>IFERROR(IF(MID(E$2,6,7)="3",HLOOKUP(E$1,Bilanço!$1:$151,MATCH(Çeyreklik!$A66,Bilanço!$A:$A,0),0),HLOOKUP(E$1,Bilanço!$1:$151,MATCH(Çeyreklik!$A66,Bilanço!$A:$A,0),0)-HLOOKUP(D$1,Bilanço!$1:$151,MATCH(Çeyreklik!$A66,Bilanço!$A:$A,0),0)),"")</f>
        <v>-1297856000</v>
      </c>
      <c r="F66" s="2">
        <f>IFERROR(IF(MID(F$2,6,7)="3",HLOOKUP(F$1,Bilanço!$1:$151,MATCH(Çeyreklik!$A66,Bilanço!$A:$A,0),0),HLOOKUP(F$1,Bilanço!$1:$151,MATCH(Çeyreklik!$A66,Bilanço!$A:$A,0),0)-HLOOKUP(E$1,Bilanço!$1:$151,MATCH(Çeyreklik!$A66,Bilanço!$A:$A,0),0)),"")</f>
        <v>245461000</v>
      </c>
      <c r="G66" s="2">
        <f>IFERROR(IF(MID(G$2,6,7)="3",HLOOKUP(G$1,Bilanço!$1:$151,MATCH(Çeyreklik!$A66,Bilanço!$A:$A,0),0),HLOOKUP(G$1,Bilanço!$1:$151,MATCH(Çeyreklik!$A66,Bilanço!$A:$A,0),0)-HLOOKUP(F$1,Bilanço!$1:$151,MATCH(Çeyreklik!$A66,Bilanço!$A:$A,0),0)),"")</f>
        <v>137578000</v>
      </c>
      <c r="H66" s="2">
        <f>IFERROR(IF(MID(H$2,6,7)="3",HLOOKUP(H$1,Bilanço!$1:$151,MATCH(Çeyreklik!$A66,Bilanço!$A:$A,0),0),HLOOKUP(H$1,Bilanço!$1:$151,MATCH(Çeyreklik!$A66,Bilanço!$A:$A,0),0)-HLOOKUP(G$1,Bilanço!$1:$151,MATCH(Çeyreklik!$A66,Bilanço!$A:$A,0),0)),"")</f>
        <v>-601668000</v>
      </c>
      <c r="I66" s="2">
        <f>IFERROR(IF(MID(I$2,6,7)="3",HLOOKUP(I$1,Bilanço!$1:$151,MATCH(Çeyreklik!$A66,Bilanço!$A:$A,0),0),HLOOKUP(I$1,Bilanço!$1:$151,MATCH(Çeyreklik!$A66,Bilanço!$A:$A,0),0)-HLOOKUP(H$1,Bilanço!$1:$151,MATCH(Çeyreklik!$A66,Bilanço!$A:$A,0),0)),"")</f>
        <v>43168000</v>
      </c>
      <c r="J66" s="2">
        <f>IFERROR(IF(MID(J$2,6,7)="3",HLOOKUP(J$1,Bilanço!$1:$151,MATCH(Çeyreklik!$A66,Bilanço!$A:$A,0),0),HLOOKUP(J$1,Bilanço!$1:$151,MATCH(Çeyreklik!$A66,Bilanço!$A:$A,0),0)-HLOOKUP(I$1,Bilanço!$1:$151,MATCH(Çeyreklik!$A66,Bilanço!$A:$A,0),0)),"")</f>
        <v>289296000</v>
      </c>
      <c r="K66" s="2">
        <f>IFERROR(IF(MID(K$2,6,7)="3",HLOOKUP(K$1,Bilanço!$1:$151,MATCH(Çeyreklik!$A66,Bilanço!$A:$A,0),0),HLOOKUP(K$1,Bilanço!$1:$151,MATCH(Çeyreklik!$A66,Bilanço!$A:$A,0),0)-HLOOKUP(J$1,Bilanço!$1:$151,MATCH(Çeyreklik!$A66,Bilanço!$A:$A,0),0)),"")</f>
        <v>547037000</v>
      </c>
      <c r="L66" s="2">
        <f>IFERROR(IF(MID(L$2,6,7)="3",HLOOKUP(L$1,Bilanço!$1:$151,MATCH(Çeyreklik!$A66,Bilanço!$A:$A,0),0),HLOOKUP(L$1,Bilanço!$1:$151,MATCH(Çeyreklik!$A66,Bilanço!$A:$A,0),0)-HLOOKUP(K$1,Bilanço!$1:$151,MATCH(Çeyreklik!$A66,Bilanço!$A:$A,0),0)),"")</f>
        <v>13478974000</v>
      </c>
      <c r="M66" s="2">
        <f>IFERROR(IF(MID(M$2,6,7)="3",HLOOKUP(M$1,Bilanço!$1:$151,MATCH(Çeyreklik!$A66,Bilanço!$A:$A,0),0),HLOOKUP(M$1,Bilanço!$1:$151,MATCH(Çeyreklik!$A66,Bilanço!$A:$A,0),0)-HLOOKUP(L$1,Bilanço!$1:$151,MATCH(Çeyreklik!$A66,Bilanço!$A:$A,0),0)),"")</f>
        <v>620777000</v>
      </c>
      <c r="N66" s="2">
        <f>IFERROR(IF(MID(N$2,6,7)="3",HLOOKUP(N$1,Bilanço!$1:$151,MATCH(Çeyreklik!$A66,Bilanço!$A:$A,0),0),HLOOKUP(N$1,Bilanço!$1:$151,MATCH(Çeyreklik!$A66,Bilanço!$A:$A,0),0)-HLOOKUP(M$1,Bilanço!$1:$151,MATCH(Çeyreklik!$A66,Bilanço!$A:$A,0),0)),"")</f>
        <v>1917033000</v>
      </c>
      <c r="O66" s="2">
        <f>IFERROR(IF(MID(O$2,6,7)="3",HLOOKUP(O$1,Bilanço!$1:$151,MATCH(Çeyreklik!$A66,Bilanço!$A:$A,0),0),HLOOKUP(O$1,Bilanço!$1:$151,MATCH(Çeyreklik!$A66,Bilanço!$A:$A,0),0)-HLOOKUP(N$1,Bilanço!$1:$151,MATCH(Çeyreklik!$A66,Bilanço!$A:$A,0),0)),"")</f>
        <v>3200107000</v>
      </c>
      <c r="P66" s="2">
        <f>IFERROR(IF(MID(P$2,6,7)="3",HLOOKUP(P$1,Bilanço!$1:$151,MATCH(Çeyreklik!$A66,Bilanço!$A:$A,0),0),HLOOKUP(P$1,Bilanço!$1:$151,MATCH(Çeyreklik!$A66,Bilanço!$A:$A,0),0)-HLOOKUP(O$1,Bilanço!$1:$151,MATCH(Çeyreklik!$A66,Bilanço!$A:$A,0),0)),"")</f>
        <v>4256237000</v>
      </c>
      <c r="Q66" s="2">
        <f>IFERROR(IF(MID(Q$2,6,7)="3",HLOOKUP(Q$1,Bilanço!$1:$151,MATCH(Çeyreklik!$A66,Bilanço!$A:$A,0),0),HLOOKUP(Q$1,Bilanço!$1:$151,MATCH(Çeyreklik!$A66,Bilanço!$A:$A,0),0)-HLOOKUP(P$1,Bilanço!$1:$151,MATCH(Çeyreklik!$A66,Bilanço!$A:$A,0),0)),"")</f>
        <v>-1511286000</v>
      </c>
      <c r="R66" s="2">
        <f>IFERROR(IF(MID(R$2,6,7)="3",HLOOKUP(R$1,Bilanço!$1:$151,MATCH(Çeyreklik!$A66,Bilanço!$A:$A,0),0),HLOOKUP(R$1,Bilanço!$1:$151,MATCH(Çeyreklik!$A66,Bilanço!$A:$A,0),0)-HLOOKUP(Q$1,Bilanço!$1:$151,MATCH(Çeyreklik!$A66,Bilanço!$A:$A,0),0)),"")</f>
        <v>4603380000</v>
      </c>
      <c r="S66" s="2">
        <f>IFERROR(IF(MID(S$2,6,7)="3",HLOOKUP(S$1,Bilanço!$1:$151,MATCH(Çeyreklik!$A66,Bilanço!$A:$A,0),0),HLOOKUP(S$1,Bilanço!$1:$151,MATCH(Çeyreklik!$A66,Bilanço!$A:$A,0),0)-HLOOKUP(R$1,Bilanço!$1:$151,MATCH(Çeyreklik!$A66,Bilanço!$A:$A,0),0)),"")</f>
        <v>-1130806000</v>
      </c>
      <c r="T66" s="2">
        <f>IFERROR(IF(MID(T$2,6,7)="3",HLOOKUP(T$1,Bilanço!$1:$151,MATCH(Çeyreklik!$A66,Bilanço!$A:$A,0),0),HLOOKUP(T$1,Bilanço!$1:$151,MATCH(Çeyreklik!$A66,Bilanço!$A:$A,0),0)-HLOOKUP(S$1,Bilanço!$1:$151,MATCH(Çeyreklik!$A66,Bilanço!$A:$A,0),0)),"")</f>
        <v>5729149978</v>
      </c>
      <c r="U66" s="2">
        <f>IFERROR(IF(MID(U$2,6,7)="3",HLOOKUP(U$1,Bilanço!$1:$151,MATCH(Çeyreklik!$A66,Bilanço!$A:$A,0),0),HLOOKUP(U$1,Bilanço!$1:$151,MATCH(Çeyreklik!$A66,Bilanço!$A:$A,0),0)-HLOOKUP(T$1,Bilanço!$1:$151,MATCH(Çeyreklik!$A66,Bilanço!$A:$A,0),0)),"")</f>
        <v>-5190979000</v>
      </c>
      <c r="V66" s="2">
        <f>IFERROR(IF(MID(V$2,6,7)="3",HLOOKUP(V$1,Bilanço!$1:$151,MATCH(Çeyreklik!$A66,Bilanço!$A:$A,0),0),HLOOKUP(V$1,Bilanço!$1:$151,MATCH(Çeyreklik!$A66,Bilanço!$A:$A,0),0)-HLOOKUP(U$1,Bilanço!$1:$151,MATCH(Çeyreklik!$A66,Bilanço!$A:$A,0),0)),"")</f>
        <v>2414343000</v>
      </c>
      <c r="W66" s="2">
        <f>IFERROR(IF(MID(W$2,6,7)="3",HLOOKUP(W$1,Bilanço!$1:$151,MATCH(Çeyreklik!$A66,Bilanço!$A:$A,0),0),HLOOKUP(W$1,Bilanço!$1:$151,MATCH(Çeyreklik!$A66,Bilanço!$A:$A,0),0)-HLOOKUP(V$1,Bilanço!$1:$151,MATCH(Çeyreklik!$A66,Bilanço!$A:$A,0),0)),"")</f>
        <v>3150283000</v>
      </c>
    </row>
    <row r="67" spans="1:23" x14ac:dyDescent="0.25">
      <c r="A67" t="str">
        <f>Data!A138</f>
        <v>Finansal Borçlardaki Değişim</v>
      </c>
      <c r="B67" s="2">
        <f>IFERROR(IF($B$2="2022/3",IF(MID(B$2,6,7)="3",HLOOKUP(B$1,Bilanço!$1:$151,MATCH(Çeyreklik!$A67,Bilanço!$A:$A,0),0),HLOOKUP(B$1,Bilanço!$1:$151,MATCH(Çeyreklik!$A67,Bilanço!$A:$A,0),0)-HLOOKUP(A$1,Bilanço!$1:$151,MATCH(Çeyreklik!$A67,Bilanço!$A:$A,0),0)),IF(MID(B$2,6,7)="3",HLOOKUP(B$1,Bilanço!$1:$151,MATCH(Çeyreklik!$A67,Bilanço!$A:$A,0),0),HLOOKUP(B$1,Bilanço!$1:$151,MATCH(Çeyreklik!$A67,Bilanço!$A:$A,0),0)-HLOOKUP(Bilanço!$B$1,Bilanço!$1:$151,MATCH(Çeyreklik!$A67,Bilanço!$A:$A,0),0))),"")</f>
        <v>446359000</v>
      </c>
      <c r="C67" s="2">
        <f>IFERROR(IF(MID(C$2,6,7)="3",HLOOKUP(C$1,Bilanço!$1:$151,MATCH(Çeyreklik!$A67,Bilanço!$A:$A,0),0),HLOOKUP(C$1,Bilanço!$1:$151,MATCH(Çeyreklik!$A67,Bilanço!$A:$A,0),0)-HLOOKUP(B$1,Bilanço!$1:$151,MATCH(Çeyreklik!$A67,Bilanço!$A:$A,0),0)),"")</f>
        <v>-197777000</v>
      </c>
      <c r="D67" s="2">
        <f>IFERROR(IF(MID(D$2,6,7)="3",HLOOKUP(D$1,Bilanço!$1:$151,MATCH(Çeyreklik!$A67,Bilanço!$A:$A,0),0),HLOOKUP(D$1,Bilanço!$1:$151,MATCH(Çeyreklik!$A67,Bilanço!$A:$A,0),0)-HLOOKUP(C$1,Bilanço!$1:$151,MATCH(Çeyreklik!$A67,Bilanço!$A:$A,0),0)),"")</f>
        <v>1669732000</v>
      </c>
      <c r="E67" s="2">
        <f>IFERROR(IF(MID(E$2,6,7)="3",HLOOKUP(E$1,Bilanço!$1:$151,MATCH(Çeyreklik!$A67,Bilanço!$A:$A,0),0),HLOOKUP(E$1,Bilanço!$1:$151,MATCH(Çeyreklik!$A67,Bilanço!$A:$A,0),0)-HLOOKUP(D$1,Bilanço!$1:$151,MATCH(Çeyreklik!$A67,Bilanço!$A:$A,0),0)),"")</f>
        <v>624753000</v>
      </c>
      <c r="F67" s="2">
        <f>IFERROR(IF(MID(F$2,6,7)="3",HLOOKUP(F$1,Bilanço!$1:$151,MATCH(Çeyreklik!$A67,Bilanço!$A:$A,0),0),HLOOKUP(F$1,Bilanço!$1:$151,MATCH(Çeyreklik!$A67,Bilanço!$A:$A,0),0)-HLOOKUP(E$1,Bilanço!$1:$151,MATCH(Çeyreklik!$A67,Bilanço!$A:$A,0),0)),"")</f>
        <v>-88570000</v>
      </c>
      <c r="G67" s="2">
        <f>IFERROR(IF(MID(G$2,6,7)="3",HLOOKUP(G$1,Bilanço!$1:$151,MATCH(Çeyreklik!$A67,Bilanço!$A:$A,0),0),HLOOKUP(G$1,Bilanço!$1:$151,MATCH(Çeyreklik!$A67,Bilanço!$A:$A,0),0)-HLOOKUP(F$1,Bilanço!$1:$151,MATCH(Çeyreklik!$A67,Bilanço!$A:$A,0),0)),"")</f>
        <v>-289789000</v>
      </c>
      <c r="H67" s="2">
        <f>IFERROR(IF(MID(H$2,6,7)="3",HLOOKUP(H$1,Bilanço!$1:$151,MATCH(Çeyreklik!$A67,Bilanço!$A:$A,0),0),HLOOKUP(H$1,Bilanço!$1:$151,MATCH(Çeyreklik!$A67,Bilanço!$A:$A,0),0)-HLOOKUP(G$1,Bilanço!$1:$151,MATCH(Çeyreklik!$A67,Bilanço!$A:$A,0),0)),"")</f>
        <v>-364025000</v>
      </c>
      <c r="I67" s="2">
        <f>IFERROR(IF(MID(I$2,6,7)="3",HLOOKUP(I$1,Bilanço!$1:$151,MATCH(Çeyreklik!$A67,Bilanço!$A:$A,0),0),HLOOKUP(I$1,Bilanço!$1:$151,MATCH(Çeyreklik!$A67,Bilanço!$A:$A,0),0)-HLOOKUP(H$1,Bilanço!$1:$151,MATCH(Çeyreklik!$A67,Bilanço!$A:$A,0),0)),"")</f>
        <v>-229116000</v>
      </c>
      <c r="J67" s="2">
        <f>IFERROR(IF(MID(J$2,6,7)="3",HLOOKUP(J$1,Bilanço!$1:$151,MATCH(Çeyreklik!$A67,Bilanço!$A:$A,0),0),HLOOKUP(J$1,Bilanço!$1:$151,MATCH(Çeyreklik!$A67,Bilanço!$A:$A,0),0)-HLOOKUP(I$1,Bilanço!$1:$151,MATCH(Çeyreklik!$A67,Bilanço!$A:$A,0),0)),"")</f>
        <v>398665000</v>
      </c>
      <c r="K67" s="2">
        <f>IFERROR(IF(MID(K$2,6,7)="3",HLOOKUP(K$1,Bilanço!$1:$151,MATCH(Çeyreklik!$A67,Bilanço!$A:$A,0),0),HLOOKUP(K$1,Bilanço!$1:$151,MATCH(Çeyreklik!$A67,Bilanço!$A:$A,0),0)-HLOOKUP(J$1,Bilanço!$1:$151,MATCH(Çeyreklik!$A67,Bilanço!$A:$A,0),0)),"")</f>
        <v>-238510000</v>
      </c>
      <c r="L67" s="2">
        <f>IFERROR(IF(MID(L$2,6,7)="3",HLOOKUP(L$1,Bilanço!$1:$151,MATCH(Çeyreklik!$A67,Bilanço!$A:$A,0),0),HLOOKUP(L$1,Bilanço!$1:$151,MATCH(Çeyreklik!$A67,Bilanço!$A:$A,0),0)-HLOOKUP(K$1,Bilanço!$1:$151,MATCH(Çeyreklik!$A67,Bilanço!$A:$A,0),0)),"")</f>
        <v>-1931315000</v>
      </c>
      <c r="M67" s="2">
        <f>IFERROR(IF(MID(M$2,6,7)="3",HLOOKUP(M$1,Bilanço!$1:$151,MATCH(Çeyreklik!$A67,Bilanço!$A:$A,0),0),HLOOKUP(M$1,Bilanço!$1:$151,MATCH(Çeyreklik!$A67,Bilanço!$A:$A,0),0)-HLOOKUP(L$1,Bilanço!$1:$151,MATCH(Çeyreklik!$A67,Bilanço!$A:$A,0),0)),"")</f>
        <v>276619000</v>
      </c>
      <c r="N67" s="2">
        <f>IFERROR(IF(MID(N$2,6,7)="3",HLOOKUP(N$1,Bilanço!$1:$151,MATCH(Çeyreklik!$A67,Bilanço!$A:$A,0),0),HLOOKUP(N$1,Bilanço!$1:$151,MATCH(Çeyreklik!$A67,Bilanço!$A:$A,0),0)-HLOOKUP(M$1,Bilanço!$1:$151,MATCH(Çeyreklik!$A67,Bilanço!$A:$A,0),0)),"")</f>
        <v>-7151520000</v>
      </c>
      <c r="O67" s="2">
        <f>IFERROR(IF(MID(O$2,6,7)="3",HLOOKUP(O$1,Bilanço!$1:$151,MATCH(Çeyreklik!$A67,Bilanço!$A:$A,0),0),HLOOKUP(O$1,Bilanço!$1:$151,MATCH(Çeyreklik!$A67,Bilanço!$A:$A,0),0)-HLOOKUP(N$1,Bilanço!$1:$151,MATCH(Çeyreklik!$A67,Bilanço!$A:$A,0),0)),"")</f>
        <v>-2878596000</v>
      </c>
      <c r="P67" s="2">
        <f>IFERROR(IF(MID(P$2,6,7)="3",HLOOKUP(P$1,Bilanço!$1:$151,MATCH(Çeyreklik!$A67,Bilanço!$A:$A,0),0),HLOOKUP(P$1,Bilanço!$1:$151,MATCH(Çeyreklik!$A67,Bilanço!$A:$A,0),0)-HLOOKUP(O$1,Bilanço!$1:$151,MATCH(Çeyreklik!$A67,Bilanço!$A:$A,0),0)),"")</f>
        <v>-207010000</v>
      </c>
      <c r="Q67" s="2">
        <f>IFERROR(IF(MID(Q$2,6,7)="3",HLOOKUP(Q$1,Bilanço!$1:$151,MATCH(Çeyreklik!$A67,Bilanço!$A:$A,0),0),HLOOKUP(Q$1,Bilanço!$1:$151,MATCH(Çeyreklik!$A67,Bilanço!$A:$A,0),0)-HLOOKUP(P$1,Bilanço!$1:$151,MATCH(Çeyreklik!$A67,Bilanço!$A:$A,0),0)),"")</f>
        <v>572826000</v>
      </c>
      <c r="R67" s="2">
        <f>IFERROR(IF(MID(R$2,6,7)="3",HLOOKUP(R$1,Bilanço!$1:$151,MATCH(Çeyreklik!$A67,Bilanço!$A:$A,0),0),HLOOKUP(R$1,Bilanço!$1:$151,MATCH(Çeyreklik!$A67,Bilanço!$A:$A,0),0)-HLOOKUP(Q$1,Bilanço!$1:$151,MATCH(Çeyreklik!$A67,Bilanço!$A:$A,0),0)),"")</f>
        <v>4914270000</v>
      </c>
      <c r="S67" s="2">
        <f>IFERROR(IF(MID(S$2,6,7)="3",HLOOKUP(S$1,Bilanço!$1:$151,MATCH(Çeyreklik!$A67,Bilanço!$A:$A,0),0),HLOOKUP(S$1,Bilanço!$1:$151,MATCH(Çeyreklik!$A67,Bilanço!$A:$A,0),0)-HLOOKUP(R$1,Bilanço!$1:$151,MATCH(Çeyreklik!$A67,Bilanço!$A:$A,0),0)),"")</f>
        <v>9316063000</v>
      </c>
      <c r="T67" s="2">
        <f>IFERROR(IF(MID(T$2,6,7)="3",HLOOKUP(T$1,Bilanço!$1:$151,MATCH(Çeyreklik!$A67,Bilanço!$A:$A,0),0),HLOOKUP(T$1,Bilanço!$1:$151,MATCH(Çeyreklik!$A67,Bilanço!$A:$A,0),0)-HLOOKUP(S$1,Bilanço!$1:$151,MATCH(Çeyreklik!$A67,Bilanço!$A:$A,0),0)),"")</f>
        <v>-1000400489</v>
      </c>
      <c r="U67" s="2">
        <f>IFERROR(IF(MID(U$2,6,7)="3",HLOOKUP(U$1,Bilanço!$1:$151,MATCH(Çeyreklik!$A67,Bilanço!$A:$A,0),0),HLOOKUP(U$1,Bilanço!$1:$151,MATCH(Çeyreklik!$A67,Bilanço!$A:$A,0),0)-HLOOKUP(T$1,Bilanço!$1:$151,MATCH(Çeyreklik!$A67,Bilanço!$A:$A,0),0)),"")</f>
        <v>3185491000</v>
      </c>
      <c r="V67" s="2">
        <f>IFERROR(IF(MID(V$2,6,7)="3",HLOOKUP(V$1,Bilanço!$1:$151,MATCH(Çeyreklik!$A67,Bilanço!$A:$A,0),0),HLOOKUP(V$1,Bilanço!$1:$151,MATCH(Çeyreklik!$A67,Bilanço!$A:$A,0),0)-HLOOKUP(U$1,Bilanço!$1:$151,MATCH(Çeyreklik!$A67,Bilanço!$A:$A,0),0)),"")</f>
        <v>4854680000</v>
      </c>
      <c r="W67" s="2">
        <f>IFERROR(IF(MID(W$2,6,7)="3",HLOOKUP(W$1,Bilanço!$1:$151,MATCH(Çeyreklik!$A67,Bilanço!$A:$A,0),0),HLOOKUP(W$1,Bilanço!$1:$151,MATCH(Çeyreklik!$A67,Bilanço!$A:$A,0),0)-HLOOKUP(V$1,Bilanço!$1:$151,MATCH(Çeyreklik!$A67,Bilanço!$A:$A,0),0)),"")</f>
        <v>2477000</v>
      </c>
    </row>
    <row r="68" spans="1:23" x14ac:dyDescent="0.25">
      <c r="A68" t="str">
        <f>Data!A139</f>
        <v>Temettü Ödemeleri</v>
      </c>
      <c r="B68" s="2">
        <f>IFERROR(IF($B$2="2022/3",IF(MID(B$2,6,7)="3",HLOOKUP(B$1,Bilanço!$1:$151,MATCH(Çeyreklik!$A68,Bilanço!$A:$A,0),0),HLOOKUP(B$1,Bilanço!$1:$151,MATCH(Çeyreklik!$A68,Bilanço!$A:$A,0),0)-HLOOKUP(A$1,Bilanço!$1:$151,MATCH(Çeyreklik!$A68,Bilanço!$A:$A,0),0)),IF(MID(B$2,6,7)="3",HLOOKUP(B$1,Bilanço!$1:$151,MATCH(Çeyreklik!$A68,Bilanço!$A:$A,0),0),HLOOKUP(B$1,Bilanço!$1:$151,MATCH(Çeyreklik!$A68,Bilanço!$A:$A,0),0)-HLOOKUP(Bilanço!$B$1,Bilanço!$1:$151,MATCH(Çeyreklik!$A68,Bilanço!$A:$A,0),0))),"")</f>
        <v>0</v>
      </c>
      <c r="C68" s="2">
        <f>IFERROR(IF(MID(C$2,6,7)="3",HLOOKUP(C$1,Bilanço!$1:$151,MATCH(Çeyreklik!$A68,Bilanço!$A:$A,0),0),HLOOKUP(C$1,Bilanço!$1:$151,MATCH(Çeyreklik!$A68,Bilanço!$A:$A,0),0)-HLOOKUP(B$1,Bilanço!$1:$151,MATCH(Çeyreklik!$A68,Bilanço!$A:$A,0),0)),"")</f>
        <v>0</v>
      </c>
      <c r="D68" s="2">
        <f>IFERROR(IF(MID(D$2,6,7)="3",HLOOKUP(D$1,Bilanço!$1:$151,MATCH(Çeyreklik!$A68,Bilanço!$A:$A,0),0),HLOOKUP(D$1,Bilanço!$1:$151,MATCH(Çeyreklik!$A68,Bilanço!$A:$A,0),0)-HLOOKUP(C$1,Bilanço!$1:$151,MATCH(Çeyreklik!$A68,Bilanço!$A:$A,0),0)),"")</f>
        <v>-6686000</v>
      </c>
      <c r="E68" s="2">
        <f>IFERROR(IF(MID(E$2,6,7)="3",HLOOKUP(E$1,Bilanço!$1:$151,MATCH(Çeyreklik!$A68,Bilanço!$A:$A,0),0),HLOOKUP(E$1,Bilanço!$1:$151,MATCH(Çeyreklik!$A68,Bilanço!$A:$A,0),0)-HLOOKUP(D$1,Bilanço!$1:$151,MATCH(Çeyreklik!$A68,Bilanço!$A:$A,0),0)),"")</f>
        <v>-66025000</v>
      </c>
      <c r="F68" s="2">
        <f>IFERROR(IF(MID(F$2,6,7)="3",HLOOKUP(F$1,Bilanço!$1:$151,MATCH(Çeyreklik!$A68,Bilanço!$A:$A,0),0),HLOOKUP(F$1,Bilanço!$1:$151,MATCH(Çeyreklik!$A68,Bilanço!$A:$A,0),0)-HLOOKUP(E$1,Bilanço!$1:$151,MATCH(Çeyreklik!$A68,Bilanço!$A:$A,0),0)),"")</f>
        <v>-283267000</v>
      </c>
      <c r="G68" s="2">
        <f>IFERROR(IF(MID(G$2,6,7)="3",HLOOKUP(G$1,Bilanço!$1:$151,MATCH(Çeyreklik!$A68,Bilanço!$A:$A,0),0),HLOOKUP(G$1,Bilanço!$1:$151,MATCH(Çeyreklik!$A68,Bilanço!$A:$A,0),0)-HLOOKUP(F$1,Bilanço!$1:$151,MATCH(Çeyreklik!$A68,Bilanço!$A:$A,0),0)),"")</f>
        <v>1000</v>
      </c>
      <c r="H68" s="2">
        <f>IFERROR(IF(MID(H$2,6,7)="3",HLOOKUP(H$1,Bilanço!$1:$151,MATCH(Çeyreklik!$A68,Bilanço!$A:$A,0),0),HLOOKUP(H$1,Bilanço!$1:$151,MATCH(Çeyreklik!$A68,Bilanço!$A:$A,0),0)-HLOOKUP(G$1,Bilanço!$1:$151,MATCH(Çeyreklik!$A68,Bilanço!$A:$A,0),0)),"")</f>
        <v>-24050000</v>
      </c>
      <c r="I68" s="2">
        <f>IFERROR(IF(MID(I$2,6,7)="3",HLOOKUP(I$1,Bilanço!$1:$151,MATCH(Çeyreklik!$A68,Bilanço!$A:$A,0),0),HLOOKUP(I$1,Bilanço!$1:$151,MATCH(Çeyreklik!$A68,Bilanço!$A:$A,0),0)-HLOOKUP(H$1,Bilanço!$1:$151,MATCH(Çeyreklik!$A68,Bilanço!$A:$A,0),0)),"")</f>
        <v>0</v>
      </c>
      <c r="J68" s="2">
        <f>IFERROR(IF(MID(J$2,6,7)="3",HLOOKUP(J$1,Bilanço!$1:$151,MATCH(Çeyreklik!$A68,Bilanço!$A:$A,0),0),HLOOKUP(J$1,Bilanço!$1:$151,MATCH(Çeyreklik!$A68,Bilanço!$A:$A,0),0)-HLOOKUP(I$1,Bilanço!$1:$151,MATCH(Çeyreklik!$A68,Bilanço!$A:$A,0),0)),"")</f>
        <v>0</v>
      </c>
      <c r="K68" s="2">
        <f>IFERROR(IF(MID(K$2,6,7)="3",HLOOKUP(K$1,Bilanço!$1:$151,MATCH(Çeyreklik!$A68,Bilanço!$A:$A,0),0),HLOOKUP(K$1,Bilanço!$1:$151,MATCH(Çeyreklik!$A68,Bilanço!$A:$A,0),0)-HLOOKUP(J$1,Bilanço!$1:$151,MATCH(Çeyreklik!$A68,Bilanço!$A:$A,0),0)),"")</f>
        <v>-119590000</v>
      </c>
      <c r="L68" s="2">
        <f>IFERROR(IF(MID(L$2,6,7)="3",HLOOKUP(L$1,Bilanço!$1:$151,MATCH(Çeyreklik!$A68,Bilanço!$A:$A,0),0),HLOOKUP(L$1,Bilanço!$1:$151,MATCH(Çeyreklik!$A68,Bilanço!$A:$A,0),0)-HLOOKUP(K$1,Bilanço!$1:$151,MATCH(Çeyreklik!$A68,Bilanço!$A:$A,0),0)),"")</f>
        <v>-79178000</v>
      </c>
      <c r="M68" s="2">
        <f>IFERROR(IF(MID(M$2,6,7)="3",HLOOKUP(M$1,Bilanço!$1:$151,MATCH(Çeyreklik!$A68,Bilanço!$A:$A,0),0),HLOOKUP(M$1,Bilanço!$1:$151,MATCH(Çeyreklik!$A68,Bilanço!$A:$A,0),0)-HLOOKUP(L$1,Bilanço!$1:$151,MATCH(Çeyreklik!$A68,Bilanço!$A:$A,0),0)),"")</f>
        <v>0</v>
      </c>
      <c r="N68" s="2">
        <f>IFERROR(IF(MID(N$2,6,7)="3",HLOOKUP(N$1,Bilanço!$1:$151,MATCH(Çeyreklik!$A68,Bilanço!$A:$A,0),0),HLOOKUP(N$1,Bilanço!$1:$151,MATCH(Çeyreklik!$A68,Bilanço!$A:$A,0),0)-HLOOKUP(M$1,Bilanço!$1:$151,MATCH(Çeyreklik!$A68,Bilanço!$A:$A,0),0)),"")</f>
        <v>-342871000</v>
      </c>
      <c r="O68" s="2">
        <f>IFERROR(IF(MID(O$2,6,7)="3",HLOOKUP(O$1,Bilanço!$1:$151,MATCH(Çeyreklik!$A68,Bilanço!$A:$A,0),0),HLOOKUP(O$1,Bilanço!$1:$151,MATCH(Çeyreklik!$A68,Bilanço!$A:$A,0),0)-HLOOKUP(N$1,Bilanço!$1:$151,MATCH(Çeyreklik!$A68,Bilanço!$A:$A,0),0)),"")</f>
        <v>44383000</v>
      </c>
      <c r="P68" s="2">
        <f>IFERROR(IF(MID(P$2,6,7)="3",HLOOKUP(P$1,Bilanço!$1:$151,MATCH(Çeyreklik!$A68,Bilanço!$A:$A,0),0),HLOOKUP(P$1,Bilanço!$1:$151,MATCH(Çeyreklik!$A68,Bilanço!$A:$A,0),0)-HLOOKUP(O$1,Bilanço!$1:$151,MATCH(Çeyreklik!$A68,Bilanço!$A:$A,0),0)),"")</f>
        <v>10003000</v>
      </c>
      <c r="Q68" s="2">
        <f>IFERROR(IF(MID(Q$2,6,7)="3",HLOOKUP(Q$1,Bilanço!$1:$151,MATCH(Çeyreklik!$A68,Bilanço!$A:$A,0),0),HLOOKUP(Q$1,Bilanço!$1:$151,MATCH(Çeyreklik!$A68,Bilanço!$A:$A,0),0)-HLOOKUP(P$1,Bilanço!$1:$151,MATCH(Çeyreklik!$A68,Bilanço!$A:$A,0),0)),"")</f>
        <v>0</v>
      </c>
      <c r="R68" s="2">
        <f>IFERROR(IF(MID(R$2,6,7)="3",HLOOKUP(R$1,Bilanço!$1:$151,MATCH(Çeyreklik!$A68,Bilanço!$A:$A,0),0),HLOOKUP(R$1,Bilanço!$1:$151,MATCH(Çeyreklik!$A68,Bilanço!$A:$A,0),0)-HLOOKUP(Q$1,Bilanço!$1:$151,MATCH(Çeyreklik!$A68,Bilanço!$A:$A,0),0)),"")</f>
        <v>-461568000</v>
      </c>
      <c r="S68" s="2">
        <f>IFERROR(IF(MID(S$2,6,7)="3",HLOOKUP(S$1,Bilanço!$1:$151,MATCH(Çeyreklik!$A68,Bilanço!$A:$A,0),0),HLOOKUP(S$1,Bilanço!$1:$151,MATCH(Çeyreklik!$A68,Bilanço!$A:$A,0),0)-HLOOKUP(R$1,Bilanço!$1:$151,MATCH(Çeyreklik!$A68,Bilanço!$A:$A,0),0)),"")</f>
        <v>5997000</v>
      </c>
      <c r="T68" s="2">
        <f>IFERROR(IF(MID(T$2,6,7)="3",HLOOKUP(T$1,Bilanço!$1:$151,MATCH(Çeyreklik!$A68,Bilanço!$A:$A,0),0),HLOOKUP(T$1,Bilanço!$1:$151,MATCH(Çeyreklik!$A68,Bilanço!$A:$A,0),0)-HLOOKUP(S$1,Bilanço!$1:$151,MATCH(Çeyreklik!$A68,Bilanço!$A:$A,0),0)),"")</f>
        <v>-1959762</v>
      </c>
      <c r="U68" s="2">
        <f>IFERROR(IF(MID(U$2,6,7)="3",HLOOKUP(U$1,Bilanço!$1:$151,MATCH(Çeyreklik!$A68,Bilanço!$A:$A,0),0),HLOOKUP(U$1,Bilanço!$1:$151,MATCH(Çeyreklik!$A68,Bilanço!$A:$A,0),0)-HLOOKUP(T$1,Bilanço!$1:$151,MATCH(Çeyreklik!$A68,Bilanço!$A:$A,0),0)),"")</f>
        <v>0</v>
      </c>
      <c r="V68" s="2">
        <f>IFERROR(IF(MID(V$2,6,7)="3",HLOOKUP(V$1,Bilanço!$1:$151,MATCH(Çeyreklik!$A68,Bilanço!$A:$A,0),0),HLOOKUP(V$1,Bilanço!$1:$151,MATCH(Çeyreklik!$A68,Bilanço!$A:$A,0),0)-HLOOKUP(U$1,Bilanço!$1:$151,MATCH(Çeyreklik!$A68,Bilanço!$A:$A,0),0)),"")</f>
        <v>-3436324000</v>
      </c>
      <c r="W68" s="2">
        <f>IFERROR(IF(MID(W$2,6,7)="3",HLOOKUP(W$1,Bilanço!$1:$151,MATCH(Çeyreklik!$A68,Bilanço!$A:$A,0),0),HLOOKUP(W$1,Bilanço!$1:$151,MATCH(Çeyreklik!$A68,Bilanço!$A:$A,0),0)-HLOOKUP(V$1,Bilanço!$1:$151,MATCH(Çeyreklik!$A68,Bilanço!$A:$A,0),0)),"")</f>
        <v>-243925000</v>
      </c>
    </row>
    <row r="69" spans="1:23" x14ac:dyDescent="0.25">
      <c r="A69" t="str">
        <f>Data!A140</f>
        <v>Sermaye Artırımı</v>
      </c>
      <c r="B69" s="2">
        <f>IFERROR(IF($B$2="2022/3",IF(MID(B$2,6,7)="3",HLOOKUP(B$1,Bilanço!$1:$151,MATCH(Çeyreklik!$A69,Bilanço!$A:$A,0),0),HLOOKUP(B$1,Bilanço!$1:$151,MATCH(Çeyreklik!$A69,Bilanço!$A:$A,0),0)-HLOOKUP(A$1,Bilanço!$1:$151,MATCH(Çeyreklik!$A69,Bilanço!$A:$A,0),0)),IF(MID(B$2,6,7)="3",HLOOKUP(B$1,Bilanço!$1:$151,MATCH(Çeyreklik!$A69,Bilanço!$A:$A,0),0),HLOOKUP(B$1,Bilanço!$1:$151,MATCH(Çeyreklik!$A69,Bilanço!$A:$A,0),0)-HLOOKUP(Bilanço!$B$1,Bilanço!$1:$151,MATCH(Çeyreklik!$A69,Bilanço!$A:$A,0),0))),"")</f>
        <v>0</v>
      </c>
      <c r="C69" s="2">
        <f>IFERROR(IF(MID(C$2,6,7)="3",HLOOKUP(C$1,Bilanço!$1:$151,MATCH(Çeyreklik!$A69,Bilanço!$A:$A,0),0),HLOOKUP(C$1,Bilanço!$1:$151,MATCH(Çeyreklik!$A69,Bilanço!$A:$A,0),0)-HLOOKUP(B$1,Bilanço!$1:$151,MATCH(Çeyreklik!$A69,Bilanço!$A:$A,0),0)),"")</f>
        <v>0</v>
      </c>
      <c r="D69" s="2">
        <f>IFERROR(IF(MID(D$2,6,7)="3",HLOOKUP(D$1,Bilanço!$1:$151,MATCH(Çeyreklik!$A69,Bilanço!$A:$A,0),0),HLOOKUP(D$1,Bilanço!$1:$151,MATCH(Çeyreklik!$A69,Bilanço!$A:$A,0),0)-HLOOKUP(C$1,Bilanço!$1:$151,MATCH(Çeyreklik!$A69,Bilanço!$A:$A,0),0)),"")</f>
        <v>0</v>
      </c>
      <c r="E69" s="2">
        <f>IFERROR(IF(MID(E$2,6,7)="3",HLOOKUP(E$1,Bilanço!$1:$151,MATCH(Çeyreklik!$A69,Bilanço!$A:$A,0),0),HLOOKUP(E$1,Bilanço!$1:$151,MATCH(Çeyreklik!$A69,Bilanço!$A:$A,0),0)-HLOOKUP(D$1,Bilanço!$1:$151,MATCH(Çeyreklik!$A69,Bilanço!$A:$A,0),0)),"")</f>
        <v>0</v>
      </c>
      <c r="F69" s="2">
        <f>IFERROR(IF(MID(F$2,6,7)="3",HLOOKUP(F$1,Bilanço!$1:$151,MATCH(Çeyreklik!$A69,Bilanço!$A:$A,0),0),HLOOKUP(F$1,Bilanço!$1:$151,MATCH(Çeyreklik!$A69,Bilanço!$A:$A,0),0)-HLOOKUP(E$1,Bilanço!$1:$151,MATCH(Çeyreklik!$A69,Bilanço!$A:$A,0),0)),"")</f>
        <v>0</v>
      </c>
      <c r="G69" s="2">
        <f>IFERROR(IF(MID(G$2,6,7)="3",HLOOKUP(G$1,Bilanço!$1:$151,MATCH(Çeyreklik!$A69,Bilanço!$A:$A,0),0),HLOOKUP(G$1,Bilanço!$1:$151,MATCH(Çeyreklik!$A69,Bilanço!$A:$A,0),0)-HLOOKUP(F$1,Bilanço!$1:$151,MATCH(Çeyreklik!$A69,Bilanço!$A:$A,0),0)),"")</f>
        <v>0</v>
      </c>
      <c r="H69" s="2">
        <f>IFERROR(IF(MID(H$2,6,7)="3",HLOOKUP(H$1,Bilanço!$1:$151,MATCH(Çeyreklik!$A69,Bilanço!$A:$A,0),0),HLOOKUP(H$1,Bilanço!$1:$151,MATCH(Çeyreklik!$A69,Bilanço!$A:$A,0),0)-HLOOKUP(G$1,Bilanço!$1:$151,MATCH(Çeyreklik!$A69,Bilanço!$A:$A,0),0)),"")</f>
        <v>0</v>
      </c>
      <c r="I69" s="2">
        <f>IFERROR(IF(MID(I$2,6,7)="3",HLOOKUP(I$1,Bilanço!$1:$151,MATCH(Çeyreklik!$A69,Bilanço!$A:$A,0),0),HLOOKUP(I$1,Bilanço!$1:$151,MATCH(Çeyreklik!$A69,Bilanço!$A:$A,0),0)-HLOOKUP(H$1,Bilanço!$1:$151,MATCH(Çeyreklik!$A69,Bilanço!$A:$A,0),0)),"")</f>
        <v>0</v>
      </c>
      <c r="J69" s="2">
        <f>IFERROR(IF(MID(J$2,6,7)="3",HLOOKUP(J$1,Bilanço!$1:$151,MATCH(Çeyreklik!$A69,Bilanço!$A:$A,0),0),HLOOKUP(J$1,Bilanço!$1:$151,MATCH(Çeyreklik!$A69,Bilanço!$A:$A,0),0)-HLOOKUP(I$1,Bilanço!$1:$151,MATCH(Çeyreklik!$A69,Bilanço!$A:$A,0),0)),"")</f>
        <v>0</v>
      </c>
      <c r="K69" s="2">
        <f>IFERROR(IF(MID(K$2,6,7)="3",HLOOKUP(K$1,Bilanço!$1:$151,MATCH(Çeyreklik!$A69,Bilanço!$A:$A,0),0),HLOOKUP(K$1,Bilanço!$1:$151,MATCH(Çeyreklik!$A69,Bilanço!$A:$A,0),0)-HLOOKUP(J$1,Bilanço!$1:$151,MATCH(Çeyreklik!$A69,Bilanço!$A:$A,0),0)),"")</f>
        <v>0</v>
      </c>
      <c r="L69" s="2">
        <f>IFERROR(IF(MID(L$2,6,7)="3",HLOOKUP(L$1,Bilanço!$1:$151,MATCH(Çeyreklik!$A69,Bilanço!$A:$A,0),0),HLOOKUP(L$1,Bilanço!$1:$151,MATCH(Çeyreklik!$A69,Bilanço!$A:$A,0),0)-HLOOKUP(K$1,Bilanço!$1:$151,MATCH(Çeyreklik!$A69,Bilanço!$A:$A,0),0)),"")</f>
        <v>0</v>
      </c>
      <c r="M69" s="2">
        <f>IFERROR(IF(MID(M$2,6,7)="3",HLOOKUP(M$1,Bilanço!$1:$151,MATCH(Çeyreklik!$A69,Bilanço!$A:$A,0),0),HLOOKUP(M$1,Bilanço!$1:$151,MATCH(Çeyreklik!$A69,Bilanço!$A:$A,0),0)-HLOOKUP(L$1,Bilanço!$1:$151,MATCH(Çeyreklik!$A69,Bilanço!$A:$A,0),0)),"")</f>
        <v>0</v>
      </c>
      <c r="N69" s="2">
        <f>IFERROR(IF(MID(N$2,6,7)="3",HLOOKUP(N$1,Bilanço!$1:$151,MATCH(Çeyreklik!$A69,Bilanço!$A:$A,0),0),HLOOKUP(N$1,Bilanço!$1:$151,MATCH(Çeyreklik!$A69,Bilanço!$A:$A,0),0)-HLOOKUP(M$1,Bilanço!$1:$151,MATCH(Çeyreklik!$A69,Bilanço!$A:$A,0),0)),"")</f>
        <v>0</v>
      </c>
      <c r="O69" s="2">
        <f>IFERROR(IF(MID(O$2,6,7)="3",HLOOKUP(O$1,Bilanço!$1:$151,MATCH(Çeyreklik!$A69,Bilanço!$A:$A,0),0),HLOOKUP(O$1,Bilanço!$1:$151,MATCH(Çeyreklik!$A69,Bilanço!$A:$A,0),0)-HLOOKUP(N$1,Bilanço!$1:$151,MATCH(Çeyreklik!$A69,Bilanço!$A:$A,0),0)),"")</f>
        <v>0</v>
      </c>
      <c r="P69" s="2">
        <f>IFERROR(IF(MID(P$2,6,7)="3",HLOOKUP(P$1,Bilanço!$1:$151,MATCH(Çeyreklik!$A69,Bilanço!$A:$A,0),0),HLOOKUP(P$1,Bilanço!$1:$151,MATCH(Çeyreklik!$A69,Bilanço!$A:$A,0),0)-HLOOKUP(O$1,Bilanço!$1:$151,MATCH(Çeyreklik!$A69,Bilanço!$A:$A,0),0)),"")</f>
        <v>0</v>
      </c>
      <c r="Q69" s="2">
        <f>IFERROR(IF(MID(Q$2,6,7)="3",HLOOKUP(Q$1,Bilanço!$1:$151,MATCH(Çeyreklik!$A69,Bilanço!$A:$A,0),0),HLOOKUP(Q$1,Bilanço!$1:$151,MATCH(Çeyreklik!$A69,Bilanço!$A:$A,0),0)-HLOOKUP(P$1,Bilanço!$1:$151,MATCH(Çeyreklik!$A69,Bilanço!$A:$A,0),0)),"")</f>
        <v>0</v>
      </c>
      <c r="R69" s="2">
        <f>IFERROR(IF(MID(R$2,6,7)="3",HLOOKUP(R$1,Bilanço!$1:$151,MATCH(Çeyreklik!$A69,Bilanço!$A:$A,0),0),HLOOKUP(R$1,Bilanço!$1:$151,MATCH(Çeyreklik!$A69,Bilanço!$A:$A,0),0)-HLOOKUP(Q$1,Bilanço!$1:$151,MATCH(Çeyreklik!$A69,Bilanço!$A:$A,0),0)),"")</f>
        <v>0</v>
      </c>
      <c r="S69" s="2">
        <f>IFERROR(IF(MID(S$2,6,7)="3",HLOOKUP(S$1,Bilanço!$1:$151,MATCH(Çeyreklik!$A69,Bilanço!$A:$A,0),0),HLOOKUP(S$1,Bilanço!$1:$151,MATCH(Çeyreklik!$A69,Bilanço!$A:$A,0),0)-HLOOKUP(R$1,Bilanço!$1:$151,MATCH(Çeyreklik!$A69,Bilanço!$A:$A,0),0)),"")</f>
        <v>0</v>
      </c>
      <c r="T69" s="2">
        <f>IFERROR(IF(MID(T$2,6,7)="3",HLOOKUP(T$1,Bilanço!$1:$151,MATCH(Çeyreklik!$A69,Bilanço!$A:$A,0),0),HLOOKUP(T$1,Bilanço!$1:$151,MATCH(Çeyreklik!$A69,Bilanço!$A:$A,0),0)-HLOOKUP(S$1,Bilanço!$1:$151,MATCH(Çeyreklik!$A69,Bilanço!$A:$A,0),0)),"")</f>
        <v>0</v>
      </c>
      <c r="U69" s="2">
        <f>IFERROR(IF(MID(U$2,6,7)="3",HLOOKUP(U$1,Bilanço!$1:$151,MATCH(Çeyreklik!$A69,Bilanço!$A:$A,0),0),HLOOKUP(U$1,Bilanço!$1:$151,MATCH(Çeyreklik!$A69,Bilanço!$A:$A,0),0)-HLOOKUP(T$1,Bilanço!$1:$151,MATCH(Çeyreklik!$A69,Bilanço!$A:$A,0),0)),"")</f>
        <v>0</v>
      </c>
      <c r="V69" s="2">
        <f>IFERROR(IF(MID(V$2,6,7)="3",HLOOKUP(V$1,Bilanço!$1:$151,MATCH(Çeyreklik!$A69,Bilanço!$A:$A,0),0),HLOOKUP(V$1,Bilanço!$1:$151,MATCH(Çeyreklik!$A69,Bilanço!$A:$A,0),0)-HLOOKUP(U$1,Bilanço!$1:$151,MATCH(Çeyreklik!$A69,Bilanço!$A:$A,0),0)),"")</f>
        <v>0</v>
      </c>
      <c r="W69" s="2">
        <f>IFERROR(IF(MID(W$2,6,7)="3",HLOOKUP(W$1,Bilanço!$1:$151,MATCH(Çeyreklik!$A69,Bilanço!$A:$A,0),0),HLOOKUP(W$1,Bilanço!$1:$151,MATCH(Çeyreklik!$A69,Bilanço!$A:$A,0),0)-HLOOKUP(V$1,Bilanço!$1:$151,MATCH(Çeyreklik!$A69,Bilanço!$A:$A,0),0)),"")</f>
        <v>0</v>
      </c>
    </row>
    <row r="70" spans="1:23" x14ac:dyDescent="0.25">
      <c r="A70" t="str">
        <f>Data!A141</f>
        <v>Diğer Finansman Faaliyetlerinden Nakit</v>
      </c>
      <c r="B70" s="2">
        <f>IFERROR(IF($B$2="2022/3",IF(MID(B$2,6,7)="3",HLOOKUP(B$1,Bilanço!$1:$151,MATCH(Çeyreklik!$A70,Bilanço!$A:$A,0),0),HLOOKUP(B$1,Bilanço!$1:$151,MATCH(Çeyreklik!$A70,Bilanço!$A:$A,0),0)-HLOOKUP(A$1,Bilanço!$1:$151,MATCH(Çeyreklik!$A70,Bilanço!$A:$A,0),0)),IF(MID(B$2,6,7)="3",HLOOKUP(B$1,Bilanço!$1:$151,MATCH(Çeyreklik!$A70,Bilanço!$A:$A,0),0),HLOOKUP(B$1,Bilanço!$1:$151,MATCH(Çeyreklik!$A70,Bilanço!$A:$A,0),0)-HLOOKUP(Bilanço!$B$1,Bilanço!$1:$151,MATCH(Çeyreklik!$A70,Bilanço!$A:$A,0),0))),"")</f>
        <v>349450000</v>
      </c>
      <c r="C70" s="2">
        <f>IFERROR(IF(MID(C$2,6,7)="3",HLOOKUP(C$1,Bilanço!$1:$151,MATCH(Çeyreklik!$A70,Bilanço!$A:$A,0),0),HLOOKUP(C$1,Bilanço!$1:$151,MATCH(Çeyreklik!$A70,Bilanço!$A:$A,0),0)-HLOOKUP(B$1,Bilanço!$1:$151,MATCH(Çeyreklik!$A70,Bilanço!$A:$A,0),0)),"")</f>
        <v>-42210000</v>
      </c>
      <c r="D70" s="2">
        <f>IFERROR(IF(MID(D$2,6,7)="3",HLOOKUP(D$1,Bilanço!$1:$151,MATCH(Çeyreklik!$A70,Bilanço!$A:$A,0),0),HLOOKUP(D$1,Bilanço!$1:$151,MATCH(Çeyreklik!$A70,Bilanço!$A:$A,0),0)-HLOOKUP(C$1,Bilanço!$1:$151,MATCH(Çeyreklik!$A70,Bilanço!$A:$A,0),0)),"")</f>
        <v>-194408000</v>
      </c>
      <c r="E70" s="2">
        <f>IFERROR(IF(MID(E$2,6,7)="3",HLOOKUP(E$1,Bilanço!$1:$151,MATCH(Çeyreklik!$A70,Bilanço!$A:$A,0),0),HLOOKUP(E$1,Bilanço!$1:$151,MATCH(Çeyreklik!$A70,Bilanço!$A:$A,0),0)-HLOOKUP(D$1,Bilanço!$1:$151,MATCH(Çeyreklik!$A70,Bilanço!$A:$A,0),0)),"")</f>
        <v>-47314000</v>
      </c>
      <c r="F70" s="2">
        <f>IFERROR(IF(MID(F$2,6,7)="3",HLOOKUP(F$1,Bilanço!$1:$151,MATCH(Çeyreklik!$A70,Bilanço!$A:$A,0),0),HLOOKUP(F$1,Bilanço!$1:$151,MATCH(Çeyreklik!$A70,Bilanço!$A:$A,0),0)-HLOOKUP(E$1,Bilanço!$1:$151,MATCH(Çeyreklik!$A70,Bilanço!$A:$A,0),0)),"")</f>
        <v>-374636000</v>
      </c>
      <c r="G70" s="2">
        <f>IFERROR(IF(MID(G$2,6,7)="3",HLOOKUP(G$1,Bilanço!$1:$151,MATCH(Çeyreklik!$A70,Bilanço!$A:$A,0),0),HLOOKUP(G$1,Bilanço!$1:$151,MATCH(Çeyreklik!$A70,Bilanço!$A:$A,0),0)-HLOOKUP(F$1,Bilanço!$1:$151,MATCH(Çeyreklik!$A70,Bilanço!$A:$A,0),0)),"")</f>
        <v>-47095000</v>
      </c>
      <c r="H70" s="2">
        <f>IFERROR(IF(MID(H$2,6,7)="3",HLOOKUP(H$1,Bilanço!$1:$151,MATCH(Çeyreklik!$A70,Bilanço!$A:$A,0),0),HLOOKUP(H$1,Bilanço!$1:$151,MATCH(Çeyreklik!$A70,Bilanço!$A:$A,0),0)-HLOOKUP(G$1,Bilanço!$1:$151,MATCH(Çeyreklik!$A70,Bilanço!$A:$A,0),0)),"")</f>
        <v>-295358000</v>
      </c>
      <c r="I70" s="2">
        <f>IFERROR(IF(MID(I$2,6,7)="3",HLOOKUP(I$1,Bilanço!$1:$151,MATCH(Çeyreklik!$A70,Bilanço!$A:$A,0),0),HLOOKUP(I$1,Bilanço!$1:$151,MATCH(Çeyreklik!$A70,Bilanço!$A:$A,0),0)-HLOOKUP(H$1,Bilanço!$1:$151,MATCH(Çeyreklik!$A70,Bilanço!$A:$A,0),0)),"")</f>
        <v>-74280000</v>
      </c>
      <c r="J70" s="2">
        <f>IFERROR(IF(MID(J$2,6,7)="3",HLOOKUP(J$1,Bilanço!$1:$151,MATCH(Çeyreklik!$A70,Bilanço!$A:$A,0),0),HLOOKUP(J$1,Bilanço!$1:$151,MATCH(Çeyreklik!$A70,Bilanço!$A:$A,0),0)-HLOOKUP(I$1,Bilanço!$1:$151,MATCH(Çeyreklik!$A70,Bilanço!$A:$A,0),0)),"")</f>
        <v>-735711000</v>
      </c>
      <c r="K70" s="2">
        <f>IFERROR(IF(MID(K$2,6,7)="3",HLOOKUP(K$1,Bilanço!$1:$151,MATCH(Çeyreklik!$A70,Bilanço!$A:$A,0),0),HLOOKUP(K$1,Bilanço!$1:$151,MATCH(Çeyreklik!$A70,Bilanço!$A:$A,0),0)-HLOOKUP(J$1,Bilanço!$1:$151,MATCH(Çeyreklik!$A70,Bilanço!$A:$A,0),0)),"")</f>
        <v>-47867000</v>
      </c>
      <c r="L70" s="2">
        <f>IFERROR(IF(MID(L$2,6,7)="3",HLOOKUP(L$1,Bilanço!$1:$151,MATCH(Çeyreklik!$A70,Bilanço!$A:$A,0),0),HLOOKUP(L$1,Bilanço!$1:$151,MATCH(Çeyreklik!$A70,Bilanço!$A:$A,0),0)-HLOOKUP(K$1,Bilanço!$1:$151,MATCH(Çeyreklik!$A70,Bilanço!$A:$A,0),0)),"")</f>
        <v>-3175385000</v>
      </c>
      <c r="M70" s="2">
        <f>IFERROR(IF(MID(M$2,6,7)="3",HLOOKUP(M$1,Bilanço!$1:$151,MATCH(Çeyreklik!$A70,Bilanço!$A:$A,0),0),HLOOKUP(M$1,Bilanço!$1:$151,MATCH(Çeyreklik!$A70,Bilanço!$A:$A,0),0)-HLOOKUP(L$1,Bilanço!$1:$151,MATCH(Çeyreklik!$A70,Bilanço!$A:$A,0),0)),"")</f>
        <v>-149312000</v>
      </c>
      <c r="N70" s="2">
        <f>IFERROR(IF(MID(N$2,6,7)="3",HLOOKUP(N$1,Bilanço!$1:$151,MATCH(Çeyreklik!$A70,Bilanço!$A:$A,0),0),HLOOKUP(N$1,Bilanço!$1:$151,MATCH(Çeyreklik!$A70,Bilanço!$A:$A,0),0)-HLOOKUP(M$1,Bilanço!$1:$151,MATCH(Çeyreklik!$A70,Bilanço!$A:$A,0),0)),"")</f>
        <v>-1022796000</v>
      </c>
      <c r="O70" s="2">
        <f>IFERROR(IF(MID(O$2,6,7)="3",HLOOKUP(O$1,Bilanço!$1:$151,MATCH(Çeyreklik!$A70,Bilanço!$A:$A,0),0),HLOOKUP(O$1,Bilanço!$1:$151,MATCH(Çeyreklik!$A70,Bilanço!$A:$A,0),0)-HLOOKUP(N$1,Bilanço!$1:$151,MATCH(Çeyreklik!$A70,Bilanço!$A:$A,0),0)),"")</f>
        <v>-157959000</v>
      </c>
      <c r="P70" s="2">
        <f>IFERROR(IF(MID(P$2,6,7)="3",HLOOKUP(P$1,Bilanço!$1:$151,MATCH(Çeyreklik!$A70,Bilanço!$A:$A,0),0),HLOOKUP(P$1,Bilanço!$1:$151,MATCH(Çeyreklik!$A70,Bilanço!$A:$A,0),0)-HLOOKUP(O$1,Bilanço!$1:$151,MATCH(Çeyreklik!$A70,Bilanço!$A:$A,0),0)),"")</f>
        <v>-3381003000</v>
      </c>
      <c r="Q70" s="2">
        <f>IFERROR(IF(MID(Q$2,6,7)="3",HLOOKUP(Q$1,Bilanço!$1:$151,MATCH(Çeyreklik!$A70,Bilanço!$A:$A,0),0),HLOOKUP(Q$1,Bilanço!$1:$151,MATCH(Çeyreklik!$A70,Bilanço!$A:$A,0),0)-HLOOKUP(P$1,Bilanço!$1:$151,MATCH(Çeyreklik!$A70,Bilanço!$A:$A,0),0)),"")</f>
        <v>-204277000</v>
      </c>
      <c r="R70" s="2">
        <f>IFERROR(IF(MID(R$2,6,7)="3",HLOOKUP(R$1,Bilanço!$1:$151,MATCH(Çeyreklik!$A70,Bilanço!$A:$A,0),0),HLOOKUP(R$1,Bilanço!$1:$151,MATCH(Çeyreklik!$A70,Bilanço!$A:$A,0),0)-HLOOKUP(Q$1,Bilanço!$1:$151,MATCH(Çeyreklik!$A70,Bilanço!$A:$A,0),0)),"")</f>
        <v>-2489314000</v>
      </c>
      <c r="S70" s="2">
        <f>IFERROR(IF(MID(S$2,6,7)="3",HLOOKUP(S$1,Bilanço!$1:$151,MATCH(Çeyreklik!$A70,Bilanço!$A:$A,0),0),HLOOKUP(S$1,Bilanço!$1:$151,MATCH(Çeyreklik!$A70,Bilanço!$A:$A,0),0)-HLOOKUP(R$1,Bilanço!$1:$151,MATCH(Çeyreklik!$A70,Bilanço!$A:$A,0),0)),"")</f>
        <v>-953824000</v>
      </c>
      <c r="T70" s="2">
        <f>IFERROR(IF(MID(T$2,6,7)="3",HLOOKUP(T$1,Bilanço!$1:$151,MATCH(Çeyreklik!$A70,Bilanço!$A:$A,0),0),HLOOKUP(T$1,Bilanço!$1:$151,MATCH(Çeyreklik!$A70,Bilanço!$A:$A,0),0)-HLOOKUP(S$1,Bilanço!$1:$151,MATCH(Çeyreklik!$A70,Bilanço!$A:$A,0),0)),"")</f>
        <v>-2325994773</v>
      </c>
      <c r="U70" s="2">
        <f>IFERROR(IF(MID(U$2,6,7)="3",HLOOKUP(U$1,Bilanço!$1:$151,MATCH(Çeyreklik!$A70,Bilanço!$A:$A,0),0),HLOOKUP(U$1,Bilanço!$1:$151,MATCH(Çeyreklik!$A70,Bilanço!$A:$A,0),0)-HLOOKUP(T$1,Bilanço!$1:$151,MATCH(Çeyreklik!$A70,Bilanço!$A:$A,0),0)),"")</f>
        <v>-2262233000</v>
      </c>
      <c r="V70" s="2">
        <f>IFERROR(IF(MID(V$2,6,7)="3",HLOOKUP(V$1,Bilanço!$1:$151,MATCH(Çeyreklik!$A70,Bilanço!$A:$A,0),0),HLOOKUP(V$1,Bilanço!$1:$151,MATCH(Çeyreklik!$A70,Bilanço!$A:$A,0),0)-HLOOKUP(U$1,Bilanço!$1:$151,MATCH(Çeyreklik!$A70,Bilanço!$A:$A,0),0)),"")</f>
        <v>-2148565000</v>
      </c>
      <c r="W70" s="2">
        <f>IFERROR(IF(MID(W$2,6,7)="3",HLOOKUP(W$1,Bilanço!$1:$151,MATCH(Çeyreklik!$A70,Bilanço!$A:$A,0),0),HLOOKUP(W$1,Bilanço!$1:$151,MATCH(Çeyreklik!$A70,Bilanço!$A:$A,0),0)-HLOOKUP(V$1,Bilanço!$1:$151,MATCH(Çeyreklik!$A70,Bilanço!$A:$A,0),0)),"")</f>
        <v>-2134806000</v>
      </c>
    </row>
    <row r="71" spans="1:23" x14ac:dyDescent="0.25">
      <c r="A71" t="str">
        <f>Data!A142</f>
        <v>Finansman Faaliyetlerden Kaynaklanan Nakit</v>
      </c>
      <c r="B71" s="2">
        <f>IFERROR(IF($B$2="2022/3",IF(MID(B$2,6,7)="3",HLOOKUP(B$1,Bilanço!$1:$151,MATCH(Çeyreklik!$A71,Bilanço!$A:$A,0),0),HLOOKUP(B$1,Bilanço!$1:$151,MATCH(Çeyreklik!$A71,Bilanço!$A:$A,0),0)-HLOOKUP(A$1,Bilanço!$1:$151,MATCH(Çeyreklik!$A71,Bilanço!$A:$A,0),0)),IF(MID(B$2,6,7)="3",HLOOKUP(B$1,Bilanço!$1:$151,MATCH(Çeyreklik!$A71,Bilanço!$A:$A,0),0),HLOOKUP(B$1,Bilanço!$1:$151,MATCH(Çeyreklik!$A71,Bilanço!$A:$A,0),0)-HLOOKUP(Bilanço!$B$1,Bilanço!$1:$151,MATCH(Çeyreklik!$A71,Bilanço!$A:$A,0),0))),"")</f>
        <v>795809000</v>
      </c>
      <c r="C71" s="2">
        <f>IFERROR(IF(MID(C$2,6,7)="3",HLOOKUP(C$1,Bilanço!$1:$151,MATCH(Çeyreklik!$A71,Bilanço!$A:$A,0),0),HLOOKUP(C$1,Bilanço!$1:$151,MATCH(Çeyreklik!$A71,Bilanço!$A:$A,0),0)-HLOOKUP(B$1,Bilanço!$1:$151,MATCH(Çeyreklik!$A71,Bilanço!$A:$A,0),0)),"")</f>
        <v>-239987000</v>
      </c>
      <c r="D71" s="2">
        <f>IFERROR(IF(MID(D$2,6,7)="3",HLOOKUP(D$1,Bilanço!$1:$151,MATCH(Çeyreklik!$A71,Bilanço!$A:$A,0),0),HLOOKUP(D$1,Bilanço!$1:$151,MATCH(Çeyreklik!$A71,Bilanço!$A:$A,0),0)-HLOOKUP(C$1,Bilanço!$1:$151,MATCH(Çeyreklik!$A71,Bilanço!$A:$A,0),0)),"")</f>
        <v>1468638000</v>
      </c>
      <c r="E71" s="2">
        <f>IFERROR(IF(MID(E$2,6,7)="3",HLOOKUP(E$1,Bilanço!$1:$151,MATCH(Çeyreklik!$A71,Bilanço!$A:$A,0),0),HLOOKUP(E$1,Bilanço!$1:$151,MATCH(Çeyreklik!$A71,Bilanço!$A:$A,0),0)-HLOOKUP(D$1,Bilanço!$1:$151,MATCH(Çeyreklik!$A71,Bilanço!$A:$A,0),0)),"")</f>
        <v>511414000</v>
      </c>
      <c r="F71" s="2">
        <f>IFERROR(IF(MID(F$2,6,7)="3",HLOOKUP(F$1,Bilanço!$1:$151,MATCH(Çeyreklik!$A71,Bilanço!$A:$A,0),0),HLOOKUP(F$1,Bilanço!$1:$151,MATCH(Çeyreklik!$A71,Bilanço!$A:$A,0),0)-HLOOKUP(E$1,Bilanço!$1:$151,MATCH(Çeyreklik!$A71,Bilanço!$A:$A,0),0)),"")</f>
        <v>-746473000</v>
      </c>
      <c r="G71" s="2">
        <f>IFERROR(IF(MID(G$2,6,7)="3",HLOOKUP(G$1,Bilanço!$1:$151,MATCH(Çeyreklik!$A71,Bilanço!$A:$A,0),0),HLOOKUP(G$1,Bilanço!$1:$151,MATCH(Çeyreklik!$A71,Bilanço!$A:$A,0),0)-HLOOKUP(F$1,Bilanço!$1:$151,MATCH(Çeyreklik!$A71,Bilanço!$A:$A,0),0)),"")</f>
        <v>-336883000</v>
      </c>
      <c r="H71" s="2">
        <f>IFERROR(IF(MID(H$2,6,7)="3",HLOOKUP(H$1,Bilanço!$1:$151,MATCH(Çeyreklik!$A71,Bilanço!$A:$A,0),0),HLOOKUP(H$1,Bilanço!$1:$151,MATCH(Çeyreklik!$A71,Bilanço!$A:$A,0),0)-HLOOKUP(G$1,Bilanço!$1:$151,MATCH(Çeyreklik!$A71,Bilanço!$A:$A,0),0)),"")</f>
        <v>-683433000</v>
      </c>
      <c r="I71" s="2">
        <f>IFERROR(IF(MID(I$2,6,7)="3",HLOOKUP(I$1,Bilanço!$1:$151,MATCH(Çeyreklik!$A71,Bilanço!$A:$A,0),0),HLOOKUP(I$1,Bilanço!$1:$151,MATCH(Çeyreklik!$A71,Bilanço!$A:$A,0),0)-HLOOKUP(H$1,Bilanço!$1:$151,MATCH(Çeyreklik!$A71,Bilanço!$A:$A,0),0)),"")</f>
        <v>-303396000</v>
      </c>
      <c r="J71" s="2">
        <f>IFERROR(IF(MID(J$2,6,7)="3",HLOOKUP(J$1,Bilanço!$1:$151,MATCH(Çeyreklik!$A71,Bilanço!$A:$A,0),0),HLOOKUP(J$1,Bilanço!$1:$151,MATCH(Çeyreklik!$A71,Bilanço!$A:$A,0),0)-HLOOKUP(I$1,Bilanço!$1:$151,MATCH(Çeyreklik!$A71,Bilanço!$A:$A,0),0)),"")</f>
        <v>-337046000</v>
      </c>
      <c r="K71" s="2">
        <f>IFERROR(IF(MID(K$2,6,7)="3",HLOOKUP(K$1,Bilanço!$1:$151,MATCH(Çeyreklik!$A71,Bilanço!$A:$A,0),0),HLOOKUP(K$1,Bilanço!$1:$151,MATCH(Çeyreklik!$A71,Bilanço!$A:$A,0),0)-HLOOKUP(J$1,Bilanço!$1:$151,MATCH(Çeyreklik!$A71,Bilanço!$A:$A,0),0)),"")</f>
        <v>-405967000</v>
      </c>
      <c r="L71" s="2">
        <f>IFERROR(IF(MID(L$2,6,7)="3",HLOOKUP(L$1,Bilanço!$1:$151,MATCH(Çeyreklik!$A71,Bilanço!$A:$A,0),0),HLOOKUP(L$1,Bilanço!$1:$151,MATCH(Çeyreklik!$A71,Bilanço!$A:$A,0),0)-HLOOKUP(K$1,Bilanço!$1:$151,MATCH(Çeyreklik!$A71,Bilanço!$A:$A,0),0)),"")</f>
        <v>-5185878000</v>
      </c>
      <c r="M71" s="2">
        <f>IFERROR(IF(MID(M$2,6,7)="3",HLOOKUP(M$1,Bilanço!$1:$151,MATCH(Çeyreklik!$A71,Bilanço!$A:$A,0),0),HLOOKUP(M$1,Bilanço!$1:$151,MATCH(Çeyreklik!$A71,Bilanço!$A:$A,0),0)-HLOOKUP(L$1,Bilanço!$1:$151,MATCH(Çeyreklik!$A71,Bilanço!$A:$A,0),0)),"")</f>
        <v>127307000</v>
      </c>
      <c r="N71" s="2">
        <f>IFERROR(IF(MID(N$2,6,7)="3",HLOOKUP(N$1,Bilanço!$1:$151,MATCH(Çeyreklik!$A71,Bilanço!$A:$A,0),0),HLOOKUP(N$1,Bilanço!$1:$151,MATCH(Çeyreklik!$A71,Bilanço!$A:$A,0),0)-HLOOKUP(M$1,Bilanço!$1:$151,MATCH(Çeyreklik!$A71,Bilanço!$A:$A,0),0)),"")</f>
        <v>-8517187000</v>
      </c>
      <c r="O71" s="2">
        <f>IFERROR(IF(MID(O$2,6,7)="3",HLOOKUP(O$1,Bilanço!$1:$151,MATCH(Çeyreklik!$A71,Bilanço!$A:$A,0),0),HLOOKUP(O$1,Bilanço!$1:$151,MATCH(Çeyreklik!$A71,Bilanço!$A:$A,0),0)-HLOOKUP(N$1,Bilanço!$1:$151,MATCH(Çeyreklik!$A71,Bilanço!$A:$A,0),0)),"")</f>
        <v>-2992172000</v>
      </c>
      <c r="P71" s="2">
        <f>IFERROR(IF(MID(P$2,6,7)="3",HLOOKUP(P$1,Bilanço!$1:$151,MATCH(Çeyreklik!$A71,Bilanço!$A:$A,0),0),HLOOKUP(P$1,Bilanço!$1:$151,MATCH(Çeyreklik!$A71,Bilanço!$A:$A,0),0)-HLOOKUP(O$1,Bilanço!$1:$151,MATCH(Çeyreklik!$A71,Bilanço!$A:$A,0),0)),"")</f>
        <v>-3578010000</v>
      </c>
      <c r="Q71" s="2">
        <f>IFERROR(IF(MID(Q$2,6,7)="3",HLOOKUP(Q$1,Bilanço!$1:$151,MATCH(Çeyreklik!$A71,Bilanço!$A:$A,0),0),HLOOKUP(Q$1,Bilanço!$1:$151,MATCH(Çeyreklik!$A71,Bilanço!$A:$A,0),0)-HLOOKUP(P$1,Bilanço!$1:$151,MATCH(Çeyreklik!$A71,Bilanço!$A:$A,0),0)),"")</f>
        <v>368549000</v>
      </c>
      <c r="R71" s="2">
        <f>IFERROR(IF(MID(R$2,6,7)="3",HLOOKUP(R$1,Bilanço!$1:$151,MATCH(Çeyreklik!$A71,Bilanço!$A:$A,0),0),HLOOKUP(R$1,Bilanço!$1:$151,MATCH(Çeyreklik!$A71,Bilanço!$A:$A,0),0)-HLOOKUP(Q$1,Bilanço!$1:$151,MATCH(Çeyreklik!$A71,Bilanço!$A:$A,0),0)),"")</f>
        <v>1963388000</v>
      </c>
      <c r="S71" s="2">
        <f>IFERROR(IF(MID(S$2,6,7)="3",HLOOKUP(S$1,Bilanço!$1:$151,MATCH(Çeyreklik!$A71,Bilanço!$A:$A,0),0),HLOOKUP(S$1,Bilanço!$1:$151,MATCH(Çeyreklik!$A71,Bilanço!$A:$A,0),0)-HLOOKUP(R$1,Bilanço!$1:$151,MATCH(Çeyreklik!$A71,Bilanço!$A:$A,0),0)),"")</f>
        <v>8368236000</v>
      </c>
      <c r="T71" s="2">
        <f>IFERROR(IF(MID(T$2,6,7)="3",HLOOKUP(T$1,Bilanço!$1:$151,MATCH(Çeyreklik!$A71,Bilanço!$A:$A,0),0),HLOOKUP(T$1,Bilanço!$1:$151,MATCH(Çeyreklik!$A71,Bilanço!$A:$A,0),0)-HLOOKUP(S$1,Bilanço!$1:$151,MATCH(Çeyreklik!$A71,Bilanço!$A:$A,0),0)),"")</f>
        <v>-3328355024</v>
      </c>
      <c r="U71" s="2">
        <f>IFERROR(IF(MID(U$2,6,7)="3",HLOOKUP(U$1,Bilanço!$1:$151,MATCH(Çeyreklik!$A71,Bilanço!$A:$A,0),0),HLOOKUP(U$1,Bilanço!$1:$151,MATCH(Çeyreklik!$A71,Bilanço!$A:$A,0),0)-HLOOKUP(T$1,Bilanço!$1:$151,MATCH(Çeyreklik!$A71,Bilanço!$A:$A,0),0)),"")</f>
        <v>923258000</v>
      </c>
      <c r="V71" s="2">
        <f>IFERROR(IF(MID(V$2,6,7)="3",HLOOKUP(V$1,Bilanço!$1:$151,MATCH(Çeyreklik!$A71,Bilanço!$A:$A,0),0),HLOOKUP(V$1,Bilanço!$1:$151,MATCH(Çeyreklik!$A71,Bilanço!$A:$A,0),0)-HLOOKUP(U$1,Bilanço!$1:$151,MATCH(Çeyreklik!$A71,Bilanço!$A:$A,0),0)),"")</f>
        <v>-730209000</v>
      </c>
      <c r="W71" s="2">
        <f>IFERROR(IF(MID(W$2,6,7)="3",HLOOKUP(W$1,Bilanço!$1:$151,MATCH(Çeyreklik!$A71,Bilanço!$A:$A,0),0),HLOOKUP(W$1,Bilanço!$1:$151,MATCH(Çeyreklik!$A71,Bilanço!$A:$A,0),0)-HLOOKUP(V$1,Bilanço!$1:$151,MATCH(Çeyreklik!$A71,Bilanço!$A:$A,0),0)),"")</f>
        <v>-2376254000</v>
      </c>
    </row>
    <row r="72" spans="1:23" x14ac:dyDescent="0.25">
      <c r="A72" t="str">
        <f>Data!A143</f>
        <v>Yab. Para Çev. Fark. Etk. Önc.Nak.Ve Nak. Benz. Net Artış/Azalış</v>
      </c>
      <c r="B72" s="2">
        <f>IFERROR(IF($B$2="2022/3",IF(MID(B$2,6,7)="3",HLOOKUP(B$1,Bilanço!$1:$151,MATCH(Çeyreklik!$A72,Bilanço!$A:$A,0),0),HLOOKUP(B$1,Bilanço!$1:$151,MATCH(Çeyreklik!$A72,Bilanço!$A:$A,0),0)-HLOOKUP(A$1,Bilanço!$1:$151,MATCH(Çeyreklik!$A72,Bilanço!$A:$A,0),0)),IF(MID(B$2,6,7)="3",HLOOKUP(B$1,Bilanço!$1:$151,MATCH(Çeyreklik!$A72,Bilanço!$A:$A,0),0),HLOOKUP(B$1,Bilanço!$1:$151,MATCH(Çeyreklik!$A72,Bilanço!$A:$A,0),0)-HLOOKUP(Bilanço!$B$1,Bilanço!$1:$151,MATCH(Çeyreklik!$A72,Bilanço!$A:$A,0),0))),"")</f>
        <v>1736645000</v>
      </c>
      <c r="C72" s="2">
        <f>IFERROR(IF(MID(C$2,6,7)="3",HLOOKUP(C$1,Bilanço!$1:$151,MATCH(Çeyreklik!$A72,Bilanço!$A:$A,0),0),HLOOKUP(C$1,Bilanço!$1:$151,MATCH(Çeyreklik!$A72,Bilanço!$A:$A,0),0)-HLOOKUP(B$1,Bilanço!$1:$151,MATCH(Çeyreklik!$A72,Bilanço!$A:$A,0),0)),"")</f>
        <v>564551000</v>
      </c>
      <c r="D72" s="2">
        <f>IFERROR(IF(MID(D$2,6,7)="3",HLOOKUP(D$1,Bilanço!$1:$151,MATCH(Çeyreklik!$A72,Bilanço!$A:$A,0),0),HLOOKUP(D$1,Bilanço!$1:$151,MATCH(Çeyreklik!$A72,Bilanço!$A:$A,0),0)-HLOOKUP(C$1,Bilanço!$1:$151,MATCH(Çeyreklik!$A72,Bilanço!$A:$A,0),0)),"")</f>
        <v>297495000</v>
      </c>
      <c r="E72" s="2">
        <f>IFERROR(IF(MID(E$2,6,7)="3",HLOOKUP(E$1,Bilanço!$1:$151,MATCH(Çeyreklik!$A72,Bilanço!$A:$A,0),0),HLOOKUP(E$1,Bilanço!$1:$151,MATCH(Çeyreklik!$A72,Bilanço!$A:$A,0),0)-HLOOKUP(D$1,Bilanço!$1:$151,MATCH(Çeyreklik!$A72,Bilanço!$A:$A,0),0)),"")</f>
        <v>-786442000</v>
      </c>
      <c r="F72" s="2">
        <f>IFERROR(IF(MID(F$2,6,7)="3",HLOOKUP(F$1,Bilanço!$1:$151,MATCH(Çeyreklik!$A72,Bilanço!$A:$A,0),0),HLOOKUP(F$1,Bilanço!$1:$151,MATCH(Çeyreklik!$A72,Bilanço!$A:$A,0),0)-HLOOKUP(E$1,Bilanço!$1:$151,MATCH(Çeyreklik!$A72,Bilanço!$A:$A,0),0)),"")</f>
        <v>-501012000</v>
      </c>
      <c r="G72" s="2">
        <f>IFERROR(IF(MID(G$2,6,7)="3",HLOOKUP(G$1,Bilanço!$1:$151,MATCH(Çeyreklik!$A72,Bilanço!$A:$A,0),0),HLOOKUP(G$1,Bilanço!$1:$151,MATCH(Çeyreklik!$A72,Bilanço!$A:$A,0),0)-HLOOKUP(F$1,Bilanço!$1:$151,MATCH(Çeyreklik!$A72,Bilanço!$A:$A,0),0)),"")</f>
        <v>-199305000</v>
      </c>
      <c r="H72" s="2">
        <f>IFERROR(IF(MID(H$2,6,7)="3",HLOOKUP(H$1,Bilanço!$1:$151,MATCH(Çeyreklik!$A72,Bilanço!$A:$A,0),0),HLOOKUP(H$1,Bilanço!$1:$151,MATCH(Çeyreklik!$A72,Bilanço!$A:$A,0),0)-HLOOKUP(G$1,Bilanço!$1:$151,MATCH(Çeyreklik!$A72,Bilanço!$A:$A,0),0)),"")</f>
        <v>-1285101000</v>
      </c>
      <c r="I72" s="2">
        <f>IFERROR(IF(MID(I$2,6,7)="3",HLOOKUP(I$1,Bilanço!$1:$151,MATCH(Çeyreklik!$A72,Bilanço!$A:$A,0),0),HLOOKUP(I$1,Bilanço!$1:$151,MATCH(Çeyreklik!$A72,Bilanço!$A:$A,0),0)-HLOOKUP(H$1,Bilanço!$1:$151,MATCH(Çeyreklik!$A72,Bilanço!$A:$A,0),0)),"")</f>
        <v>-260228000</v>
      </c>
      <c r="J72" s="2">
        <f>IFERROR(IF(MID(J$2,6,7)="3",HLOOKUP(J$1,Bilanço!$1:$151,MATCH(Çeyreklik!$A72,Bilanço!$A:$A,0),0),HLOOKUP(J$1,Bilanço!$1:$151,MATCH(Çeyreklik!$A72,Bilanço!$A:$A,0),0)-HLOOKUP(I$1,Bilanço!$1:$151,MATCH(Çeyreklik!$A72,Bilanço!$A:$A,0),0)),"")</f>
        <v>-47750000</v>
      </c>
      <c r="K72" s="2">
        <f>IFERROR(IF(MID(K$2,6,7)="3",HLOOKUP(K$1,Bilanço!$1:$151,MATCH(Çeyreklik!$A72,Bilanço!$A:$A,0),0),HLOOKUP(K$1,Bilanço!$1:$151,MATCH(Çeyreklik!$A72,Bilanço!$A:$A,0),0)-HLOOKUP(J$1,Bilanço!$1:$151,MATCH(Çeyreklik!$A72,Bilanço!$A:$A,0),0)),"")</f>
        <v>141070000</v>
      </c>
      <c r="L72" s="2">
        <f>IFERROR(IF(MID(L$2,6,7)="3",HLOOKUP(L$1,Bilanço!$1:$151,MATCH(Çeyreklik!$A72,Bilanço!$A:$A,0),0),HLOOKUP(L$1,Bilanço!$1:$151,MATCH(Çeyreklik!$A72,Bilanço!$A:$A,0),0)-HLOOKUP(K$1,Bilanço!$1:$151,MATCH(Çeyreklik!$A72,Bilanço!$A:$A,0),0)),"")</f>
        <v>8293096000</v>
      </c>
      <c r="M72" s="2">
        <f>IFERROR(IF(MID(M$2,6,7)="3",HLOOKUP(M$1,Bilanço!$1:$151,MATCH(Çeyreklik!$A72,Bilanço!$A:$A,0),0),HLOOKUP(M$1,Bilanço!$1:$151,MATCH(Çeyreklik!$A72,Bilanço!$A:$A,0),0)-HLOOKUP(L$1,Bilanço!$1:$151,MATCH(Çeyreklik!$A72,Bilanço!$A:$A,0),0)),"")</f>
        <v>748084000</v>
      </c>
      <c r="N72" s="2">
        <f>IFERROR(IF(MID(N$2,6,7)="3",HLOOKUP(N$1,Bilanço!$1:$151,MATCH(Çeyreklik!$A72,Bilanço!$A:$A,0),0),HLOOKUP(N$1,Bilanço!$1:$151,MATCH(Çeyreklik!$A72,Bilanço!$A:$A,0),0)-HLOOKUP(M$1,Bilanço!$1:$151,MATCH(Çeyreklik!$A72,Bilanço!$A:$A,0),0)),"")</f>
        <v>-9740473000</v>
      </c>
      <c r="O72" s="2">
        <f>IFERROR(IF(MID(O$2,6,7)="3",HLOOKUP(O$1,Bilanço!$1:$151,MATCH(Çeyreklik!$A72,Bilanço!$A:$A,0),0),HLOOKUP(O$1,Bilanço!$1:$151,MATCH(Çeyreklik!$A72,Bilanço!$A:$A,0),0)-HLOOKUP(N$1,Bilanço!$1:$151,MATCH(Çeyreklik!$A72,Bilanço!$A:$A,0),0)),"")</f>
        <v>-3544382000</v>
      </c>
      <c r="P72" s="2">
        <f>IFERROR(IF(MID(P$2,6,7)="3",HLOOKUP(P$1,Bilanço!$1:$151,MATCH(Çeyreklik!$A72,Bilanço!$A:$A,0),0),HLOOKUP(P$1,Bilanço!$1:$151,MATCH(Çeyreklik!$A72,Bilanço!$A:$A,0),0)-HLOOKUP(O$1,Bilanço!$1:$151,MATCH(Çeyreklik!$A72,Bilanço!$A:$A,0),0)),"")</f>
        <v>-1084106000</v>
      </c>
      <c r="Q72" s="2">
        <f>IFERROR(IF(MID(Q$2,6,7)="3",HLOOKUP(Q$1,Bilanço!$1:$151,MATCH(Çeyreklik!$A72,Bilanço!$A:$A,0),0),HLOOKUP(Q$1,Bilanço!$1:$151,MATCH(Çeyreklik!$A72,Bilanço!$A:$A,0),0)-HLOOKUP(P$1,Bilanço!$1:$151,MATCH(Çeyreklik!$A72,Bilanço!$A:$A,0),0)),"")</f>
        <v>-3567840000</v>
      </c>
      <c r="R72" s="2">
        <f>IFERROR(IF(MID(R$2,6,7)="3",HLOOKUP(R$1,Bilanço!$1:$151,MATCH(Çeyreklik!$A72,Bilanço!$A:$A,0),0),HLOOKUP(R$1,Bilanço!$1:$151,MATCH(Çeyreklik!$A72,Bilanço!$A:$A,0),0)-HLOOKUP(Q$1,Bilanço!$1:$151,MATCH(Çeyreklik!$A72,Bilanço!$A:$A,0),0)),"")</f>
        <v>5097924000</v>
      </c>
      <c r="S72" s="2">
        <f>IFERROR(IF(MID(S$2,6,7)="3",HLOOKUP(S$1,Bilanço!$1:$151,MATCH(Çeyreklik!$A72,Bilanço!$A:$A,0),0),HLOOKUP(S$1,Bilanço!$1:$151,MATCH(Çeyreklik!$A72,Bilanço!$A:$A,0),0)-HLOOKUP(R$1,Bilanço!$1:$151,MATCH(Çeyreklik!$A72,Bilanço!$A:$A,0),0)),"")</f>
        <v>5559259000</v>
      </c>
      <c r="T72" s="2">
        <f>IFERROR(IF(MID(T$2,6,7)="3",HLOOKUP(T$1,Bilanço!$1:$151,MATCH(Çeyreklik!$A72,Bilanço!$A:$A,0),0),HLOOKUP(T$1,Bilanço!$1:$151,MATCH(Çeyreklik!$A72,Bilanço!$A:$A,0),0)-HLOOKUP(S$1,Bilanço!$1:$151,MATCH(Çeyreklik!$A72,Bilanço!$A:$A,0),0)),"")</f>
        <v>1484023950</v>
      </c>
      <c r="U72" s="2">
        <f>IFERROR(IF(MID(U$2,6,7)="3",HLOOKUP(U$1,Bilanço!$1:$151,MATCH(Çeyreklik!$A72,Bilanço!$A:$A,0),0),HLOOKUP(U$1,Bilanço!$1:$151,MATCH(Çeyreklik!$A72,Bilanço!$A:$A,0),0)-HLOOKUP(T$1,Bilanço!$1:$151,MATCH(Çeyreklik!$A72,Bilanço!$A:$A,0),0)),"")</f>
        <v>-6915048000</v>
      </c>
      <c r="V72" s="2">
        <f>IFERROR(IF(MID(V$2,6,7)="3",HLOOKUP(V$1,Bilanço!$1:$151,MATCH(Çeyreklik!$A72,Bilanço!$A:$A,0),0),HLOOKUP(V$1,Bilanço!$1:$151,MATCH(Çeyreklik!$A72,Bilanço!$A:$A,0),0)-HLOOKUP(U$1,Bilanço!$1:$151,MATCH(Çeyreklik!$A72,Bilanço!$A:$A,0),0)),"")</f>
        <v>-55141000</v>
      </c>
      <c r="W72" s="2">
        <f>IFERROR(IF(MID(W$2,6,7)="3",HLOOKUP(W$1,Bilanço!$1:$151,MATCH(Çeyreklik!$A72,Bilanço!$A:$A,0),0),HLOOKUP(W$1,Bilanço!$1:$151,MATCH(Çeyreklik!$A72,Bilanço!$A:$A,0),0)-HLOOKUP(V$1,Bilanço!$1:$151,MATCH(Çeyreklik!$A72,Bilanço!$A:$A,0),0)),"")</f>
        <v>-1529422000</v>
      </c>
    </row>
    <row r="73" spans="1:23" x14ac:dyDescent="0.25">
      <c r="A73" t="str">
        <f>Data!A144</f>
        <v xml:space="preserve"> Yab.ı Para Çevrim Fark. Nakit Ve Nakit Benz. Üzerindeki Etkisi</v>
      </c>
      <c r="B73" s="2">
        <f>IFERROR(IF($B$2="2022/3",IF(MID(B$2,6,7)="3",HLOOKUP(B$1,Bilanço!$1:$151,MATCH(Çeyreklik!$A73,Bilanço!$A:$A,0),0),HLOOKUP(B$1,Bilanço!$1:$151,MATCH(Çeyreklik!$A73,Bilanço!$A:$A,0),0)-HLOOKUP(A$1,Bilanço!$1:$151,MATCH(Çeyreklik!$A73,Bilanço!$A:$A,0),0)),IF(MID(B$2,6,7)="3",HLOOKUP(B$1,Bilanço!$1:$151,MATCH(Çeyreklik!$A73,Bilanço!$A:$A,0),0),HLOOKUP(B$1,Bilanço!$1:$151,MATCH(Çeyreklik!$A73,Bilanço!$A:$A,0),0)-HLOOKUP(Bilanço!$B$1,Bilanço!$1:$151,MATCH(Çeyreklik!$A73,Bilanço!$A:$A,0),0))),"")</f>
        <v>0</v>
      </c>
      <c r="C73" s="2">
        <f>IFERROR(IF(MID(C$2,6,7)="3",HLOOKUP(C$1,Bilanço!$1:$151,MATCH(Çeyreklik!$A73,Bilanço!$A:$A,0),0),HLOOKUP(C$1,Bilanço!$1:$151,MATCH(Çeyreklik!$A73,Bilanço!$A:$A,0),0)-HLOOKUP(B$1,Bilanço!$1:$151,MATCH(Çeyreklik!$A73,Bilanço!$A:$A,0),0)),"")</f>
        <v>0</v>
      </c>
      <c r="D73" s="2">
        <f>IFERROR(IF(MID(D$2,6,7)="3",HLOOKUP(D$1,Bilanço!$1:$151,MATCH(Çeyreklik!$A73,Bilanço!$A:$A,0),0),HLOOKUP(D$1,Bilanço!$1:$151,MATCH(Çeyreklik!$A73,Bilanço!$A:$A,0),0)-HLOOKUP(C$1,Bilanço!$1:$151,MATCH(Çeyreklik!$A73,Bilanço!$A:$A,0),0)),"")</f>
        <v>0</v>
      </c>
      <c r="E73" s="2">
        <f>IFERROR(IF(MID(E$2,6,7)="3",HLOOKUP(E$1,Bilanço!$1:$151,MATCH(Çeyreklik!$A73,Bilanço!$A:$A,0),0),HLOOKUP(E$1,Bilanço!$1:$151,MATCH(Çeyreklik!$A73,Bilanço!$A:$A,0),0)-HLOOKUP(D$1,Bilanço!$1:$151,MATCH(Çeyreklik!$A73,Bilanço!$A:$A,0),0)),"")</f>
        <v>345477000</v>
      </c>
      <c r="F73" s="2">
        <f>IFERROR(IF(MID(F$2,6,7)="3",HLOOKUP(F$1,Bilanço!$1:$151,MATCH(Çeyreklik!$A73,Bilanço!$A:$A,0),0),HLOOKUP(F$1,Bilanço!$1:$151,MATCH(Çeyreklik!$A73,Bilanço!$A:$A,0),0)-HLOOKUP(E$1,Bilanço!$1:$151,MATCH(Çeyreklik!$A73,Bilanço!$A:$A,0),0)),"")</f>
        <v>156394000</v>
      </c>
      <c r="G73" s="2">
        <f>IFERROR(IF(MID(G$2,6,7)="3",HLOOKUP(G$1,Bilanço!$1:$151,MATCH(Çeyreklik!$A73,Bilanço!$A:$A,0),0),HLOOKUP(G$1,Bilanço!$1:$151,MATCH(Çeyreklik!$A73,Bilanço!$A:$A,0),0)-HLOOKUP(F$1,Bilanço!$1:$151,MATCH(Çeyreklik!$A73,Bilanço!$A:$A,0),0)),"")</f>
        <v>11977000</v>
      </c>
      <c r="H73" s="2">
        <f>IFERROR(IF(MID(H$2,6,7)="3",HLOOKUP(H$1,Bilanço!$1:$151,MATCH(Çeyreklik!$A73,Bilanço!$A:$A,0),0),HLOOKUP(H$1,Bilanço!$1:$151,MATCH(Çeyreklik!$A73,Bilanço!$A:$A,0),0)-HLOOKUP(G$1,Bilanço!$1:$151,MATCH(Çeyreklik!$A73,Bilanço!$A:$A,0),0)),"")</f>
        <v>1427326000</v>
      </c>
      <c r="I73" s="2">
        <f>IFERROR(IF(MID(I$2,6,7)="3",HLOOKUP(I$1,Bilanço!$1:$151,MATCH(Çeyreklik!$A73,Bilanço!$A:$A,0),0),HLOOKUP(I$1,Bilanço!$1:$151,MATCH(Çeyreklik!$A73,Bilanço!$A:$A,0),0)-HLOOKUP(H$1,Bilanço!$1:$151,MATCH(Çeyreklik!$A73,Bilanço!$A:$A,0),0)),"")</f>
        <v>240507000</v>
      </c>
      <c r="J73" s="2">
        <f>IFERROR(IF(MID(J$2,6,7)="3",HLOOKUP(J$1,Bilanço!$1:$151,MATCH(Çeyreklik!$A73,Bilanço!$A:$A,0),0),HLOOKUP(J$1,Bilanço!$1:$151,MATCH(Çeyreklik!$A73,Bilanço!$A:$A,0),0)-HLOOKUP(I$1,Bilanço!$1:$151,MATCH(Çeyreklik!$A73,Bilanço!$A:$A,0),0)),"")</f>
        <v>386689000</v>
      </c>
      <c r="K73" s="2">
        <f>IFERROR(IF(MID(K$2,6,7)="3",HLOOKUP(K$1,Bilanço!$1:$151,MATCH(Çeyreklik!$A73,Bilanço!$A:$A,0),0),HLOOKUP(K$1,Bilanço!$1:$151,MATCH(Çeyreklik!$A73,Bilanço!$A:$A,0),0)-HLOOKUP(J$1,Bilanço!$1:$151,MATCH(Çeyreklik!$A73,Bilanço!$A:$A,0),0)),"")</f>
        <v>300289000</v>
      </c>
      <c r="L73" s="2">
        <f>IFERROR(IF(MID(L$2,6,7)="3",HLOOKUP(L$1,Bilanço!$1:$151,MATCH(Çeyreklik!$A73,Bilanço!$A:$A,0),0),HLOOKUP(L$1,Bilanço!$1:$151,MATCH(Çeyreklik!$A73,Bilanço!$A:$A,0),0)-HLOOKUP(K$1,Bilanço!$1:$151,MATCH(Çeyreklik!$A73,Bilanço!$A:$A,0),0)),"")</f>
        <v>-1937452000</v>
      </c>
      <c r="M73" s="2">
        <f>IFERROR(IF(MID(M$2,6,7)="3",HLOOKUP(M$1,Bilanço!$1:$151,MATCH(Çeyreklik!$A73,Bilanço!$A:$A,0),0),HLOOKUP(M$1,Bilanço!$1:$151,MATCH(Çeyreklik!$A73,Bilanço!$A:$A,0),0)-HLOOKUP(L$1,Bilanço!$1:$151,MATCH(Çeyreklik!$A73,Bilanço!$A:$A,0),0)),"")</f>
        <v>-1678507000</v>
      </c>
      <c r="N73" s="2">
        <f>IFERROR(IF(MID(N$2,6,7)="3",HLOOKUP(N$1,Bilanço!$1:$151,MATCH(Çeyreklik!$A73,Bilanço!$A:$A,0),0),HLOOKUP(N$1,Bilanço!$1:$151,MATCH(Çeyreklik!$A73,Bilanço!$A:$A,0),0)-HLOOKUP(M$1,Bilanço!$1:$151,MATCH(Çeyreklik!$A73,Bilanço!$A:$A,0),0)),"")</f>
        <v>6678048000</v>
      </c>
      <c r="O73" s="2">
        <f>IFERROR(IF(MID(O$2,6,7)="3",HLOOKUP(O$1,Bilanço!$1:$151,MATCH(Çeyreklik!$A73,Bilanço!$A:$A,0),0),HLOOKUP(O$1,Bilanço!$1:$151,MATCH(Çeyreklik!$A73,Bilanço!$A:$A,0),0)-HLOOKUP(N$1,Bilanço!$1:$151,MATCH(Çeyreklik!$A73,Bilanço!$A:$A,0),0)),"")</f>
        <v>1284136000</v>
      </c>
      <c r="P73" s="2">
        <f>IFERROR(IF(MID(P$2,6,7)="3",HLOOKUP(P$1,Bilanço!$1:$151,MATCH(Çeyreklik!$A73,Bilanço!$A:$A,0),0),HLOOKUP(P$1,Bilanço!$1:$151,MATCH(Çeyreklik!$A73,Bilanço!$A:$A,0),0)-HLOOKUP(O$1,Bilanço!$1:$151,MATCH(Çeyreklik!$A73,Bilanço!$A:$A,0),0)),"")</f>
        <v>2150771000</v>
      </c>
      <c r="Q73" s="2">
        <f>IFERROR(IF(MID(Q$2,6,7)="3",HLOOKUP(Q$1,Bilanço!$1:$151,MATCH(Çeyreklik!$A73,Bilanço!$A:$A,0),0),HLOOKUP(Q$1,Bilanço!$1:$151,MATCH(Çeyreklik!$A73,Bilanço!$A:$A,0),0)-HLOOKUP(P$1,Bilanço!$1:$151,MATCH(Çeyreklik!$A73,Bilanço!$A:$A,0),0)),"")</f>
        <v>2531055000</v>
      </c>
      <c r="R73" s="2">
        <f>IFERROR(IF(MID(R$2,6,7)="3",HLOOKUP(R$1,Bilanço!$1:$151,MATCH(Çeyreklik!$A73,Bilanço!$A:$A,0),0),HLOOKUP(R$1,Bilanço!$1:$151,MATCH(Çeyreklik!$A73,Bilanço!$A:$A,0),0)-HLOOKUP(Q$1,Bilanço!$1:$151,MATCH(Çeyreklik!$A73,Bilanço!$A:$A,0),0)),"")</f>
        <v>-1111329000</v>
      </c>
      <c r="S73" s="2">
        <f>IFERROR(IF(MID(S$2,6,7)="3",HLOOKUP(S$1,Bilanço!$1:$151,MATCH(Çeyreklik!$A73,Bilanço!$A:$A,0),0),HLOOKUP(S$1,Bilanço!$1:$151,MATCH(Çeyreklik!$A73,Bilanço!$A:$A,0),0)-HLOOKUP(R$1,Bilanço!$1:$151,MATCH(Çeyreklik!$A73,Bilanço!$A:$A,0),0)),"")</f>
        <v>1477037000</v>
      </c>
      <c r="T73" s="2">
        <f>IFERROR(IF(MID(T$2,6,7)="3",HLOOKUP(T$1,Bilanço!$1:$151,MATCH(Çeyreklik!$A73,Bilanço!$A:$A,0),0),HLOOKUP(T$1,Bilanço!$1:$151,MATCH(Çeyreklik!$A73,Bilanço!$A:$A,0),0)-HLOOKUP(S$1,Bilanço!$1:$151,MATCH(Çeyreklik!$A73,Bilanço!$A:$A,0),0)),"")</f>
        <v>417572123</v>
      </c>
      <c r="U73" s="2">
        <f>IFERROR(IF(MID(U$2,6,7)="3",HLOOKUP(U$1,Bilanço!$1:$151,MATCH(Çeyreklik!$A73,Bilanço!$A:$A,0),0),HLOOKUP(U$1,Bilanço!$1:$151,MATCH(Çeyreklik!$A73,Bilanço!$A:$A,0),0)-HLOOKUP(T$1,Bilanço!$1:$151,MATCH(Çeyreklik!$A73,Bilanço!$A:$A,0),0)),"")</f>
        <v>1896505000</v>
      </c>
      <c r="V73" s="2">
        <f>IFERROR(IF(MID(V$2,6,7)="3",HLOOKUP(V$1,Bilanço!$1:$151,MATCH(Çeyreklik!$A73,Bilanço!$A:$A,0),0),HLOOKUP(V$1,Bilanço!$1:$151,MATCH(Çeyreklik!$A73,Bilanço!$A:$A,0),0)-HLOOKUP(U$1,Bilanço!$1:$151,MATCH(Çeyreklik!$A73,Bilanço!$A:$A,0),0)),"")</f>
        <v>1770326000</v>
      </c>
      <c r="W73" s="2">
        <f>IFERROR(IF(MID(W$2,6,7)="3",HLOOKUP(W$1,Bilanço!$1:$151,MATCH(Çeyreklik!$A73,Bilanço!$A:$A,0),0),HLOOKUP(W$1,Bilanço!$1:$151,MATCH(Çeyreklik!$A73,Bilanço!$A:$A,0),0)-HLOOKUP(V$1,Bilanço!$1:$151,MATCH(Çeyreklik!$A73,Bilanço!$A:$A,0),0)),"")</f>
        <v>1404839000</v>
      </c>
    </row>
    <row r="74" spans="1:23" x14ac:dyDescent="0.25">
      <c r="A74" t="str">
        <f>Data!A145</f>
        <v xml:space="preserve"> Diğer Nakit Girişi/Çıkışı</v>
      </c>
      <c r="B74" s="2">
        <f>IFERROR(IF($B$2="2022/3",IF(MID(B$2,6,7)="3",HLOOKUP(B$1,Bilanço!$1:$151,MATCH(Çeyreklik!$A74,Bilanço!$A:$A,0),0),HLOOKUP(B$1,Bilanço!$1:$151,MATCH(Çeyreklik!$A74,Bilanço!$A:$A,0),0)-HLOOKUP(A$1,Bilanço!$1:$151,MATCH(Çeyreklik!$A74,Bilanço!$A:$A,0),0)),IF(MID(B$2,6,7)="3",HLOOKUP(B$1,Bilanço!$1:$151,MATCH(Çeyreklik!$A74,Bilanço!$A:$A,0),0),HLOOKUP(B$1,Bilanço!$1:$151,MATCH(Çeyreklik!$A74,Bilanço!$A:$A,0),0)-HLOOKUP(Bilanço!$B$1,Bilanço!$1:$151,MATCH(Çeyreklik!$A74,Bilanço!$A:$A,0),0))),"")</f>
        <v>0</v>
      </c>
      <c r="C74" s="2">
        <f>IFERROR(IF(MID(C$2,6,7)="3",HLOOKUP(C$1,Bilanço!$1:$151,MATCH(Çeyreklik!$A74,Bilanço!$A:$A,0),0),HLOOKUP(C$1,Bilanço!$1:$151,MATCH(Çeyreklik!$A74,Bilanço!$A:$A,0),0)-HLOOKUP(B$1,Bilanço!$1:$151,MATCH(Çeyreklik!$A74,Bilanço!$A:$A,0),0)),"")</f>
        <v>0</v>
      </c>
      <c r="D74" s="2">
        <f>IFERROR(IF(MID(D$2,6,7)="3",HLOOKUP(D$1,Bilanço!$1:$151,MATCH(Çeyreklik!$A74,Bilanço!$A:$A,0),0),HLOOKUP(D$1,Bilanço!$1:$151,MATCH(Çeyreklik!$A74,Bilanço!$A:$A,0),0)-HLOOKUP(C$1,Bilanço!$1:$151,MATCH(Çeyreklik!$A74,Bilanço!$A:$A,0),0)),"")</f>
        <v>0</v>
      </c>
      <c r="E74" s="2">
        <f>IFERROR(IF(MID(E$2,6,7)="3",HLOOKUP(E$1,Bilanço!$1:$151,MATCH(Çeyreklik!$A74,Bilanço!$A:$A,0),0),HLOOKUP(E$1,Bilanço!$1:$151,MATCH(Çeyreklik!$A74,Bilanço!$A:$A,0),0)-HLOOKUP(D$1,Bilanço!$1:$151,MATCH(Çeyreklik!$A74,Bilanço!$A:$A,0),0)),"")</f>
        <v>0</v>
      </c>
      <c r="F74" s="2">
        <f>IFERROR(IF(MID(F$2,6,7)="3",HLOOKUP(F$1,Bilanço!$1:$151,MATCH(Çeyreklik!$A74,Bilanço!$A:$A,0),0),HLOOKUP(F$1,Bilanço!$1:$151,MATCH(Çeyreklik!$A74,Bilanço!$A:$A,0),0)-HLOOKUP(E$1,Bilanço!$1:$151,MATCH(Çeyreklik!$A74,Bilanço!$A:$A,0),0)),"")</f>
        <v>0</v>
      </c>
      <c r="G74" s="2">
        <f>IFERROR(IF(MID(G$2,6,7)="3",HLOOKUP(G$1,Bilanço!$1:$151,MATCH(Çeyreklik!$A74,Bilanço!$A:$A,0),0),HLOOKUP(G$1,Bilanço!$1:$151,MATCH(Çeyreklik!$A74,Bilanço!$A:$A,0),0)-HLOOKUP(F$1,Bilanço!$1:$151,MATCH(Çeyreklik!$A74,Bilanço!$A:$A,0),0)),"")</f>
        <v>0</v>
      </c>
      <c r="H74" s="2">
        <f>IFERROR(IF(MID(H$2,6,7)="3",HLOOKUP(H$1,Bilanço!$1:$151,MATCH(Çeyreklik!$A74,Bilanço!$A:$A,0),0),HLOOKUP(H$1,Bilanço!$1:$151,MATCH(Çeyreklik!$A74,Bilanço!$A:$A,0),0)-HLOOKUP(G$1,Bilanço!$1:$151,MATCH(Çeyreklik!$A74,Bilanço!$A:$A,0),0)),"")</f>
        <v>0</v>
      </c>
      <c r="I74" s="2">
        <f>IFERROR(IF(MID(I$2,6,7)="3",HLOOKUP(I$1,Bilanço!$1:$151,MATCH(Çeyreklik!$A74,Bilanço!$A:$A,0),0),HLOOKUP(I$1,Bilanço!$1:$151,MATCH(Çeyreklik!$A74,Bilanço!$A:$A,0),0)-HLOOKUP(H$1,Bilanço!$1:$151,MATCH(Çeyreklik!$A74,Bilanço!$A:$A,0),0)),"")</f>
        <v>0</v>
      </c>
      <c r="J74" s="2">
        <f>IFERROR(IF(MID(J$2,6,7)="3",HLOOKUP(J$1,Bilanço!$1:$151,MATCH(Çeyreklik!$A74,Bilanço!$A:$A,0),0),HLOOKUP(J$1,Bilanço!$1:$151,MATCH(Çeyreklik!$A74,Bilanço!$A:$A,0),0)-HLOOKUP(I$1,Bilanço!$1:$151,MATCH(Çeyreklik!$A74,Bilanço!$A:$A,0),0)),"")</f>
        <v>0</v>
      </c>
      <c r="K74" s="2">
        <f>IFERROR(IF(MID(K$2,6,7)="3",HLOOKUP(K$1,Bilanço!$1:$151,MATCH(Çeyreklik!$A74,Bilanço!$A:$A,0),0),HLOOKUP(K$1,Bilanço!$1:$151,MATCH(Çeyreklik!$A74,Bilanço!$A:$A,0),0)-HLOOKUP(J$1,Bilanço!$1:$151,MATCH(Çeyreklik!$A74,Bilanço!$A:$A,0),0)),"")</f>
        <v>0</v>
      </c>
      <c r="L74" s="2">
        <f>IFERROR(IF(MID(L$2,6,7)="3",HLOOKUP(L$1,Bilanço!$1:$151,MATCH(Çeyreklik!$A74,Bilanço!$A:$A,0),0),HLOOKUP(L$1,Bilanço!$1:$151,MATCH(Çeyreklik!$A74,Bilanço!$A:$A,0),0)-HLOOKUP(K$1,Bilanço!$1:$151,MATCH(Çeyreklik!$A74,Bilanço!$A:$A,0),0)),"")</f>
        <v>0</v>
      </c>
      <c r="M74" s="2">
        <f>IFERROR(IF(MID(M$2,6,7)="3",HLOOKUP(M$1,Bilanço!$1:$151,MATCH(Çeyreklik!$A74,Bilanço!$A:$A,0),0),HLOOKUP(M$1,Bilanço!$1:$151,MATCH(Çeyreklik!$A74,Bilanço!$A:$A,0),0)-HLOOKUP(L$1,Bilanço!$1:$151,MATCH(Çeyreklik!$A74,Bilanço!$A:$A,0),0)),"")</f>
        <v>0</v>
      </c>
      <c r="N74" s="2">
        <f>IFERROR(IF(MID(N$2,6,7)="3",HLOOKUP(N$1,Bilanço!$1:$151,MATCH(Çeyreklik!$A74,Bilanço!$A:$A,0),0),HLOOKUP(N$1,Bilanço!$1:$151,MATCH(Çeyreklik!$A74,Bilanço!$A:$A,0),0)-HLOOKUP(M$1,Bilanço!$1:$151,MATCH(Çeyreklik!$A74,Bilanço!$A:$A,0),0)),"")</f>
        <v>0</v>
      </c>
      <c r="O74" s="2">
        <f>IFERROR(IF(MID(O$2,6,7)="3",HLOOKUP(O$1,Bilanço!$1:$151,MATCH(Çeyreklik!$A74,Bilanço!$A:$A,0),0),HLOOKUP(O$1,Bilanço!$1:$151,MATCH(Çeyreklik!$A74,Bilanço!$A:$A,0),0)-HLOOKUP(N$1,Bilanço!$1:$151,MATCH(Çeyreklik!$A74,Bilanço!$A:$A,0),0)),"")</f>
        <v>0</v>
      </c>
      <c r="P74" s="2">
        <f>IFERROR(IF(MID(P$2,6,7)="3",HLOOKUP(P$1,Bilanço!$1:$151,MATCH(Çeyreklik!$A74,Bilanço!$A:$A,0),0),HLOOKUP(P$1,Bilanço!$1:$151,MATCH(Çeyreklik!$A74,Bilanço!$A:$A,0),0)-HLOOKUP(O$1,Bilanço!$1:$151,MATCH(Çeyreklik!$A74,Bilanço!$A:$A,0),0)),"")</f>
        <v>0</v>
      </c>
      <c r="Q74" s="2">
        <f>IFERROR(IF(MID(Q$2,6,7)="3",HLOOKUP(Q$1,Bilanço!$1:$151,MATCH(Çeyreklik!$A74,Bilanço!$A:$A,0),0),HLOOKUP(Q$1,Bilanço!$1:$151,MATCH(Çeyreklik!$A74,Bilanço!$A:$A,0),0)-HLOOKUP(P$1,Bilanço!$1:$151,MATCH(Çeyreklik!$A74,Bilanço!$A:$A,0),0)),"")</f>
        <v>0</v>
      </c>
      <c r="R74" s="2">
        <f>IFERROR(IF(MID(R$2,6,7)="3",HLOOKUP(R$1,Bilanço!$1:$151,MATCH(Çeyreklik!$A74,Bilanço!$A:$A,0),0),HLOOKUP(R$1,Bilanço!$1:$151,MATCH(Çeyreklik!$A74,Bilanço!$A:$A,0),0)-HLOOKUP(Q$1,Bilanço!$1:$151,MATCH(Çeyreklik!$A74,Bilanço!$A:$A,0),0)),"")</f>
        <v>0</v>
      </c>
      <c r="S74" s="2">
        <f>IFERROR(IF(MID(S$2,6,7)="3",HLOOKUP(S$1,Bilanço!$1:$151,MATCH(Çeyreklik!$A74,Bilanço!$A:$A,0),0),HLOOKUP(S$1,Bilanço!$1:$151,MATCH(Çeyreklik!$A74,Bilanço!$A:$A,0),0)-HLOOKUP(R$1,Bilanço!$1:$151,MATCH(Çeyreklik!$A74,Bilanço!$A:$A,0),0)),"")</f>
        <v>0</v>
      </c>
      <c r="T74" s="2">
        <f>IFERROR(IF(MID(T$2,6,7)="3",HLOOKUP(T$1,Bilanço!$1:$151,MATCH(Çeyreklik!$A74,Bilanço!$A:$A,0),0),HLOOKUP(T$1,Bilanço!$1:$151,MATCH(Çeyreklik!$A74,Bilanço!$A:$A,0),0)-HLOOKUP(S$1,Bilanço!$1:$151,MATCH(Çeyreklik!$A74,Bilanço!$A:$A,0),0)),"")</f>
        <v>0</v>
      </c>
      <c r="U74" s="2">
        <f>IFERROR(IF(MID(U$2,6,7)="3",HLOOKUP(U$1,Bilanço!$1:$151,MATCH(Çeyreklik!$A74,Bilanço!$A:$A,0),0),HLOOKUP(U$1,Bilanço!$1:$151,MATCH(Çeyreklik!$A74,Bilanço!$A:$A,0),0)-HLOOKUP(T$1,Bilanço!$1:$151,MATCH(Çeyreklik!$A74,Bilanço!$A:$A,0),0)),"")</f>
        <v>0</v>
      </c>
      <c r="V74" s="2">
        <f>IFERROR(IF(MID(V$2,6,7)="3",HLOOKUP(V$1,Bilanço!$1:$151,MATCH(Çeyreklik!$A74,Bilanço!$A:$A,0),0),HLOOKUP(V$1,Bilanço!$1:$151,MATCH(Çeyreklik!$A74,Bilanço!$A:$A,0),0)-HLOOKUP(U$1,Bilanço!$1:$151,MATCH(Çeyreklik!$A74,Bilanço!$A:$A,0),0)),"")</f>
        <v>0</v>
      </c>
      <c r="W74" s="2">
        <f>IFERROR(IF(MID(W$2,6,7)="3",HLOOKUP(W$1,Bilanço!$1:$151,MATCH(Çeyreklik!$A74,Bilanço!$A:$A,0),0),HLOOKUP(W$1,Bilanço!$1:$151,MATCH(Çeyreklik!$A74,Bilanço!$A:$A,0),0)-HLOOKUP(V$1,Bilanço!$1:$151,MATCH(Çeyreklik!$A74,Bilanço!$A:$A,0),0)),"")</f>
        <v>0</v>
      </c>
    </row>
    <row r="75" spans="1:23" x14ac:dyDescent="0.25">
      <c r="A75" t="str">
        <f>Data!A146</f>
        <v>Nakit ve Benzerlerindeki Değişim</v>
      </c>
      <c r="B75" s="2">
        <f>IFERROR(IF($B$2="2022/3",IF(MID(B$2,6,7)="3",HLOOKUP(B$1,Bilanço!$1:$151,MATCH(Çeyreklik!$A75,Bilanço!$A:$A,0),0),HLOOKUP(B$1,Bilanço!$1:$151,MATCH(Çeyreklik!$A75,Bilanço!$A:$A,0),0)-HLOOKUP(A$1,Bilanço!$1:$151,MATCH(Çeyreklik!$A75,Bilanço!$A:$A,0),0)),IF(MID(B$2,6,7)="3",HLOOKUP(B$1,Bilanço!$1:$151,MATCH(Çeyreklik!$A75,Bilanço!$A:$A,0),0),HLOOKUP(B$1,Bilanço!$1:$151,MATCH(Çeyreklik!$A75,Bilanço!$A:$A,0),0)-HLOOKUP(Bilanço!$B$1,Bilanço!$1:$151,MATCH(Çeyreklik!$A75,Bilanço!$A:$A,0),0))),"")</f>
        <v>1736645000</v>
      </c>
      <c r="C75" s="2">
        <f>IFERROR(IF(MID(C$2,6,7)="3",HLOOKUP(C$1,Bilanço!$1:$151,MATCH(Çeyreklik!$A75,Bilanço!$A:$A,0),0),HLOOKUP(C$1,Bilanço!$1:$151,MATCH(Çeyreklik!$A75,Bilanço!$A:$A,0),0)-HLOOKUP(B$1,Bilanço!$1:$151,MATCH(Çeyreklik!$A75,Bilanço!$A:$A,0),0)),"")</f>
        <v>564551000</v>
      </c>
      <c r="D75" s="2">
        <f>IFERROR(IF(MID(D$2,6,7)="3",HLOOKUP(D$1,Bilanço!$1:$151,MATCH(Çeyreklik!$A75,Bilanço!$A:$A,0),0),HLOOKUP(D$1,Bilanço!$1:$151,MATCH(Çeyreklik!$A75,Bilanço!$A:$A,0),0)-HLOOKUP(C$1,Bilanço!$1:$151,MATCH(Çeyreklik!$A75,Bilanço!$A:$A,0),0)),"")</f>
        <v>297495000</v>
      </c>
      <c r="E75" s="2">
        <f>IFERROR(IF(MID(E$2,6,7)="3",HLOOKUP(E$1,Bilanço!$1:$151,MATCH(Çeyreklik!$A75,Bilanço!$A:$A,0),0),HLOOKUP(E$1,Bilanço!$1:$151,MATCH(Çeyreklik!$A75,Bilanço!$A:$A,0),0)-HLOOKUP(D$1,Bilanço!$1:$151,MATCH(Çeyreklik!$A75,Bilanço!$A:$A,0),0)),"")</f>
        <v>-440965000</v>
      </c>
      <c r="F75" s="2">
        <f>IFERROR(IF(MID(F$2,6,7)="3",HLOOKUP(F$1,Bilanço!$1:$151,MATCH(Çeyreklik!$A75,Bilanço!$A:$A,0),0),HLOOKUP(F$1,Bilanço!$1:$151,MATCH(Çeyreklik!$A75,Bilanço!$A:$A,0),0)-HLOOKUP(E$1,Bilanço!$1:$151,MATCH(Çeyreklik!$A75,Bilanço!$A:$A,0),0)),"")</f>
        <v>-344618000</v>
      </c>
      <c r="G75" s="2">
        <f>IFERROR(IF(MID(G$2,6,7)="3",HLOOKUP(G$1,Bilanço!$1:$151,MATCH(Çeyreklik!$A75,Bilanço!$A:$A,0),0),HLOOKUP(G$1,Bilanço!$1:$151,MATCH(Çeyreklik!$A75,Bilanço!$A:$A,0),0)-HLOOKUP(F$1,Bilanço!$1:$151,MATCH(Çeyreklik!$A75,Bilanço!$A:$A,0),0)),"")</f>
        <v>-187328000</v>
      </c>
      <c r="H75" s="2">
        <f>IFERROR(IF(MID(H$2,6,7)="3",HLOOKUP(H$1,Bilanço!$1:$151,MATCH(Çeyreklik!$A75,Bilanço!$A:$A,0),0),HLOOKUP(H$1,Bilanço!$1:$151,MATCH(Çeyreklik!$A75,Bilanço!$A:$A,0),0)-HLOOKUP(G$1,Bilanço!$1:$151,MATCH(Çeyreklik!$A75,Bilanço!$A:$A,0),0)),"")</f>
        <v>142225000</v>
      </c>
      <c r="I75" s="2">
        <f>IFERROR(IF(MID(I$2,6,7)="3",HLOOKUP(I$1,Bilanço!$1:$151,MATCH(Çeyreklik!$A75,Bilanço!$A:$A,0),0),HLOOKUP(I$1,Bilanço!$1:$151,MATCH(Çeyreklik!$A75,Bilanço!$A:$A,0),0)-HLOOKUP(H$1,Bilanço!$1:$151,MATCH(Çeyreklik!$A75,Bilanço!$A:$A,0),0)),"")</f>
        <v>-19721000</v>
      </c>
      <c r="J75" s="2">
        <f>IFERROR(IF(MID(J$2,6,7)="3",HLOOKUP(J$1,Bilanço!$1:$151,MATCH(Çeyreklik!$A75,Bilanço!$A:$A,0),0),HLOOKUP(J$1,Bilanço!$1:$151,MATCH(Çeyreklik!$A75,Bilanço!$A:$A,0),0)-HLOOKUP(I$1,Bilanço!$1:$151,MATCH(Çeyreklik!$A75,Bilanço!$A:$A,0),0)),"")</f>
        <v>338939000</v>
      </c>
      <c r="K75" s="2">
        <f>IFERROR(IF(MID(K$2,6,7)="3",HLOOKUP(K$1,Bilanço!$1:$151,MATCH(Çeyreklik!$A75,Bilanço!$A:$A,0),0),HLOOKUP(K$1,Bilanço!$1:$151,MATCH(Çeyreklik!$A75,Bilanço!$A:$A,0),0)-HLOOKUP(J$1,Bilanço!$1:$151,MATCH(Çeyreklik!$A75,Bilanço!$A:$A,0),0)),"")</f>
        <v>441359000</v>
      </c>
      <c r="L75" s="2">
        <f>IFERROR(IF(MID(L$2,6,7)="3",HLOOKUP(L$1,Bilanço!$1:$151,MATCH(Çeyreklik!$A75,Bilanço!$A:$A,0),0),HLOOKUP(L$1,Bilanço!$1:$151,MATCH(Çeyreklik!$A75,Bilanço!$A:$A,0),0)-HLOOKUP(K$1,Bilanço!$1:$151,MATCH(Çeyreklik!$A75,Bilanço!$A:$A,0),0)),"")</f>
        <v>6355644000</v>
      </c>
      <c r="M75" s="2">
        <f>IFERROR(IF(MID(M$2,6,7)="3",HLOOKUP(M$1,Bilanço!$1:$151,MATCH(Çeyreklik!$A75,Bilanço!$A:$A,0),0),HLOOKUP(M$1,Bilanço!$1:$151,MATCH(Çeyreklik!$A75,Bilanço!$A:$A,0),0)-HLOOKUP(L$1,Bilanço!$1:$151,MATCH(Çeyreklik!$A75,Bilanço!$A:$A,0),0)),"")</f>
        <v>-930423000</v>
      </c>
      <c r="N75" s="2">
        <f>IFERROR(IF(MID(N$2,6,7)="3",HLOOKUP(N$1,Bilanço!$1:$151,MATCH(Çeyreklik!$A75,Bilanço!$A:$A,0),0),HLOOKUP(N$1,Bilanço!$1:$151,MATCH(Çeyreklik!$A75,Bilanço!$A:$A,0),0)-HLOOKUP(M$1,Bilanço!$1:$151,MATCH(Çeyreklik!$A75,Bilanço!$A:$A,0),0)),"")</f>
        <v>-3062425000</v>
      </c>
      <c r="O75" s="2">
        <f>IFERROR(IF(MID(O$2,6,7)="3",HLOOKUP(O$1,Bilanço!$1:$151,MATCH(Çeyreklik!$A75,Bilanço!$A:$A,0),0),HLOOKUP(O$1,Bilanço!$1:$151,MATCH(Çeyreklik!$A75,Bilanço!$A:$A,0),0)-HLOOKUP(N$1,Bilanço!$1:$151,MATCH(Çeyreklik!$A75,Bilanço!$A:$A,0),0)),"")</f>
        <v>-2260246000</v>
      </c>
      <c r="P75" s="2">
        <f>IFERROR(IF(MID(P$2,6,7)="3",HLOOKUP(P$1,Bilanço!$1:$151,MATCH(Çeyreklik!$A75,Bilanço!$A:$A,0),0),HLOOKUP(P$1,Bilanço!$1:$151,MATCH(Çeyreklik!$A75,Bilanço!$A:$A,0),0)-HLOOKUP(O$1,Bilanço!$1:$151,MATCH(Çeyreklik!$A75,Bilanço!$A:$A,0),0)),"")</f>
        <v>1066665000</v>
      </c>
      <c r="Q75" s="2">
        <f>IFERROR(IF(MID(Q$2,6,7)="3",HLOOKUP(Q$1,Bilanço!$1:$151,MATCH(Çeyreklik!$A75,Bilanço!$A:$A,0),0),HLOOKUP(Q$1,Bilanço!$1:$151,MATCH(Çeyreklik!$A75,Bilanço!$A:$A,0),0)-HLOOKUP(P$1,Bilanço!$1:$151,MATCH(Çeyreklik!$A75,Bilanço!$A:$A,0),0)),"")</f>
        <v>-1036785000</v>
      </c>
      <c r="R75" s="2">
        <f>IFERROR(IF(MID(R$2,6,7)="3",HLOOKUP(R$1,Bilanço!$1:$151,MATCH(Çeyreklik!$A75,Bilanço!$A:$A,0),0),HLOOKUP(R$1,Bilanço!$1:$151,MATCH(Çeyreklik!$A75,Bilanço!$A:$A,0),0)-HLOOKUP(Q$1,Bilanço!$1:$151,MATCH(Çeyreklik!$A75,Bilanço!$A:$A,0),0)),"")</f>
        <v>3986595000</v>
      </c>
      <c r="S75" s="2">
        <f>IFERROR(IF(MID(S$2,6,7)="3",HLOOKUP(S$1,Bilanço!$1:$151,MATCH(Çeyreklik!$A75,Bilanço!$A:$A,0),0),HLOOKUP(S$1,Bilanço!$1:$151,MATCH(Çeyreklik!$A75,Bilanço!$A:$A,0),0)-HLOOKUP(R$1,Bilanço!$1:$151,MATCH(Çeyreklik!$A75,Bilanço!$A:$A,0),0)),"")</f>
        <v>7036296000</v>
      </c>
      <c r="T75" s="2">
        <f>IFERROR(IF(MID(T$2,6,7)="3",HLOOKUP(T$1,Bilanço!$1:$151,MATCH(Çeyreklik!$A75,Bilanço!$A:$A,0),0),HLOOKUP(T$1,Bilanço!$1:$151,MATCH(Çeyreklik!$A75,Bilanço!$A:$A,0),0)-HLOOKUP(S$1,Bilanço!$1:$151,MATCH(Çeyreklik!$A75,Bilanço!$A:$A,0),0)),"")</f>
        <v>1901596073</v>
      </c>
      <c r="U75" s="2">
        <f>IFERROR(IF(MID(U$2,6,7)="3",HLOOKUP(U$1,Bilanço!$1:$151,MATCH(Çeyreklik!$A75,Bilanço!$A:$A,0),0),HLOOKUP(U$1,Bilanço!$1:$151,MATCH(Çeyreklik!$A75,Bilanço!$A:$A,0),0)-HLOOKUP(T$1,Bilanço!$1:$151,MATCH(Çeyreklik!$A75,Bilanço!$A:$A,0),0)),"")</f>
        <v>-5018543000</v>
      </c>
      <c r="V75" s="2">
        <f>IFERROR(IF(MID(V$2,6,7)="3",HLOOKUP(V$1,Bilanço!$1:$151,MATCH(Çeyreklik!$A75,Bilanço!$A:$A,0),0),HLOOKUP(V$1,Bilanço!$1:$151,MATCH(Çeyreklik!$A75,Bilanço!$A:$A,0),0)-HLOOKUP(U$1,Bilanço!$1:$151,MATCH(Çeyreklik!$A75,Bilanço!$A:$A,0),0)),"")</f>
        <v>1715185000</v>
      </c>
      <c r="W75" s="2">
        <f>IFERROR(IF(MID(W$2,6,7)="3",HLOOKUP(W$1,Bilanço!$1:$151,MATCH(Çeyreklik!$A75,Bilanço!$A:$A,0),0),HLOOKUP(W$1,Bilanço!$1:$151,MATCH(Çeyreklik!$A75,Bilanço!$A:$A,0),0)-HLOOKUP(V$1,Bilanço!$1:$151,MATCH(Çeyreklik!$A75,Bilanço!$A:$A,0),0)),"")</f>
        <v>-124583000</v>
      </c>
    </row>
    <row r="76" spans="1:23" x14ac:dyDescent="0.25">
      <c r="A76" t="str">
        <f>Data!A147</f>
        <v>Diğer Nakit ve Nakit Benzerlerindeki Artış</v>
      </c>
      <c r="B76" s="2">
        <f>IFERROR(IF($B$2="2022/3",IF(MID(B$2,6,7)="3",HLOOKUP(B$1,Bilanço!$1:$151,MATCH(Çeyreklik!$A76,Bilanço!$A:$A,0),0),HLOOKUP(B$1,Bilanço!$1:$151,MATCH(Çeyreklik!$A76,Bilanço!$A:$A,0),0)-HLOOKUP(A$1,Bilanço!$1:$151,MATCH(Çeyreklik!$A76,Bilanço!$A:$A,0),0)),IF(MID(B$2,6,7)="3",HLOOKUP(B$1,Bilanço!$1:$151,MATCH(Çeyreklik!$A76,Bilanço!$A:$A,0),0),HLOOKUP(B$1,Bilanço!$1:$151,MATCH(Çeyreklik!$A76,Bilanço!$A:$A,0),0)-HLOOKUP(Bilanço!$B$1,Bilanço!$1:$151,MATCH(Çeyreklik!$A76,Bilanço!$A:$A,0),0))),"")</f>
        <v>0</v>
      </c>
      <c r="C76" s="2">
        <f>IFERROR(IF(MID(C$2,6,7)="3",HLOOKUP(C$1,Bilanço!$1:$151,MATCH(Çeyreklik!$A76,Bilanço!$A:$A,0),0),HLOOKUP(C$1,Bilanço!$1:$151,MATCH(Çeyreklik!$A76,Bilanço!$A:$A,0),0)-HLOOKUP(B$1,Bilanço!$1:$151,MATCH(Çeyreklik!$A76,Bilanço!$A:$A,0),0)),"")</f>
        <v>0</v>
      </c>
      <c r="D76" s="2">
        <f>IFERROR(IF(MID(D$2,6,7)="3",HLOOKUP(D$1,Bilanço!$1:$151,MATCH(Çeyreklik!$A76,Bilanço!$A:$A,0),0),HLOOKUP(D$1,Bilanço!$1:$151,MATCH(Çeyreklik!$A76,Bilanço!$A:$A,0),0)-HLOOKUP(C$1,Bilanço!$1:$151,MATCH(Çeyreklik!$A76,Bilanço!$A:$A,0),0)),"")</f>
        <v>0</v>
      </c>
      <c r="E76" s="2">
        <f>IFERROR(IF(MID(E$2,6,7)="3",HLOOKUP(E$1,Bilanço!$1:$151,MATCH(Çeyreklik!$A76,Bilanço!$A:$A,0),0),HLOOKUP(E$1,Bilanço!$1:$151,MATCH(Çeyreklik!$A76,Bilanço!$A:$A,0),0)-HLOOKUP(D$1,Bilanço!$1:$151,MATCH(Çeyreklik!$A76,Bilanço!$A:$A,0),0)),"")</f>
        <v>0</v>
      </c>
      <c r="F76" s="2">
        <f>IFERROR(IF(MID(F$2,6,7)="3",HLOOKUP(F$1,Bilanço!$1:$151,MATCH(Çeyreklik!$A76,Bilanço!$A:$A,0),0),HLOOKUP(F$1,Bilanço!$1:$151,MATCH(Çeyreklik!$A76,Bilanço!$A:$A,0),0)-HLOOKUP(E$1,Bilanço!$1:$151,MATCH(Çeyreklik!$A76,Bilanço!$A:$A,0),0)),"")</f>
        <v>0</v>
      </c>
      <c r="G76" s="2">
        <f>IFERROR(IF(MID(G$2,6,7)="3",HLOOKUP(G$1,Bilanço!$1:$151,MATCH(Çeyreklik!$A76,Bilanço!$A:$A,0),0),HLOOKUP(G$1,Bilanço!$1:$151,MATCH(Çeyreklik!$A76,Bilanço!$A:$A,0),0)-HLOOKUP(F$1,Bilanço!$1:$151,MATCH(Çeyreklik!$A76,Bilanço!$A:$A,0),0)),"")</f>
        <v>0</v>
      </c>
      <c r="H76" s="2">
        <f>IFERROR(IF(MID(H$2,6,7)="3",HLOOKUP(H$1,Bilanço!$1:$151,MATCH(Çeyreklik!$A76,Bilanço!$A:$A,0),0),HLOOKUP(H$1,Bilanço!$1:$151,MATCH(Çeyreklik!$A76,Bilanço!$A:$A,0),0)-HLOOKUP(G$1,Bilanço!$1:$151,MATCH(Çeyreklik!$A76,Bilanço!$A:$A,0),0)),"")</f>
        <v>0</v>
      </c>
      <c r="I76" s="2">
        <f>IFERROR(IF(MID(I$2,6,7)="3",HLOOKUP(I$1,Bilanço!$1:$151,MATCH(Çeyreklik!$A76,Bilanço!$A:$A,0),0),HLOOKUP(I$1,Bilanço!$1:$151,MATCH(Çeyreklik!$A76,Bilanço!$A:$A,0),0)-HLOOKUP(H$1,Bilanço!$1:$151,MATCH(Çeyreklik!$A76,Bilanço!$A:$A,0),0)),"")</f>
        <v>0</v>
      </c>
      <c r="J76" s="2">
        <f>IFERROR(IF(MID(J$2,6,7)="3",HLOOKUP(J$1,Bilanço!$1:$151,MATCH(Çeyreklik!$A76,Bilanço!$A:$A,0),0),HLOOKUP(J$1,Bilanço!$1:$151,MATCH(Çeyreklik!$A76,Bilanço!$A:$A,0),0)-HLOOKUP(I$1,Bilanço!$1:$151,MATCH(Çeyreklik!$A76,Bilanço!$A:$A,0),0)),"")</f>
        <v>0</v>
      </c>
      <c r="K76" s="2">
        <f>IFERROR(IF(MID(K$2,6,7)="3",HLOOKUP(K$1,Bilanço!$1:$151,MATCH(Çeyreklik!$A76,Bilanço!$A:$A,0),0),HLOOKUP(K$1,Bilanço!$1:$151,MATCH(Çeyreklik!$A76,Bilanço!$A:$A,0),0)-HLOOKUP(J$1,Bilanço!$1:$151,MATCH(Çeyreklik!$A76,Bilanço!$A:$A,0),0)),"")</f>
        <v>0</v>
      </c>
      <c r="L76" s="2">
        <f>IFERROR(IF(MID(L$2,6,7)="3",HLOOKUP(L$1,Bilanço!$1:$151,MATCH(Çeyreklik!$A76,Bilanço!$A:$A,0),0),HLOOKUP(L$1,Bilanço!$1:$151,MATCH(Çeyreklik!$A76,Bilanço!$A:$A,0),0)-HLOOKUP(K$1,Bilanço!$1:$151,MATCH(Çeyreklik!$A76,Bilanço!$A:$A,0),0)),"")</f>
        <v>0</v>
      </c>
      <c r="M76" s="2">
        <f>IFERROR(IF(MID(M$2,6,7)="3",HLOOKUP(M$1,Bilanço!$1:$151,MATCH(Çeyreklik!$A76,Bilanço!$A:$A,0),0),HLOOKUP(M$1,Bilanço!$1:$151,MATCH(Çeyreklik!$A76,Bilanço!$A:$A,0),0)-HLOOKUP(L$1,Bilanço!$1:$151,MATCH(Çeyreklik!$A76,Bilanço!$A:$A,0),0)),"")</f>
        <v>0</v>
      </c>
      <c r="N76" s="2">
        <f>IFERROR(IF(MID(N$2,6,7)="3",HLOOKUP(N$1,Bilanço!$1:$151,MATCH(Çeyreklik!$A76,Bilanço!$A:$A,0),0),HLOOKUP(N$1,Bilanço!$1:$151,MATCH(Çeyreklik!$A76,Bilanço!$A:$A,0),0)-HLOOKUP(M$1,Bilanço!$1:$151,MATCH(Çeyreklik!$A76,Bilanço!$A:$A,0),0)),"")</f>
        <v>0</v>
      </c>
      <c r="O76" s="2">
        <f>IFERROR(IF(MID(O$2,6,7)="3",HLOOKUP(O$1,Bilanço!$1:$151,MATCH(Çeyreklik!$A76,Bilanço!$A:$A,0),0),HLOOKUP(O$1,Bilanço!$1:$151,MATCH(Çeyreklik!$A76,Bilanço!$A:$A,0),0)-HLOOKUP(N$1,Bilanço!$1:$151,MATCH(Çeyreklik!$A76,Bilanço!$A:$A,0),0)),"")</f>
        <v>0</v>
      </c>
      <c r="P76" s="2">
        <f>IFERROR(IF(MID(P$2,6,7)="3",HLOOKUP(P$1,Bilanço!$1:$151,MATCH(Çeyreklik!$A76,Bilanço!$A:$A,0),0),HLOOKUP(P$1,Bilanço!$1:$151,MATCH(Çeyreklik!$A76,Bilanço!$A:$A,0),0)-HLOOKUP(O$1,Bilanço!$1:$151,MATCH(Çeyreklik!$A76,Bilanço!$A:$A,0),0)),"")</f>
        <v>0</v>
      </c>
      <c r="Q76" s="2">
        <f>IFERROR(IF(MID(Q$2,6,7)="3",HLOOKUP(Q$1,Bilanço!$1:$151,MATCH(Çeyreklik!$A76,Bilanço!$A:$A,0),0),HLOOKUP(Q$1,Bilanço!$1:$151,MATCH(Çeyreklik!$A76,Bilanço!$A:$A,0),0)-HLOOKUP(P$1,Bilanço!$1:$151,MATCH(Çeyreklik!$A76,Bilanço!$A:$A,0),0)),"")</f>
        <v>0</v>
      </c>
      <c r="R76" s="2">
        <f>IFERROR(IF(MID(R$2,6,7)="3",HLOOKUP(R$1,Bilanço!$1:$151,MATCH(Çeyreklik!$A76,Bilanço!$A:$A,0),0),HLOOKUP(R$1,Bilanço!$1:$151,MATCH(Çeyreklik!$A76,Bilanço!$A:$A,0),0)-HLOOKUP(Q$1,Bilanço!$1:$151,MATCH(Çeyreklik!$A76,Bilanço!$A:$A,0),0)),"")</f>
        <v>0</v>
      </c>
      <c r="S76" s="2">
        <f>IFERROR(IF(MID(S$2,6,7)="3",HLOOKUP(S$1,Bilanço!$1:$151,MATCH(Çeyreklik!$A76,Bilanço!$A:$A,0),0),HLOOKUP(S$1,Bilanço!$1:$151,MATCH(Çeyreklik!$A76,Bilanço!$A:$A,0),0)-HLOOKUP(R$1,Bilanço!$1:$151,MATCH(Çeyreklik!$A76,Bilanço!$A:$A,0),0)),"")</f>
        <v>0</v>
      </c>
      <c r="T76" s="2">
        <f>IFERROR(IF(MID(T$2,6,7)="3",HLOOKUP(T$1,Bilanço!$1:$151,MATCH(Çeyreklik!$A76,Bilanço!$A:$A,0),0),HLOOKUP(T$1,Bilanço!$1:$151,MATCH(Çeyreklik!$A76,Bilanço!$A:$A,0),0)-HLOOKUP(S$1,Bilanço!$1:$151,MATCH(Çeyreklik!$A76,Bilanço!$A:$A,0),0)),"")</f>
        <v>0</v>
      </c>
      <c r="U76" s="2">
        <f>IFERROR(IF(MID(U$2,6,7)="3",HLOOKUP(U$1,Bilanço!$1:$151,MATCH(Çeyreklik!$A76,Bilanço!$A:$A,0),0),HLOOKUP(U$1,Bilanço!$1:$151,MATCH(Çeyreklik!$A76,Bilanço!$A:$A,0),0)-HLOOKUP(T$1,Bilanço!$1:$151,MATCH(Çeyreklik!$A76,Bilanço!$A:$A,0),0)),"")</f>
        <v>0</v>
      </c>
      <c r="V76" s="2">
        <f>IFERROR(IF(MID(V$2,6,7)="3",HLOOKUP(V$1,Bilanço!$1:$151,MATCH(Çeyreklik!$A76,Bilanço!$A:$A,0),0),HLOOKUP(V$1,Bilanço!$1:$151,MATCH(Çeyreklik!$A76,Bilanço!$A:$A,0),0)-HLOOKUP(U$1,Bilanço!$1:$151,MATCH(Çeyreklik!$A76,Bilanço!$A:$A,0),0)),"")</f>
        <v>0</v>
      </c>
      <c r="W76" s="2">
        <f>IFERROR(IF(MID(W$2,6,7)="3",HLOOKUP(W$1,Bilanço!$1:$151,MATCH(Çeyreklik!$A76,Bilanço!$A:$A,0),0),HLOOKUP(W$1,Bilanço!$1:$151,MATCH(Çeyreklik!$A76,Bilanço!$A:$A,0),0)-HLOOKUP(V$1,Bilanço!$1:$151,MATCH(Çeyreklik!$A76,Bilanço!$A:$A,0),0)),"")</f>
        <v>0</v>
      </c>
    </row>
    <row r="77" spans="1:23" x14ac:dyDescent="0.25">
      <c r="A77" t="str">
        <f>Data!A148</f>
        <v>Dönem Başı Nakit Değerler</v>
      </c>
      <c r="B77" s="2">
        <f>IFERROR(IF($B$2="2022/3",IF(MID(B$2,6,7)="3",HLOOKUP(B$1,Bilanço!$1:$151,MATCH(Çeyreklik!$A77,Bilanço!$A:$A,0),0),HLOOKUP(B$1,Bilanço!$1:$151,MATCH(Çeyreklik!$A77,Bilanço!$A:$A,0),0)-HLOOKUP(A$1,Bilanço!$1:$151,MATCH(Çeyreklik!$A77,Bilanço!$A:$A,0),0)),IF(MID(B$2,6,7)="3",HLOOKUP(B$1,Bilanço!$1:$151,MATCH(Çeyreklik!$A77,Bilanço!$A:$A,0),0),HLOOKUP(B$1,Bilanço!$1:$151,MATCH(Çeyreklik!$A77,Bilanço!$A:$A,0),0)-HLOOKUP(Bilanço!$B$1,Bilanço!$1:$151,MATCH(Çeyreklik!$A77,Bilanço!$A:$A,0),0))),"")</f>
        <v>0</v>
      </c>
      <c r="C77" s="2">
        <f>IFERROR(IF(MID(C$2,6,7)="3",HLOOKUP(C$1,Bilanço!$1:$151,MATCH(Çeyreklik!$A77,Bilanço!$A:$A,0),0),HLOOKUP(C$1,Bilanço!$1:$151,MATCH(Çeyreklik!$A77,Bilanço!$A:$A,0),0)-HLOOKUP(B$1,Bilanço!$1:$151,MATCH(Çeyreklik!$A77,Bilanço!$A:$A,0),0)),"")</f>
        <v>17474000</v>
      </c>
      <c r="D77" s="2">
        <f>IFERROR(IF(MID(D$2,6,7)="3",HLOOKUP(D$1,Bilanço!$1:$151,MATCH(Çeyreklik!$A77,Bilanço!$A:$A,0),0),HLOOKUP(D$1,Bilanço!$1:$151,MATCH(Çeyreklik!$A77,Bilanço!$A:$A,0),0)-HLOOKUP(C$1,Bilanço!$1:$151,MATCH(Çeyreklik!$A77,Bilanço!$A:$A,0),0)),"")</f>
        <v>0</v>
      </c>
      <c r="E77" s="2">
        <f>IFERROR(IF(MID(E$2,6,7)="3",HLOOKUP(E$1,Bilanço!$1:$151,MATCH(Çeyreklik!$A77,Bilanço!$A:$A,0),0),HLOOKUP(E$1,Bilanço!$1:$151,MATCH(Çeyreklik!$A77,Bilanço!$A:$A,0),0)-HLOOKUP(D$1,Bilanço!$1:$151,MATCH(Çeyreklik!$A77,Bilanço!$A:$A,0),0)),"")</f>
        <v>3835520000</v>
      </c>
      <c r="F77" s="2">
        <f>IFERROR(IF(MID(F$2,6,7)="3",HLOOKUP(F$1,Bilanço!$1:$151,MATCH(Çeyreklik!$A77,Bilanço!$A:$A,0),0),HLOOKUP(F$1,Bilanço!$1:$151,MATCH(Çeyreklik!$A77,Bilanço!$A:$A,0),0)-HLOOKUP(E$1,Bilanço!$1:$151,MATCH(Çeyreklik!$A77,Bilanço!$A:$A,0),0)),"")</f>
        <v>0</v>
      </c>
      <c r="G77" s="2">
        <f>IFERROR(IF(MID(G$2,6,7)="3",HLOOKUP(G$1,Bilanço!$1:$151,MATCH(Çeyreklik!$A77,Bilanço!$A:$A,0),0),HLOOKUP(G$1,Bilanço!$1:$151,MATCH(Çeyreklik!$A77,Bilanço!$A:$A,0),0)-HLOOKUP(F$1,Bilanço!$1:$151,MATCH(Çeyreklik!$A77,Bilanço!$A:$A,0),0)),"")</f>
        <v>0</v>
      </c>
      <c r="H77" s="2">
        <f>IFERROR(IF(MID(H$2,6,7)="3",HLOOKUP(H$1,Bilanço!$1:$151,MATCH(Çeyreklik!$A77,Bilanço!$A:$A,0),0),HLOOKUP(H$1,Bilanço!$1:$151,MATCH(Çeyreklik!$A77,Bilanço!$A:$A,0),0)-HLOOKUP(G$1,Bilanço!$1:$151,MATCH(Çeyreklik!$A77,Bilanço!$A:$A,0),0)),"")</f>
        <v>0</v>
      </c>
      <c r="I77" s="2">
        <f>IFERROR(IF(MID(I$2,6,7)="3",HLOOKUP(I$1,Bilanço!$1:$151,MATCH(Çeyreklik!$A77,Bilanço!$A:$A,0),0),HLOOKUP(I$1,Bilanço!$1:$151,MATCH(Çeyreklik!$A77,Bilanço!$A:$A,0),0)-HLOOKUP(H$1,Bilanço!$1:$151,MATCH(Çeyreklik!$A77,Bilanço!$A:$A,0),0)),"")</f>
        <v>3004834000</v>
      </c>
      <c r="J77" s="2">
        <f>IFERROR(IF(MID(J$2,6,7)="3",HLOOKUP(J$1,Bilanço!$1:$151,MATCH(Çeyreklik!$A77,Bilanço!$A:$A,0),0),HLOOKUP(J$1,Bilanço!$1:$151,MATCH(Çeyreklik!$A77,Bilanço!$A:$A,0),0)-HLOOKUP(I$1,Bilanço!$1:$151,MATCH(Çeyreklik!$A77,Bilanço!$A:$A,0),0)),"")</f>
        <v>0</v>
      </c>
      <c r="K77" s="2">
        <f>IFERROR(IF(MID(K$2,6,7)="3",HLOOKUP(K$1,Bilanço!$1:$151,MATCH(Çeyreklik!$A77,Bilanço!$A:$A,0),0),HLOOKUP(K$1,Bilanço!$1:$151,MATCH(Çeyreklik!$A77,Bilanço!$A:$A,0),0)-HLOOKUP(J$1,Bilanço!$1:$151,MATCH(Çeyreklik!$A77,Bilanço!$A:$A,0),0)),"")</f>
        <v>0</v>
      </c>
      <c r="L77" s="2">
        <f>IFERROR(IF(MID(L$2,6,7)="3",HLOOKUP(L$1,Bilanço!$1:$151,MATCH(Çeyreklik!$A77,Bilanço!$A:$A,0),0),HLOOKUP(L$1,Bilanço!$1:$151,MATCH(Çeyreklik!$A77,Bilanço!$A:$A,0),0)-HLOOKUP(K$1,Bilanço!$1:$151,MATCH(Çeyreklik!$A77,Bilanço!$A:$A,0),0)),"")</f>
        <v>5128405000</v>
      </c>
      <c r="M77" s="2">
        <f>IFERROR(IF(MID(M$2,6,7)="3",HLOOKUP(M$1,Bilanço!$1:$151,MATCH(Çeyreklik!$A77,Bilanço!$A:$A,0),0),HLOOKUP(M$1,Bilanço!$1:$151,MATCH(Çeyreklik!$A77,Bilanço!$A:$A,0),0)-HLOOKUP(L$1,Bilanço!$1:$151,MATCH(Çeyreklik!$A77,Bilanço!$A:$A,0),0)),"")</f>
        <v>17546581000</v>
      </c>
      <c r="N77" s="2">
        <f>IFERROR(IF(MID(N$2,6,7)="3",HLOOKUP(N$1,Bilanço!$1:$151,MATCH(Çeyreklik!$A77,Bilanço!$A:$A,0),0),HLOOKUP(N$1,Bilanço!$1:$151,MATCH(Çeyreklik!$A77,Bilanço!$A:$A,0),0)-HLOOKUP(M$1,Bilanço!$1:$151,MATCH(Çeyreklik!$A77,Bilanço!$A:$A,0),0)),"")</f>
        <v>1474770000</v>
      </c>
      <c r="O77" s="2">
        <f>IFERROR(IF(MID(O$2,6,7)="3",HLOOKUP(O$1,Bilanço!$1:$151,MATCH(Çeyreklik!$A77,Bilanço!$A:$A,0),0),HLOOKUP(O$1,Bilanço!$1:$151,MATCH(Çeyreklik!$A77,Bilanço!$A:$A,0),0)-HLOOKUP(N$1,Bilanço!$1:$151,MATCH(Çeyreklik!$A77,Bilanço!$A:$A,0),0)),"")</f>
        <v>1696617000</v>
      </c>
      <c r="P77" s="2">
        <f>IFERROR(IF(MID(P$2,6,7)="3",HLOOKUP(P$1,Bilanço!$1:$151,MATCH(Çeyreklik!$A77,Bilanço!$A:$A,0),0),HLOOKUP(P$1,Bilanço!$1:$151,MATCH(Çeyreklik!$A77,Bilanço!$A:$A,0),0)-HLOOKUP(O$1,Bilanço!$1:$151,MATCH(Çeyreklik!$A77,Bilanço!$A:$A,0),0)),"")</f>
        <v>1299015000</v>
      </c>
      <c r="Q77" s="2">
        <f>IFERROR(IF(MID(Q$2,6,7)="3",HLOOKUP(Q$1,Bilanço!$1:$151,MATCH(Çeyreklik!$A77,Bilanço!$A:$A,0),0),HLOOKUP(Q$1,Bilanço!$1:$151,MATCH(Çeyreklik!$A77,Bilanço!$A:$A,0),0)-HLOOKUP(P$1,Bilanço!$1:$151,MATCH(Çeyreklik!$A77,Bilanço!$A:$A,0),0)),"")</f>
        <v>18524173000</v>
      </c>
      <c r="R77" s="2">
        <f>IFERROR(IF(MID(R$2,6,7)="3",HLOOKUP(R$1,Bilanço!$1:$151,MATCH(Çeyreklik!$A77,Bilanço!$A:$A,0),0),HLOOKUP(R$1,Bilanço!$1:$151,MATCH(Çeyreklik!$A77,Bilanço!$A:$A,0),0)-HLOOKUP(Q$1,Bilanço!$1:$151,MATCH(Çeyreklik!$A77,Bilanço!$A:$A,0),0)),"")</f>
        <v>1112696000</v>
      </c>
      <c r="S77" s="2">
        <f>IFERROR(IF(MID(S$2,6,7)="3",HLOOKUP(S$1,Bilanço!$1:$151,MATCH(Çeyreklik!$A77,Bilanço!$A:$A,0),0),HLOOKUP(S$1,Bilanço!$1:$151,MATCH(Çeyreklik!$A77,Bilanço!$A:$A,0),0)-HLOOKUP(R$1,Bilanço!$1:$151,MATCH(Çeyreklik!$A77,Bilanço!$A:$A,0),0)),"")</f>
        <v>1473626000</v>
      </c>
      <c r="T77" s="2">
        <f>IFERROR(IF(MID(T$2,6,7)="3",HLOOKUP(T$1,Bilanço!$1:$151,MATCH(Çeyreklik!$A77,Bilanço!$A:$A,0),0),HLOOKUP(T$1,Bilanço!$1:$151,MATCH(Çeyreklik!$A77,Bilanço!$A:$A,0),0)-HLOOKUP(S$1,Bilanço!$1:$151,MATCH(Çeyreklik!$A77,Bilanço!$A:$A,0),0)),"")</f>
        <v>-489</v>
      </c>
      <c r="U77" s="2">
        <f>IFERROR(IF(MID(U$2,6,7)="3",HLOOKUP(U$1,Bilanço!$1:$151,MATCH(Çeyreklik!$A77,Bilanço!$A:$A,0),0),HLOOKUP(U$1,Bilanço!$1:$151,MATCH(Çeyreklik!$A77,Bilanço!$A:$A,0),0)-HLOOKUP(T$1,Bilanço!$1:$151,MATCH(Çeyreklik!$A77,Bilanço!$A:$A,0),0)),"")</f>
        <v>28955471000</v>
      </c>
      <c r="V77" s="2">
        <f>IFERROR(IF(MID(V$2,6,7)="3",HLOOKUP(V$1,Bilanço!$1:$151,MATCH(Çeyreklik!$A77,Bilanço!$A:$A,0),0),HLOOKUP(V$1,Bilanço!$1:$151,MATCH(Çeyreklik!$A77,Bilanço!$A:$A,0),0)-HLOOKUP(U$1,Bilanço!$1:$151,MATCH(Çeyreklik!$A77,Bilanço!$A:$A,0),0)),"")</f>
        <v>1739275000</v>
      </c>
      <c r="W77" s="2">
        <f>IFERROR(IF(MID(W$2,6,7)="3",HLOOKUP(W$1,Bilanço!$1:$151,MATCH(Çeyreklik!$A77,Bilanço!$A:$A,0),0),HLOOKUP(W$1,Bilanço!$1:$151,MATCH(Çeyreklik!$A77,Bilanço!$A:$A,0),0)-HLOOKUP(V$1,Bilanço!$1:$151,MATCH(Çeyreklik!$A77,Bilanço!$A:$A,0),0)),"")</f>
        <v>2303451000</v>
      </c>
    </row>
    <row r="78" spans="1:23" x14ac:dyDescent="0.25">
      <c r="A78" t="str">
        <f>Data!A149</f>
        <v>Dönem Sonu Nakit</v>
      </c>
      <c r="B78" s="2">
        <f>IFERROR(IF($B$2="2022/3",IF(MID(B$2,6,7)="3",HLOOKUP(B$1,Bilanço!$1:$151,MATCH(Çeyreklik!$A78,Bilanço!$A:$A,0),0),HLOOKUP(B$1,Bilanço!$1:$151,MATCH(Çeyreklik!$A78,Bilanço!$A:$A,0),0)-HLOOKUP(A$1,Bilanço!$1:$151,MATCH(Çeyreklik!$A78,Bilanço!$A:$A,0),0)),IF(MID(B$2,6,7)="3",HLOOKUP(B$1,Bilanço!$1:$151,MATCH(Çeyreklik!$A78,Bilanço!$A:$A,0),0),HLOOKUP(B$1,Bilanço!$1:$151,MATCH(Çeyreklik!$A78,Bilanço!$A:$A,0),0)-HLOOKUP(Bilanço!$B$1,Bilanço!$1:$151,MATCH(Çeyreklik!$A78,Bilanço!$A:$A,0),0))),"")</f>
        <v>1736645000</v>
      </c>
      <c r="C78" s="2">
        <f>IFERROR(IF(MID(C$2,6,7)="3",HLOOKUP(C$1,Bilanço!$1:$151,MATCH(Çeyreklik!$A78,Bilanço!$A:$A,0),0),HLOOKUP(C$1,Bilanço!$1:$151,MATCH(Çeyreklik!$A78,Bilanço!$A:$A,0),0)-HLOOKUP(B$1,Bilanço!$1:$151,MATCH(Çeyreklik!$A78,Bilanço!$A:$A,0),0)),"")</f>
        <v>582025000</v>
      </c>
      <c r="D78" s="2">
        <f>IFERROR(IF(MID(D$2,6,7)="3",HLOOKUP(D$1,Bilanço!$1:$151,MATCH(Çeyreklik!$A78,Bilanço!$A:$A,0),0),HLOOKUP(D$1,Bilanço!$1:$151,MATCH(Çeyreklik!$A78,Bilanço!$A:$A,0),0)-HLOOKUP(C$1,Bilanço!$1:$151,MATCH(Çeyreklik!$A78,Bilanço!$A:$A,0),0)),"")</f>
        <v>297495000</v>
      </c>
      <c r="E78" s="2">
        <f>IFERROR(IF(MID(E$2,6,7)="3",HLOOKUP(E$1,Bilanço!$1:$151,MATCH(Çeyreklik!$A78,Bilanço!$A:$A,0),0),HLOOKUP(E$1,Bilanço!$1:$151,MATCH(Çeyreklik!$A78,Bilanço!$A:$A,0),0)-HLOOKUP(D$1,Bilanço!$1:$151,MATCH(Çeyreklik!$A78,Bilanço!$A:$A,0),0)),"")</f>
        <v>3394555000</v>
      </c>
      <c r="F78" s="2">
        <f>IFERROR(IF(MID(F$2,6,7)="3",HLOOKUP(F$1,Bilanço!$1:$151,MATCH(Çeyreklik!$A78,Bilanço!$A:$A,0),0),HLOOKUP(F$1,Bilanço!$1:$151,MATCH(Çeyreklik!$A78,Bilanço!$A:$A,0),0)-HLOOKUP(E$1,Bilanço!$1:$151,MATCH(Çeyreklik!$A78,Bilanço!$A:$A,0),0)),"")</f>
        <v>-344618000</v>
      </c>
      <c r="G78" s="2">
        <f>IFERROR(IF(MID(G$2,6,7)="3",HLOOKUP(G$1,Bilanço!$1:$151,MATCH(Çeyreklik!$A78,Bilanço!$A:$A,0),0),HLOOKUP(G$1,Bilanço!$1:$151,MATCH(Çeyreklik!$A78,Bilanço!$A:$A,0),0)-HLOOKUP(F$1,Bilanço!$1:$151,MATCH(Çeyreklik!$A78,Bilanço!$A:$A,0),0)),"")</f>
        <v>-187328000</v>
      </c>
      <c r="H78" s="2">
        <f>IFERROR(IF(MID(H$2,6,7)="3",HLOOKUP(H$1,Bilanço!$1:$151,MATCH(Çeyreklik!$A78,Bilanço!$A:$A,0),0),HLOOKUP(H$1,Bilanço!$1:$151,MATCH(Çeyreklik!$A78,Bilanço!$A:$A,0),0)-HLOOKUP(G$1,Bilanço!$1:$151,MATCH(Çeyreklik!$A78,Bilanço!$A:$A,0),0)),"")</f>
        <v>142225000</v>
      </c>
      <c r="I78" s="2">
        <f>IFERROR(IF(MID(I$2,6,7)="3",HLOOKUP(I$1,Bilanço!$1:$151,MATCH(Çeyreklik!$A78,Bilanço!$A:$A,0),0),HLOOKUP(I$1,Bilanço!$1:$151,MATCH(Çeyreklik!$A78,Bilanço!$A:$A,0),0)-HLOOKUP(H$1,Bilanço!$1:$151,MATCH(Çeyreklik!$A78,Bilanço!$A:$A,0),0)),"")</f>
        <v>2985113000</v>
      </c>
      <c r="J78" s="2">
        <f>IFERROR(IF(MID(J$2,6,7)="3",HLOOKUP(J$1,Bilanço!$1:$151,MATCH(Çeyreklik!$A78,Bilanço!$A:$A,0),0),HLOOKUP(J$1,Bilanço!$1:$151,MATCH(Çeyreklik!$A78,Bilanço!$A:$A,0),0)-HLOOKUP(I$1,Bilanço!$1:$151,MATCH(Çeyreklik!$A78,Bilanço!$A:$A,0),0)),"")</f>
        <v>338939000</v>
      </c>
      <c r="K78" s="2">
        <f>IFERROR(IF(MID(K$2,6,7)="3",HLOOKUP(K$1,Bilanço!$1:$151,MATCH(Çeyreklik!$A78,Bilanço!$A:$A,0),0),HLOOKUP(K$1,Bilanço!$1:$151,MATCH(Çeyreklik!$A78,Bilanço!$A:$A,0),0)-HLOOKUP(J$1,Bilanço!$1:$151,MATCH(Çeyreklik!$A78,Bilanço!$A:$A,0),0)),"")</f>
        <v>441359000</v>
      </c>
      <c r="L78" s="2">
        <f>IFERROR(IF(MID(L$2,6,7)="3",HLOOKUP(L$1,Bilanço!$1:$151,MATCH(Çeyreklik!$A78,Bilanço!$A:$A,0),0),HLOOKUP(L$1,Bilanço!$1:$151,MATCH(Çeyreklik!$A78,Bilanço!$A:$A,0),0)-HLOOKUP(K$1,Bilanço!$1:$151,MATCH(Çeyreklik!$A78,Bilanço!$A:$A,0),0)),"")</f>
        <v>11484049000</v>
      </c>
      <c r="M78" s="2">
        <f>IFERROR(IF(MID(M$2,6,7)="3",HLOOKUP(M$1,Bilanço!$1:$151,MATCH(Çeyreklik!$A78,Bilanço!$A:$A,0),0),HLOOKUP(M$1,Bilanço!$1:$151,MATCH(Çeyreklik!$A78,Bilanço!$A:$A,0),0)-HLOOKUP(L$1,Bilanço!$1:$151,MATCH(Çeyreklik!$A78,Bilanço!$A:$A,0),0)),"")</f>
        <v>16616158000</v>
      </c>
      <c r="N78" s="2">
        <f>IFERROR(IF(MID(N$2,6,7)="3",HLOOKUP(N$1,Bilanço!$1:$151,MATCH(Çeyreklik!$A78,Bilanço!$A:$A,0),0),HLOOKUP(N$1,Bilanço!$1:$151,MATCH(Çeyreklik!$A78,Bilanço!$A:$A,0),0)-HLOOKUP(M$1,Bilanço!$1:$151,MATCH(Çeyreklik!$A78,Bilanço!$A:$A,0),0)),"")</f>
        <v>-1587655000</v>
      </c>
      <c r="O78" s="2">
        <f>IFERROR(IF(MID(O$2,6,7)="3",HLOOKUP(O$1,Bilanço!$1:$151,MATCH(Çeyreklik!$A78,Bilanço!$A:$A,0),0),HLOOKUP(O$1,Bilanço!$1:$151,MATCH(Çeyreklik!$A78,Bilanço!$A:$A,0),0)-HLOOKUP(N$1,Bilanço!$1:$151,MATCH(Çeyreklik!$A78,Bilanço!$A:$A,0),0)),"")</f>
        <v>-563629000</v>
      </c>
      <c r="P78" s="2">
        <f>IFERROR(IF(MID(P$2,6,7)="3",HLOOKUP(P$1,Bilanço!$1:$151,MATCH(Çeyreklik!$A78,Bilanço!$A:$A,0),0),HLOOKUP(P$1,Bilanço!$1:$151,MATCH(Çeyreklik!$A78,Bilanço!$A:$A,0),0)-HLOOKUP(O$1,Bilanço!$1:$151,MATCH(Çeyreklik!$A78,Bilanço!$A:$A,0),0)),"")</f>
        <v>2365680000</v>
      </c>
      <c r="Q78" s="2">
        <f>IFERROR(IF(MID(Q$2,6,7)="3",HLOOKUP(Q$1,Bilanço!$1:$151,MATCH(Çeyreklik!$A78,Bilanço!$A:$A,0),0),HLOOKUP(Q$1,Bilanço!$1:$151,MATCH(Çeyreklik!$A78,Bilanço!$A:$A,0),0)-HLOOKUP(P$1,Bilanço!$1:$151,MATCH(Çeyreklik!$A78,Bilanço!$A:$A,0),0)),"")</f>
        <v>17487388000</v>
      </c>
      <c r="R78" s="2">
        <f>IFERROR(IF(MID(R$2,6,7)="3",HLOOKUP(R$1,Bilanço!$1:$151,MATCH(Çeyreklik!$A78,Bilanço!$A:$A,0),0),HLOOKUP(R$1,Bilanço!$1:$151,MATCH(Çeyreklik!$A78,Bilanço!$A:$A,0),0)-HLOOKUP(Q$1,Bilanço!$1:$151,MATCH(Çeyreklik!$A78,Bilanço!$A:$A,0),0)),"")</f>
        <v>5099291000</v>
      </c>
      <c r="S78" s="2">
        <f>IFERROR(IF(MID(S$2,6,7)="3",HLOOKUP(S$1,Bilanço!$1:$151,MATCH(Çeyreklik!$A78,Bilanço!$A:$A,0),0),HLOOKUP(S$1,Bilanço!$1:$151,MATCH(Çeyreklik!$A78,Bilanço!$A:$A,0),0)-HLOOKUP(R$1,Bilanço!$1:$151,MATCH(Çeyreklik!$A78,Bilanço!$A:$A,0),0)),"")</f>
        <v>8509922000</v>
      </c>
      <c r="T78" s="2">
        <f>IFERROR(IF(MID(T$2,6,7)="3",HLOOKUP(T$1,Bilanço!$1:$151,MATCH(Çeyreklik!$A78,Bilanço!$A:$A,0),0),HLOOKUP(T$1,Bilanço!$1:$151,MATCH(Çeyreklik!$A78,Bilanço!$A:$A,0),0)-HLOOKUP(S$1,Bilanço!$1:$151,MATCH(Çeyreklik!$A78,Bilanço!$A:$A,0),0)),"")</f>
        <v>1901595584</v>
      </c>
      <c r="U78" s="2">
        <f>IFERROR(IF(MID(U$2,6,7)="3",HLOOKUP(U$1,Bilanço!$1:$151,MATCH(Çeyreklik!$A78,Bilanço!$A:$A,0),0),HLOOKUP(U$1,Bilanço!$1:$151,MATCH(Çeyreklik!$A78,Bilanço!$A:$A,0),0)-HLOOKUP(T$1,Bilanço!$1:$151,MATCH(Çeyreklik!$A78,Bilanço!$A:$A,0),0)),"")</f>
        <v>23936928000</v>
      </c>
      <c r="V78" s="2">
        <f>IFERROR(IF(MID(V$2,6,7)="3",HLOOKUP(V$1,Bilanço!$1:$151,MATCH(Çeyreklik!$A78,Bilanço!$A:$A,0),0),HLOOKUP(V$1,Bilanço!$1:$151,MATCH(Çeyreklik!$A78,Bilanço!$A:$A,0),0)-HLOOKUP(U$1,Bilanço!$1:$151,MATCH(Çeyreklik!$A78,Bilanço!$A:$A,0),0)),"")</f>
        <v>3454460000</v>
      </c>
      <c r="W78" s="2">
        <f>IFERROR(IF(MID(W$2,6,7)="3",HLOOKUP(W$1,Bilanço!$1:$151,MATCH(Çeyreklik!$A78,Bilanço!$A:$A,0),0),HLOOKUP(W$1,Bilanço!$1:$151,MATCH(Çeyreklik!$A78,Bilanço!$A:$A,0),0)-HLOOKUP(V$1,Bilanço!$1:$151,MATCH(Çeyreklik!$A78,Bilanço!$A:$A,0),0)),"")</f>
        <v>2178868000</v>
      </c>
    </row>
    <row r="79" spans="1:23" x14ac:dyDescent="0.25">
      <c r="A79" t="s">
        <v>150</v>
      </c>
      <c r="B79" s="3">
        <f>IFERROR(B12+(B13+B14+B15)+B45,"")</f>
        <v>379779000</v>
      </c>
      <c r="C79" s="3">
        <f t="shared" ref="C79:W79" si="4">IFERROR(C12+(C13+C14+C15)+C45,"")</f>
        <v>579565000</v>
      </c>
      <c r="D79" s="3">
        <f t="shared" si="4"/>
        <v>547549000</v>
      </c>
      <c r="E79" s="3">
        <f t="shared" si="4"/>
        <v>546384000</v>
      </c>
      <c r="F79" s="3">
        <f t="shared" si="4"/>
        <v>446624000</v>
      </c>
      <c r="G79" s="3">
        <f t="shared" si="4"/>
        <v>502743000</v>
      </c>
      <c r="H79" s="3">
        <f t="shared" si="4"/>
        <v>832608000</v>
      </c>
      <c r="I79" s="3">
        <f t="shared" si="4"/>
        <v>1244625000</v>
      </c>
      <c r="J79" s="3">
        <f t="shared" si="4"/>
        <v>1134371000</v>
      </c>
      <c r="K79" s="3">
        <f t="shared" si="4"/>
        <v>1253750000</v>
      </c>
      <c r="L79" s="3">
        <f t="shared" si="4"/>
        <v>3070158000</v>
      </c>
      <c r="M79" s="3">
        <f t="shared" si="4"/>
        <v>3841997000</v>
      </c>
      <c r="N79" s="3">
        <f t="shared" si="4"/>
        <v>3423242000</v>
      </c>
      <c r="O79" s="3">
        <f t="shared" si="4"/>
        <v>3736814000</v>
      </c>
      <c r="P79" s="3">
        <f t="shared" si="4"/>
        <v>4302946000</v>
      </c>
      <c r="Q79" s="3">
        <f t="shared" si="4"/>
        <v>5582526000</v>
      </c>
      <c r="R79" s="3">
        <f t="shared" si="4"/>
        <v>4299106000</v>
      </c>
      <c r="S79" s="3">
        <f t="shared" si="4"/>
        <v>4609761000</v>
      </c>
      <c r="T79" s="3">
        <f t="shared" si="4"/>
        <v>5070549075</v>
      </c>
      <c r="U79" s="3">
        <f t="shared" si="4"/>
        <v>5484460000</v>
      </c>
      <c r="V79" s="3">
        <f t="shared" si="4"/>
        <v>3701265000</v>
      </c>
      <c r="W79" s="3">
        <f t="shared" si="4"/>
        <v>5196782000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B3E2-B4BC-4A7B-A91B-FBB751F19079}">
  <dimension ref="A1:T116"/>
  <sheetViews>
    <sheetView topLeftCell="A49" zoomScale="70" zoomScaleNormal="70" workbookViewId="0">
      <selection activeCell="S83" sqref="S83:T83"/>
    </sheetView>
  </sheetViews>
  <sheetFormatPr defaultRowHeight="15" x14ac:dyDescent="0.25"/>
  <cols>
    <col min="1" max="1" width="65" bestFit="1" customWidth="1"/>
    <col min="2" max="6" width="15.85546875" bestFit="1" customWidth="1"/>
    <col min="7" max="18" width="16.85546875" bestFit="1" customWidth="1"/>
    <col min="19" max="20" width="18.7109375" bestFit="1" customWidth="1"/>
  </cols>
  <sheetData>
    <row r="1" spans="1:20" x14ac:dyDescent="0.25">
      <c r="B1">
        <f>Çeyreklik!B1-3</f>
        <v>20</v>
      </c>
      <c r="C1">
        <f>B1-1</f>
        <v>19</v>
      </c>
      <c r="D1">
        <f t="shared" ref="D1:T1" si="0">C1-1</f>
        <v>18</v>
      </c>
      <c r="E1">
        <f t="shared" si="0"/>
        <v>17</v>
      </c>
      <c r="F1">
        <f t="shared" si="0"/>
        <v>16</v>
      </c>
      <c r="G1">
        <f t="shared" si="0"/>
        <v>15</v>
      </c>
      <c r="H1">
        <f t="shared" si="0"/>
        <v>14</v>
      </c>
      <c r="I1">
        <f t="shared" si="0"/>
        <v>13</v>
      </c>
      <c r="J1">
        <f t="shared" si="0"/>
        <v>12</v>
      </c>
      <c r="K1">
        <f t="shared" si="0"/>
        <v>11</v>
      </c>
      <c r="L1">
        <f t="shared" si="0"/>
        <v>10</v>
      </c>
      <c r="M1">
        <f t="shared" si="0"/>
        <v>9</v>
      </c>
      <c r="N1">
        <f t="shared" si="0"/>
        <v>8</v>
      </c>
      <c r="O1">
        <f t="shared" si="0"/>
        <v>7</v>
      </c>
      <c r="P1">
        <f t="shared" si="0"/>
        <v>6</v>
      </c>
      <c r="Q1">
        <f t="shared" si="0"/>
        <v>5</v>
      </c>
      <c r="R1">
        <f t="shared" si="0"/>
        <v>4</v>
      </c>
      <c r="S1">
        <f t="shared" si="0"/>
        <v>3</v>
      </c>
      <c r="T1">
        <f t="shared" si="0"/>
        <v>2</v>
      </c>
    </row>
    <row r="2" spans="1:20" x14ac:dyDescent="0.25">
      <c r="A2" t="str">
        <f>Çeyreklik!A2</f>
        <v>Bilanço</v>
      </c>
      <c r="B2" t="str">
        <f>IFERROR(HLOOKUP(B$1,Data!$1:$149,ROW(Bilanço!$A2),0),"")</f>
        <v>2021/3</v>
      </c>
      <c r="C2" t="str">
        <f>IFERROR(HLOOKUP(C$1,Data!$1:$149,ROW(Bilanço!$A2),0),"")</f>
        <v>2021/6</v>
      </c>
      <c r="D2" t="str">
        <f>IFERROR(HLOOKUP(D$1,Data!$1:$149,ROW(Bilanço!$A2),0),"")</f>
        <v>2021/9</v>
      </c>
      <c r="E2" t="str">
        <f>IFERROR(HLOOKUP(E$1,Data!$1:$149,ROW(Bilanço!$A2),0),"")</f>
        <v>2021/12</v>
      </c>
      <c r="F2" t="str">
        <f>IFERROR(HLOOKUP(F$1,Data!$1:$149,ROW(Bilanço!$A2),0),"")</f>
        <v>2022/3</v>
      </c>
      <c r="G2" t="str">
        <f>IFERROR(HLOOKUP(G$1,Data!$1:$149,ROW(Bilanço!$A2),0),"")</f>
        <v>2022/6</v>
      </c>
      <c r="H2" t="str">
        <f>IFERROR(HLOOKUP(H$1,Data!$1:$149,ROW(Bilanço!$A2),0),"")</f>
        <v>2022/9</v>
      </c>
      <c r="I2" t="str">
        <f>IFERROR(HLOOKUP(I$1,Data!$1:$149,ROW(Bilanço!$A2),0),"")</f>
        <v>2022/12</v>
      </c>
      <c r="J2" t="str">
        <f>IFERROR(HLOOKUP(J$1,Data!$1:$149,ROW(Bilanço!$A2),0),"")</f>
        <v>2023/3</v>
      </c>
      <c r="K2" t="str">
        <f>IFERROR(HLOOKUP(K$1,Data!$1:$149,ROW(Bilanço!$A2),0),"")</f>
        <v>2023/6</v>
      </c>
      <c r="L2" t="str">
        <f>IFERROR(HLOOKUP(L$1,Data!$1:$149,ROW(Bilanço!$A2),0),"")</f>
        <v>2023/9</v>
      </c>
      <c r="M2" t="str">
        <f>IFERROR(HLOOKUP(M$1,Data!$1:$149,ROW(Bilanço!$A2),0),"")</f>
        <v>2023/12</v>
      </c>
      <c r="N2" t="str">
        <f>IFERROR(HLOOKUP(N$1,Data!$1:$149,ROW(Bilanço!$A2),0),"")</f>
        <v>2024/3</v>
      </c>
      <c r="O2" t="str">
        <f>IFERROR(HLOOKUP(O$1,Data!$1:$149,ROW(Bilanço!$A2),0),"")</f>
        <v>2024/6</v>
      </c>
      <c r="P2" t="str">
        <f>IFERROR(HLOOKUP(P$1,Data!$1:$149,ROW(Bilanço!$A2),0),"")</f>
        <v>2024/9</v>
      </c>
      <c r="Q2" t="str">
        <f>IFERROR(HLOOKUP(Q$1,Data!$1:$149,ROW(Bilanço!$A2),0),"")</f>
        <v>2024/12</v>
      </c>
      <c r="R2" t="str">
        <f>IFERROR(HLOOKUP(R$1,Data!$1:$149,ROW(Bilanço!$A2),0),"")</f>
        <v>2025/3</v>
      </c>
      <c r="S2" t="str">
        <f>IFERROR(HLOOKUP(S$1,Data!$1:$149,ROW(Bilanço!$A2),0),"")</f>
        <v>2025/6</v>
      </c>
      <c r="T2" t="str">
        <f>IFERROR(HLOOKUP(T$1,Data!$1:$149,ROW(Bilanço!$A2),0),"")</f>
        <v>2025/9</v>
      </c>
    </row>
    <row r="3" spans="1:20" x14ac:dyDescent="0.25">
      <c r="A3" t="str">
        <f>Çeyreklik!A3</f>
        <v>Satış Gelirleri</v>
      </c>
      <c r="B3" s="2">
        <f>IF(AND(Çeyreklik!B3&lt;&gt;"",Çeyreklik!C3&lt;&gt;"",Çeyreklik!D3&lt;&gt;"",Çeyreklik!E3&lt;&gt;""),Çeyreklik!B3+Çeyreklik!C3+Çeyreklik!D3+Çeyreklik!E3,"")</f>
        <v>10123261000</v>
      </c>
      <c r="C3" s="2">
        <f>IF(AND(Çeyreklik!C3&lt;&gt;"",Çeyreklik!D3&lt;&gt;"",Çeyreklik!E3&lt;&gt;"",Çeyreklik!F3&lt;&gt;""),Çeyreklik!C3+Çeyreklik!D3+Çeyreklik!E3+Çeyreklik!F3,"")</f>
        <v>10637687000</v>
      </c>
      <c r="D3" s="2">
        <f>IF(AND(Çeyreklik!D3&lt;&gt;"",Çeyreklik!E3&lt;&gt;"",Çeyreklik!F3&lt;&gt;"",Çeyreklik!G3&lt;&gt;""),Çeyreklik!D3+Çeyreklik!E3+Çeyreklik!F3+Çeyreklik!G3,"")</f>
        <v>11157975000</v>
      </c>
      <c r="E3" s="2">
        <f>IF(AND(Çeyreklik!E3&lt;&gt;"",Çeyreklik!F3&lt;&gt;"",Çeyreklik!G3&lt;&gt;"",Çeyreklik!H3&lt;&gt;""),Çeyreklik!E3+Çeyreklik!F3+Çeyreklik!G3+Çeyreklik!H3,"")</f>
        <v>12537080000</v>
      </c>
      <c r="F3" s="2">
        <f>IF(AND(Çeyreklik!F3&lt;&gt;"",Çeyreklik!G3&lt;&gt;"",Çeyreklik!H3&lt;&gt;"",Çeyreklik!I3&lt;&gt;""),Çeyreklik!F3+Çeyreklik!G3+Çeyreklik!H3+Çeyreklik!I3,"")</f>
        <v>15639341000</v>
      </c>
      <c r="G3" s="2">
        <f>IF(AND(Çeyreklik!G3&lt;&gt;"",Çeyreklik!H3&lt;&gt;"",Çeyreklik!I3&lt;&gt;"",Çeyreklik!J3&lt;&gt;""),Çeyreklik!G3+Çeyreklik!H3+Çeyreklik!I3+Çeyreklik!J3,"")</f>
        <v>18971316000</v>
      </c>
      <c r="H3" s="2">
        <f>IF(AND(Çeyreklik!H3&lt;&gt;"",Çeyreklik!I3&lt;&gt;"",Çeyreklik!J3&lt;&gt;"",Çeyreklik!K3&lt;&gt;""),Çeyreklik!H3+Çeyreklik!I3+Çeyreklik!J3+Çeyreklik!K3,"")</f>
        <v>23297003000</v>
      </c>
      <c r="I3" s="2">
        <f>IF(AND(Çeyreklik!I3&lt;&gt;"",Çeyreklik!J3&lt;&gt;"",Çeyreklik!K3&lt;&gt;"",Çeyreklik!L3&lt;&gt;""),Çeyreklik!I3+Çeyreklik!J3+Çeyreklik!K3+Çeyreklik!L3,"")</f>
        <v>51981208000</v>
      </c>
      <c r="J3" s="2">
        <f>IF(AND(Çeyreklik!J3&lt;&gt;"",Çeyreklik!K3&lt;&gt;"",Çeyreklik!L3&lt;&gt;"",Çeyreklik!M3&lt;&gt;""),Çeyreklik!J3+Çeyreklik!K3+Çeyreklik!L3+Çeyreklik!M3,"")</f>
        <v>64900028000</v>
      </c>
      <c r="K3" s="2">
        <f>IF(AND(Çeyreklik!K3&lt;&gt;"",Çeyreklik!L3&lt;&gt;"",Çeyreklik!M3&lt;&gt;"",Çeyreklik!N3&lt;&gt;""),Çeyreklik!K3+Çeyreklik!L3+Çeyreklik!M3+Çeyreklik!N3,"")</f>
        <v>78444405000</v>
      </c>
      <c r="L3" s="2">
        <f>IF(AND(Çeyreklik!L3&lt;&gt;"",Çeyreklik!M3&lt;&gt;"",Çeyreklik!N3&lt;&gt;"",Çeyreklik!O3&lt;&gt;""),Çeyreklik!L3+Çeyreklik!M3+Çeyreklik!N3+Çeyreklik!O3,"")</f>
        <v>88951991000</v>
      </c>
      <c r="M3" s="2">
        <f>IF(AND(Çeyreklik!M3&lt;&gt;"",Çeyreklik!N3&lt;&gt;"",Çeyreklik!O3&lt;&gt;"",Çeyreklik!P3&lt;&gt;""),Çeyreklik!M3+Çeyreklik!N3+Çeyreklik!O3+Çeyreklik!P3,"")</f>
        <v>80615534000</v>
      </c>
      <c r="N3" s="2">
        <f>IF(AND(Çeyreklik!N3&lt;&gt;"",Çeyreklik!O3&lt;&gt;"",Çeyreklik!P3&lt;&gt;"",Çeyreklik!Q3&lt;&gt;""),Çeyreklik!N3+Çeyreklik!O3+Çeyreklik!P3+Çeyreklik!Q3,"")</f>
        <v>88880339000</v>
      </c>
      <c r="O3" s="2">
        <f>IF(AND(Çeyreklik!O3&lt;&gt;"",Çeyreklik!P3&lt;&gt;"",Çeyreklik!Q3&lt;&gt;"",Çeyreklik!R3&lt;&gt;""),Çeyreklik!O3+Çeyreklik!P3+Çeyreklik!Q3+Çeyreklik!R3,"")</f>
        <v>91645961000</v>
      </c>
      <c r="P3" s="2">
        <f>IF(AND(Çeyreklik!P3&lt;&gt;"",Çeyreklik!Q3&lt;&gt;"",Çeyreklik!R3&lt;&gt;"",Çeyreklik!S3&lt;&gt;""),Çeyreklik!P3+Çeyreklik!Q3+Çeyreklik!R3+Çeyreklik!S3,"")</f>
        <v>101796238000</v>
      </c>
      <c r="Q3" s="2">
        <f>IF(AND(Çeyreklik!Q3&lt;&gt;"",Çeyreklik!R3&lt;&gt;"",Çeyreklik!S3&lt;&gt;"",Çeyreklik!T3&lt;&gt;""),Çeyreklik!Q3+Çeyreklik!R3+Çeyreklik!S3+Çeyreklik!T3,"")</f>
        <v>105483659375</v>
      </c>
      <c r="R3" s="2">
        <f>IF(AND(Çeyreklik!R3&lt;&gt;"",Çeyreklik!S3&lt;&gt;"",Çeyreklik!T3&lt;&gt;"",Çeyreklik!U3&lt;&gt;""),Çeyreklik!R3+Çeyreklik!S3+Çeyreklik!T3+Çeyreklik!U3,"")</f>
        <v>105376333375</v>
      </c>
      <c r="S3" s="2">
        <f>IF(AND(Çeyreklik!S3&lt;&gt;"",Çeyreklik!T3&lt;&gt;"",Çeyreklik!U3&lt;&gt;"",Çeyreklik!V3&lt;&gt;""),Çeyreklik!S3+Çeyreklik!T3+Çeyreklik!U3+Çeyreklik!V3,"")</f>
        <v>107752528375</v>
      </c>
      <c r="T3" s="2">
        <f>IF(AND(Çeyreklik!T3&lt;&gt;"",Çeyreklik!U3&lt;&gt;"",Çeyreklik!V3&lt;&gt;"",Çeyreklik!W3&lt;&gt;""),Çeyreklik!T3+Çeyreklik!U3+Çeyreklik!V3+Çeyreklik!W3,"")</f>
        <v>109079207375</v>
      </c>
    </row>
    <row r="4" spans="1:20" x14ac:dyDescent="0.25">
      <c r="A4" t="str">
        <f>Çeyreklik!A4</f>
        <v>Satışların Maliyeti (-)</v>
      </c>
      <c r="B4" s="2">
        <f>IF(AND(Çeyreklik!B4&lt;&gt;"",Çeyreklik!C4&lt;&gt;"",Çeyreklik!D4&lt;&gt;"",Çeyreklik!E4&lt;&gt;""),Çeyreklik!B4+Çeyreklik!C4+Çeyreklik!D4+Çeyreklik!E4,"")</f>
        <v>-7039946000</v>
      </c>
      <c r="C4" s="2">
        <f>IF(AND(Çeyreklik!C4&lt;&gt;"",Çeyreklik!D4&lt;&gt;"",Çeyreklik!E4&lt;&gt;"",Çeyreklik!F4&lt;&gt;""),Çeyreklik!C4+Çeyreklik!D4+Çeyreklik!E4+Çeyreklik!F4,"")</f>
        <v>-7430149000</v>
      </c>
      <c r="D4" s="2">
        <f>IF(AND(Çeyreklik!D4&lt;&gt;"",Çeyreklik!E4&lt;&gt;"",Çeyreklik!F4&lt;&gt;"",Çeyreklik!G4&lt;&gt;""),Çeyreklik!D4+Çeyreklik!E4+Çeyreklik!F4+Çeyreklik!G4,"")</f>
        <v>-7955169000</v>
      </c>
      <c r="E4" s="2">
        <f>IF(AND(Çeyreklik!E4&lt;&gt;"",Çeyreklik!F4&lt;&gt;"",Çeyreklik!G4&lt;&gt;"",Çeyreklik!H4&lt;&gt;""),Çeyreklik!E4+Çeyreklik!F4+Çeyreklik!G4+Çeyreklik!H4,"")</f>
        <v>-8924665000</v>
      </c>
      <c r="F4" s="2">
        <f>IF(AND(Çeyreklik!F4&lt;&gt;"",Çeyreklik!G4&lt;&gt;"",Çeyreklik!H4&lt;&gt;"",Çeyreklik!I4&lt;&gt;""),Çeyreklik!F4+Çeyreklik!G4+Çeyreklik!H4+Çeyreklik!I4,"")</f>
        <v>-11040174000</v>
      </c>
      <c r="G4" s="2">
        <f>IF(AND(Çeyreklik!G4&lt;&gt;"",Çeyreklik!H4&lt;&gt;"",Çeyreklik!I4&lt;&gt;"",Çeyreklik!J4&lt;&gt;""),Çeyreklik!G4+Çeyreklik!H4+Çeyreklik!I4+Çeyreklik!J4,"")</f>
        <v>-13385797000</v>
      </c>
      <c r="H4" s="2">
        <f>IF(AND(Çeyreklik!H4&lt;&gt;"",Çeyreklik!I4&lt;&gt;"",Çeyreklik!J4&lt;&gt;"",Çeyreklik!K4&lt;&gt;""),Çeyreklik!H4+Çeyreklik!I4+Çeyreklik!J4+Çeyreklik!K4,"")</f>
        <v>-16494766000</v>
      </c>
      <c r="I4" s="2">
        <f>IF(AND(Çeyreklik!I4&lt;&gt;"",Çeyreklik!J4&lt;&gt;"",Çeyreklik!K4&lt;&gt;"",Çeyreklik!L4&lt;&gt;""),Çeyreklik!I4+Çeyreklik!J4+Çeyreklik!K4+Çeyreklik!L4,"")</f>
        <v>-40653018000</v>
      </c>
      <c r="J4" s="2">
        <f>IF(AND(Çeyreklik!J4&lt;&gt;"",Çeyreklik!K4&lt;&gt;"",Çeyreklik!L4&lt;&gt;"",Çeyreklik!M4&lt;&gt;""),Çeyreklik!J4+Çeyreklik!K4+Çeyreklik!L4+Çeyreklik!M4,"")</f>
        <v>-49641193000</v>
      </c>
      <c r="K4" s="2">
        <f>IF(AND(Çeyreklik!K4&lt;&gt;"",Çeyreklik!L4&lt;&gt;"",Çeyreklik!M4&lt;&gt;"",Çeyreklik!N4&lt;&gt;""),Çeyreklik!K4+Çeyreklik!L4+Çeyreklik!M4+Çeyreklik!N4,"")</f>
        <v>-59482855000</v>
      </c>
      <c r="L4" s="2">
        <f>IF(AND(Çeyreklik!L4&lt;&gt;"",Çeyreklik!M4&lt;&gt;"",Çeyreklik!N4&lt;&gt;"",Çeyreklik!O4&lt;&gt;""),Çeyreklik!L4+Çeyreklik!M4+Çeyreklik!N4+Çeyreklik!O4,"")</f>
        <v>-66610629000</v>
      </c>
      <c r="M4" s="2">
        <f>IF(AND(Çeyreklik!M4&lt;&gt;"",Çeyreklik!N4&lt;&gt;"",Çeyreklik!O4&lt;&gt;"",Çeyreklik!P4&lt;&gt;""),Çeyreklik!M4+Çeyreklik!N4+Çeyreklik!O4+Çeyreklik!P4,"")</f>
        <v>-57260016000</v>
      </c>
      <c r="N4" s="2">
        <f>IF(AND(Çeyreklik!N4&lt;&gt;"",Çeyreklik!O4&lt;&gt;"",Çeyreklik!P4&lt;&gt;"",Çeyreklik!Q4&lt;&gt;""),Çeyreklik!N4+Çeyreklik!O4+Çeyreklik!P4+Çeyreklik!Q4,"")</f>
        <v>-62652293000</v>
      </c>
      <c r="O4" s="2">
        <f>IF(AND(Çeyreklik!O4&lt;&gt;"",Çeyreklik!P4&lt;&gt;"",Çeyreklik!Q4&lt;&gt;"",Çeyreklik!R4&lt;&gt;""),Çeyreklik!O4+Çeyreklik!P4+Çeyreklik!Q4+Çeyreklik!R4,"")</f>
        <v>-63982065000</v>
      </c>
      <c r="P4" s="2">
        <f>IF(AND(Çeyreklik!P4&lt;&gt;"",Çeyreklik!Q4&lt;&gt;"",Çeyreklik!R4&lt;&gt;"",Çeyreklik!S4&lt;&gt;""),Çeyreklik!P4+Çeyreklik!Q4+Çeyreklik!R4+Çeyreklik!S4,"")</f>
        <v>-71798099000</v>
      </c>
      <c r="Q4" s="2">
        <f>IF(AND(Çeyreklik!Q4&lt;&gt;"",Çeyreklik!R4&lt;&gt;"",Çeyreklik!S4&lt;&gt;"",Çeyreklik!T4&lt;&gt;""),Çeyreklik!Q4+Çeyreklik!R4+Çeyreklik!S4+Çeyreklik!T4,"")</f>
        <v>-74043027344</v>
      </c>
      <c r="R4" s="2">
        <f>IF(AND(Çeyreklik!R4&lt;&gt;"",Çeyreklik!S4&lt;&gt;"",Çeyreklik!T4&lt;&gt;"",Çeyreklik!U4&lt;&gt;""),Çeyreklik!R4+Çeyreklik!S4+Çeyreklik!T4+Çeyreklik!U4,"")</f>
        <v>-73572502344</v>
      </c>
      <c r="S4" s="2">
        <f>IF(AND(Çeyreklik!S4&lt;&gt;"",Çeyreklik!T4&lt;&gt;"",Çeyreklik!U4&lt;&gt;"",Çeyreklik!V4&lt;&gt;""),Çeyreklik!S4+Çeyreklik!T4+Çeyreklik!U4+Çeyreklik!V4,"")</f>
        <v>-75962039344</v>
      </c>
      <c r="T4" s="2">
        <f>IF(AND(Çeyreklik!T4&lt;&gt;"",Çeyreklik!U4&lt;&gt;"",Çeyreklik!V4&lt;&gt;"",Çeyreklik!W4&lt;&gt;""),Çeyreklik!T4+Çeyreklik!U4+Çeyreklik!V4+Çeyreklik!W4,"")</f>
        <v>-76405089344</v>
      </c>
    </row>
    <row r="5" spans="1:20" x14ac:dyDescent="0.25">
      <c r="A5" t="str">
        <f>Çeyreklik!A5</f>
        <v>Ticari Faaliyetlerden Diğer Kar (Zarar)</v>
      </c>
      <c r="B5" s="2">
        <f>IF(AND(Çeyreklik!B5&lt;&gt;"",Çeyreklik!C5&lt;&gt;"",Çeyreklik!D5&lt;&gt;"",Çeyreklik!E5&lt;&gt;""),Çeyreklik!B5+Çeyreklik!C5+Çeyreklik!D5+Çeyreklik!E5,"")</f>
        <v>0</v>
      </c>
      <c r="C5" s="2">
        <f>IF(AND(Çeyreklik!C5&lt;&gt;"",Çeyreklik!D5&lt;&gt;"",Çeyreklik!E5&lt;&gt;"",Çeyreklik!F5&lt;&gt;""),Çeyreklik!C5+Çeyreklik!D5+Çeyreklik!E5+Çeyreklik!F5,"")</f>
        <v>0</v>
      </c>
      <c r="D5" s="2">
        <f>IF(AND(Çeyreklik!D5&lt;&gt;"",Çeyreklik!E5&lt;&gt;"",Çeyreklik!F5&lt;&gt;"",Çeyreklik!G5&lt;&gt;""),Çeyreklik!D5+Çeyreklik!E5+Çeyreklik!F5+Çeyreklik!G5,"")</f>
        <v>0</v>
      </c>
      <c r="E5" s="2">
        <f>IF(AND(Çeyreklik!E5&lt;&gt;"",Çeyreklik!F5&lt;&gt;"",Çeyreklik!G5&lt;&gt;"",Çeyreklik!H5&lt;&gt;""),Çeyreklik!E5+Çeyreklik!F5+Çeyreklik!G5+Çeyreklik!H5,"")</f>
        <v>0</v>
      </c>
      <c r="F5" s="2">
        <f>IF(AND(Çeyreklik!F5&lt;&gt;"",Çeyreklik!G5&lt;&gt;"",Çeyreklik!H5&lt;&gt;"",Çeyreklik!I5&lt;&gt;""),Çeyreklik!F5+Çeyreklik!G5+Çeyreklik!H5+Çeyreklik!I5,"")</f>
        <v>0</v>
      </c>
      <c r="G5" s="2">
        <f>IF(AND(Çeyreklik!G5&lt;&gt;"",Çeyreklik!H5&lt;&gt;"",Çeyreklik!I5&lt;&gt;"",Çeyreklik!J5&lt;&gt;""),Çeyreklik!G5+Çeyreklik!H5+Çeyreklik!I5+Çeyreklik!J5,"")</f>
        <v>0</v>
      </c>
      <c r="H5" s="2">
        <f>IF(AND(Çeyreklik!H5&lt;&gt;"",Çeyreklik!I5&lt;&gt;"",Çeyreklik!J5&lt;&gt;"",Çeyreklik!K5&lt;&gt;""),Çeyreklik!H5+Çeyreklik!I5+Çeyreklik!J5+Çeyreklik!K5,"")</f>
        <v>0</v>
      </c>
      <c r="I5" s="2">
        <f>IF(AND(Çeyreklik!I5&lt;&gt;"",Çeyreklik!J5&lt;&gt;"",Çeyreklik!K5&lt;&gt;"",Çeyreklik!L5&lt;&gt;""),Çeyreklik!I5+Çeyreklik!J5+Çeyreklik!K5+Çeyreklik!L5,"")</f>
        <v>0</v>
      </c>
      <c r="J5" s="2">
        <f>IF(AND(Çeyreklik!J5&lt;&gt;"",Çeyreklik!K5&lt;&gt;"",Çeyreklik!L5&lt;&gt;"",Çeyreklik!M5&lt;&gt;""),Çeyreklik!J5+Çeyreklik!K5+Çeyreklik!L5+Çeyreklik!M5,"")</f>
        <v>0</v>
      </c>
      <c r="K5" s="2">
        <f>IF(AND(Çeyreklik!K5&lt;&gt;"",Çeyreklik!L5&lt;&gt;"",Çeyreklik!M5&lt;&gt;"",Çeyreklik!N5&lt;&gt;""),Çeyreklik!K5+Çeyreklik!L5+Çeyreklik!M5+Çeyreklik!N5,"")</f>
        <v>0</v>
      </c>
      <c r="L5" s="2">
        <f>IF(AND(Çeyreklik!L5&lt;&gt;"",Çeyreklik!M5&lt;&gt;"",Çeyreklik!N5&lt;&gt;"",Çeyreklik!O5&lt;&gt;""),Çeyreklik!L5+Çeyreklik!M5+Çeyreklik!N5+Çeyreklik!O5,"")</f>
        <v>0</v>
      </c>
      <c r="M5" s="2">
        <f>IF(AND(Çeyreklik!M5&lt;&gt;"",Çeyreklik!N5&lt;&gt;"",Çeyreklik!O5&lt;&gt;"",Çeyreklik!P5&lt;&gt;""),Çeyreklik!M5+Çeyreklik!N5+Çeyreklik!O5+Çeyreklik!P5,"")</f>
        <v>0</v>
      </c>
      <c r="N5" s="2">
        <f>IF(AND(Çeyreklik!N5&lt;&gt;"",Çeyreklik!O5&lt;&gt;"",Çeyreklik!P5&lt;&gt;"",Çeyreklik!Q5&lt;&gt;""),Çeyreklik!N5+Çeyreklik!O5+Çeyreklik!P5+Çeyreklik!Q5,"")</f>
        <v>0</v>
      </c>
      <c r="O5" s="2">
        <f>IF(AND(Çeyreklik!O5&lt;&gt;"",Çeyreklik!P5&lt;&gt;"",Çeyreklik!Q5&lt;&gt;"",Çeyreklik!R5&lt;&gt;""),Çeyreklik!O5+Çeyreklik!P5+Çeyreklik!Q5+Çeyreklik!R5,"")</f>
        <v>0</v>
      </c>
      <c r="P5" s="2">
        <f>IF(AND(Çeyreklik!P5&lt;&gt;"",Çeyreklik!Q5&lt;&gt;"",Çeyreklik!R5&lt;&gt;"",Çeyreklik!S5&lt;&gt;""),Çeyreklik!P5+Çeyreklik!Q5+Çeyreklik!R5+Çeyreklik!S5,"")</f>
        <v>0</v>
      </c>
      <c r="Q5" s="2">
        <f>IF(AND(Çeyreklik!Q5&lt;&gt;"",Çeyreklik!R5&lt;&gt;"",Çeyreklik!S5&lt;&gt;"",Çeyreklik!T5&lt;&gt;""),Çeyreklik!Q5+Çeyreklik!R5+Çeyreklik!S5+Çeyreklik!T5,"")</f>
        <v>0</v>
      </c>
      <c r="R5" s="2">
        <f>IF(AND(Çeyreklik!R5&lt;&gt;"",Çeyreklik!S5&lt;&gt;"",Çeyreklik!T5&lt;&gt;"",Çeyreklik!U5&lt;&gt;""),Çeyreklik!R5+Çeyreklik!S5+Çeyreklik!T5+Çeyreklik!U5,"")</f>
        <v>0</v>
      </c>
      <c r="S5" s="2">
        <f>IF(AND(Çeyreklik!S5&lt;&gt;"",Çeyreklik!T5&lt;&gt;"",Çeyreklik!U5&lt;&gt;"",Çeyreklik!V5&lt;&gt;""),Çeyreklik!S5+Çeyreklik!T5+Çeyreklik!U5+Çeyreklik!V5,"")</f>
        <v>0</v>
      </c>
      <c r="T5" s="2">
        <f>IF(AND(Çeyreklik!T5&lt;&gt;"",Çeyreklik!U5&lt;&gt;"",Çeyreklik!V5&lt;&gt;"",Çeyreklik!W5&lt;&gt;""),Çeyreklik!T5+Çeyreklik!U5+Çeyreklik!V5+Çeyreklik!W5,"")</f>
        <v>0</v>
      </c>
    </row>
    <row r="6" spans="1:20" x14ac:dyDescent="0.25">
      <c r="A6" t="str">
        <f>Çeyreklik!A6</f>
        <v>Ticari Faaliyetlerden Brüt Kar (Zarar)</v>
      </c>
      <c r="B6" s="2">
        <f>IF(AND(Çeyreklik!B6&lt;&gt;"",Çeyreklik!C6&lt;&gt;"",Çeyreklik!D6&lt;&gt;"",Çeyreklik!E6&lt;&gt;""),Çeyreklik!B6+Çeyreklik!C6+Çeyreklik!D6+Çeyreklik!E6,"")</f>
        <v>3083315000</v>
      </c>
      <c r="C6" s="2">
        <f>IF(AND(Çeyreklik!C6&lt;&gt;"",Çeyreklik!D6&lt;&gt;"",Çeyreklik!E6&lt;&gt;"",Çeyreklik!F6&lt;&gt;""),Çeyreklik!C6+Çeyreklik!D6+Çeyreklik!E6+Çeyreklik!F6,"")</f>
        <v>3207538000</v>
      </c>
      <c r="D6" s="2">
        <f>IF(AND(Çeyreklik!D6&lt;&gt;"",Çeyreklik!E6&lt;&gt;"",Çeyreklik!F6&lt;&gt;"",Çeyreklik!G6&lt;&gt;""),Çeyreklik!D6+Çeyreklik!E6+Çeyreklik!F6+Çeyreklik!G6,"")</f>
        <v>3202806000</v>
      </c>
      <c r="E6" s="2">
        <f>IF(AND(Çeyreklik!E6&lt;&gt;"",Çeyreklik!F6&lt;&gt;"",Çeyreklik!G6&lt;&gt;"",Çeyreklik!H6&lt;&gt;""),Çeyreklik!E6+Çeyreklik!F6+Çeyreklik!G6+Çeyreklik!H6,"")</f>
        <v>3612415000</v>
      </c>
      <c r="F6" s="2">
        <f>IF(AND(Çeyreklik!F6&lt;&gt;"",Çeyreklik!G6&lt;&gt;"",Çeyreklik!H6&lt;&gt;"",Çeyreklik!I6&lt;&gt;""),Çeyreklik!F6+Çeyreklik!G6+Çeyreklik!H6+Çeyreklik!I6,"")</f>
        <v>4599167000</v>
      </c>
      <c r="G6" s="2">
        <f>IF(AND(Çeyreklik!G6&lt;&gt;"",Çeyreklik!H6&lt;&gt;"",Çeyreklik!I6&lt;&gt;"",Çeyreklik!J6&lt;&gt;""),Çeyreklik!G6+Çeyreklik!H6+Çeyreklik!I6+Çeyreklik!J6,"")</f>
        <v>5585519000</v>
      </c>
      <c r="H6" s="2">
        <f>IF(AND(Çeyreklik!H6&lt;&gt;"",Çeyreklik!I6&lt;&gt;"",Çeyreklik!J6&lt;&gt;"",Çeyreklik!K6&lt;&gt;""),Çeyreklik!H6+Çeyreklik!I6+Çeyreklik!J6+Çeyreklik!K6,"")</f>
        <v>6802237000</v>
      </c>
      <c r="I6" s="2">
        <f>IF(AND(Çeyreklik!I6&lt;&gt;"",Çeyreklik!J6&lt;&gt;"",Çeyreklik!K6&lt;&gt;"",Çeyreklik!L6&lt;&gt;""),Çeyreklik!I6+Çeyreklik!J6+Çeyreklik!K6+Çeyreklik!L6,"")</f>
        <v>11328190000</v>
      </c>
      <c r="J6" s="2">
        <f>IF(AND(Çeyreklik!J6&lt;&gt;"",Çeyreklik!K6&lt;&gt;"",Çeyreklik!L6&lt;&gt;"",Çeyreklik!M6&lt;&gt;""),Çeyreklik!J6+Çeyreklik!K6+Çeyreklik!L6+Çeyreklik!M6,"")</f>
        <v>15258835000</v>
      </c>
      <c r="K6" s="2">
        <f>IF(AND(Çeyreklik!K6&lt;&gt;"",Çeyreklik!L6&lt;&gt;"",Çeyreklik!M6&lt;&gt;"",Çeyreklik!N6&lt;&gt;""),Çeyreklik!K6+Çeyreklik!L6+Çeyreklik!M6+Çeyreklik!N6,"")</f>
        <v>18961550000</v>
      </c>
      <c r="L6" s="2">
        <f>IF(AND(Çeyreklik!L6&lt;&gt;"",Çeyreklik!M6&lt;&gt;"",Çeyreklik!N6&lt;&gt;"",Çeyreklik!O6&lt;&gt;""),Çeyreklik!L6+Çeyreklik!M6+Çeyreklik!N6+Çeyreklik!O6,"")</f>
        <v>22341362000</v>
      </c>
      <c r="M6" s="2">
        <f>IF(AND(Çeyreklik!M6&lt;&gt;"",Çeyreklik!N6&lt;&gt;"",Çeyreklik!O6&lt;&gt;"",Çeyreklik!P6&lt;&gt;""),Çeyreklik!M6+Çeyreklik!N6+Çeyreklik!O6+Çeyreklik!P6,"")</f>
        <v>23355518000</v>
      </c>
      <c r="N6" s="2">
        <f>IF(AND(Çeyreklik!N6&lt;&gt;"",Çeyreklik!O6&lt;&gt;"",Çeyreklik!P6&lt;&gt;"",Çeyreklik!Q6&lt;&gt;""),Çeyreklik!N6+Çeyreklik!O6+Çeyreklik!P6+Çeyreklik!Q6,"")</f>
        <v>26228046000</v>
      </c>
      <c r="O6" s="2">
        <f>IF(AND(Çeyreklik!O6&lt;&gt;"",Çeyreklik!P6&lt;&gt;"",Çeyreklik!Q6&lt;&gt;"",Çeyreklik!R6&lt;&gt;""),Çeyreklik!O6+Çeyreklik!P6+Çeyreklik!Q6+Çeyreklik!R6,"")</f>
        <v>27663896000</v>
      </c>
      <c r="P6" s="2">
        <f>IF(AND(Çeyreklik!P6&lt;&gt;"",Çeyreklik!Q6&lt;&gt;"",Çeyreklik!R6&lt;&gt;"",Çeyreklik!S6&lt;&gt;""),Çeyreklik!P6+Çeyreklik!Q6+Çeyreklik!R6+Çeyreklik!S6,"")</f>
        <v>29998139000</v>
      </c>
      <c r="Q6" s="2">
        <f>IF(AND(Çeyreklik!Q6&lt;&gt;"",Çeyreklik!R6&lt;&gt;"",Çeyreklik!S6&lt;&gt;"",Çeyreklik!T6&lt;&gt;""),Çeyreklik!Q6+Çeyreklik!R6+Çeyreklik!S6+Çeyreklik!T6,"")</f>
        <v>31440632031</v>
      </c>
      <c r="R6" s="2">
        <f>IF(AND(Çeyreklik!R6&lt;&gt;"",Çeyreklik!S6&lt;&gt;"",Çeyreklik!T6&lt;&gt;"",Çeyreklik!U6&lt;&gt;""),Çeyreklik!R6+Çeyreklik!S6+Çeyreklik!T6+Çeyreklik!U6,"")</f>
        <v>31803831031</v>
      </c>
      <c r="S6" s="2">
        <f>IF(AND(Çeyreklik!S6&lt;&gt;"",Çeyreklik!T6&lt;&gt;"",Çeyreklik!U6&lt;&gt;"",Çeyreklik!V6&lt;&gt;""),Çeyreklik!S6+Çeyreklik!T6+Çeyreklik!U6+Çeyreklik!V6,"")</f>
        <v>31790489031</v>
      </c>
      <c r="T6" s="2">
        <f>IF(AND(Çeyreklik!T6&lt;&gt;"",Çeyreklik!U6&lt;&gt;"",Çeyreklik!V6&lt;&gt;"",Çeyreklik!W6&lt;&gt;""),Çeyreklik!T6+Çeyreklik!U6+Çeyreklik!V6+Çeyreklik!W6,"")</f>
        <v>32674118031</v>
      </c>
    </row>
    <row r="7" spans="1:20" x14ac:dyDescent="0.25">
      <c r="A7" t="str">
        <f>Çeyreklik!A7</f>
        <v>Faiz, Ücret, Prim, Komisyon ve Diğer Gelirler</v>
      </c>
      <c r="B7" s="2">
        <f>IF(AND(Çeyreklik!B7&lt;&gt;"",Çeyreklik!C7&lt;&gt;"",Çeyreklik!D7&lt;&gt;"",Çeyreklik!E7&lt;&gt;""),Çeyreklik!B7+Çeyreklik!C7+Çeyreklik!D7+Çeyreklik!E7,"")</f>
        <v>0</v>
      </c>
      <c r="C7" s="2">
        <f>IF(AND(Çeyreklik!C7&lt;&gt;"",Çeyreklik!D7&lt;&gt;"",Çeyreklik!E7&lt;&gt;"",Çeyreklik!F7&lt;&gt;""),Çeyreklik!C7+Çeyreklik!D7+Çeyreklik!E7+Çeyreklik!F7,"")</f>
        <v>0</v>
      </c>
      <c r="D7" s="2">
        <f>IF(AND(Çeyreklik!D7&lt;&gt;"",Çeyreklik!E7&lt;&gt;"",Çeyreklik!F7&lt;&gt;"",Çeyreklik!G7&lt;&gt;""),Çeyreklik!D7+Çeyreklik!E7+Çeyreklik!F7+Çeyreklik!G7,"")</f>
        <v>0</v>
      </c>
      <c r="E7" s="2">
        <f>IF(AND(Çeyreklik!E7&lt;&gt;"",Çeyreklik!F7&lt;&gt;"",Çeyreklik!G7&lt;&gt;"",Çeyreklik!H7&lt;&gt;""),Çeyreklik!E7+Çeyreklik!F7+Çeyreklik!G7+Çeyreklik!H7,"")</f>
        <v>0</v>
      </c>
      <c r="F7" s="2">
        <f>IF(AND(Çeyreklik!F7&lt;&gt;"",Çeyreklik!G7&lt;&gt;"",Çeyreklik!H7&lt;&gt;"",Çeyreklik!I7&lt;&gt;""),Çeyreklik!F7+Çeyreklik!G7+Çeyreklik!H7+Çeyreklik!I7,"")</f>
        <v>0</v>
      </c>
      <c r="G7" s="2">
        <f>IF(AND(Çeyreklik!G7&lt;&gt;"",Çeyreklik!H7&lt;&gt;"",Çeyreklik!I7&lt;&gt;"",Çeyreklik!J7&lt;&gt;""),Çeyreklik!G7+Çeyreklik!H7+Çeyreklik!I7+Çeyreklik!J7,"")</f>
        <v>0</v>
      </c>
      <c r="H7" s="2">
        <f>IF(AND(Çeyreklik!H7&lt;&gt;"",Çeyreklik!I7&lt;&gt;"",Çeyreklik!J7&lt;&gt;"",Çeyreklik!K7&lt;&gt;""),Çeyreklik!H7+Çeyreklik!I7+Çeyreklik!J7+Çeyreklik!K7,"")</f>
        <v>0</v>
      </c>
      <c r="I7" s="2">
        <f>IF(AND(Çeyreklik!I7&lt;&gt;"",Çeyreklik!J7&lt;&gt;"",Çeyreklik!K7&lt;&gt;"",Çeyreklik!L7&lt;&gt;""),Çeyreklik!I7+Çeyreklik!J7+Çeyreklik!K7+Çeyreklik!L7,"")</f>
        <v>0</v>
      </c>
      <c r="J7" s="2">
        <f>IF(AND(Çeyreklik!J7&lt;&gt;"",Çeyreklik!K7&lt;&gt;"",Çeyreklik!L7&lt;&gt;"",Çeyreklik!M7&lt;&gt;""),Çeyreklik!J7+Çeyreklik!K7+Çeyreklik!L7+Çeyreklik!M7,"")</f>
        <v>0</v>
      </c>
      <c r="K7" s="2">
        <f>IF(AND(Çeyreklik!K7&lt;&gt;"",Çeyreklik!L7&lt;&gt;"",Çeyreklik!M7&lt;&gt;"",Çeyreklik!N7&lt;&gt;""),Çeyreklik!K7+Çeyreklik!L7+Çeyreklik!M7+Çeyreklik!N7,"")</f>
        <v>0</v>
      </c>
      <c r="L7" s="2">
        <f>IF(AND(Çeyreklik!L7&lt;&gt;"",Çeyreklik!M7&lt;&gt;"",Çeyreklik!N7&lt;&gt;"",Çeyreklik!O7&lt;&gt;""),Çeyreklik!L7+Çeyreklik!M7+Çeyreklik!N7+Çeyreklik!O7,"")</f>
        <v>0</v>
      </c>
      <c r="M7" s="2">
        <f>IF(AND(Çeyreklik!M7&lt;&gt;"",Çeyreklik!N7&lt;&gt;"",Çeyreklik!O7&lt;&gt;"",Çeyreklik!P7&lt;&gt;""),Çeyreklik!M7+Çeyreklik!N7+Çeyreklik!O7+Çeyreklik!P7,"")</f>
        <v>0</v>
      </c>
      <c r="N7" s="2">
        <f>IF(AND(Çeyreklik!N7&lt;&gt;"",Çeyreklik!O7&lt;&gt;"",Çeyreklik!P7&lt;&gt;"",Çeyreklik!Q7&lt;&gt;""),Çeyreklik!N7+Çeyreklik!O7+Çeyreklik!P7+Çeyreklik!Q7,"")</f>
        <v>0</v>
      </c>
      <c r="O7" s="2">
        <f>IF(AND(Çeyreklik!O7&lt;&gt;"",Çeyreklik!P7&lt;&gt;"",Çeyreklik!Q7&lt;&gt;"",Çeyreklik!R7&lt;&gt;""),Çeyreklik!O7+Çeyreklik!P7+Çeyreklik!Q7+Çeyreklik!R7,"")</f>
        <v>0</v>
      </c>
      <c r="P7" s="2">
        <f>IF(AND(Çeyreklik!P7&lt;&gt;"",Çeyreklik!Q7&lt;&gt;"",Çeyreklik!R7&lt;&gt;"",Çeyreklik!S7&lt;&gt;""),Çeyreklik!P7+Çeyreklik!Q7+Çeyreklik!R7+Çeyreklik!S7,"")</f>
        <v>0</v>
      </c>
      <c r="Q7" s="2">
        <f>IF(AND(Çeyreklik!Q7&lt;&gt;"",Çeyreklik!R7&lt;&gt;"",Çeyreklik!S7&lt;&gt;"",Çeyreklik!T7&lt;&gt;""),Çeyreklik!Q7+Çeyreklik!R7+Çeyreklik!S7+Çeyreklik!T7,"")</f>
        <v>0</v>
      </c>
      <c r="R7" s="2">
        <f>IF(AND(Çeyreklik!R7&lt;&gt;"",Çeyreklik!S7&lt;&gt;"",Çeyreklik!T7&lt;&gt;"",Çeyreklik!U7&lt;&gt;""),Çeyreklik!R7+Çeyreklik!S7+Çeyreklik!T7+Çeyreklik!U7,"")</f>
        <v>0</v>
      </c>
      <c r="S7" s="2">
        <f>IF(AND(Çeyreklik!S7&lt;&gt;"",Çeyreklik!T7&lt;&gt;"",Çeyreklik!U7&lt;&gt;"",Çeyreklik!V7&lt;&gt;""),Çeyreklik!S7+Çeyreklik!T7+Çeyreklik!U7+Çeyreklik!V7,"")</f>
        <v>0</v>
      </c>
      <c r="T7" s="2">
        <f>IF(AND(Çeyreklik!T7&lt;&gt;"",Çeyreklik!U7&lt;&gt;"",Çeyreklik!V7&lt;&gt;"",Çeyreklik!W7&lt;&gt;""),Çeyreklik!T7+Çeyreklik!U7+Çeyreklik!V7+Çeyreklik!W7,"")</f>
        <v>0</v>
      </c>
    </row>
    <row r="8" spans="1:20" x14ac:dyDescent="0.25">
      <c r="A8" t="str">
        <f>Çeyreklik!A8</f>
        <v>Faiz, Ücret, Prim, Komisyon ve Diğer Giderler (-)</v>
      </c>
      <c r="B8" s="2">
        <f>IF(AND(Çeyreklik!B8&lt;&gt;"",Çeyreklik!C8&lt;&gt;"",Çeyreklik!D8&lt;&gt;"",Çeyreklik!E8&lt;&gt;""),Çeyreklik!B8+Çeyreklik!C8+Çeyreklik!D8+Çeyreklik!E8,"")</f>
        <v>0</v>
      </c>
      <c r="C8" s="2">
        <f>IF(AND(Çeyreklik!C8&lt;&gt;"",Çeyreklik!D8&lt;&gt;"",Çeyreklik!E8&lt;&gt;"",Çeyreklik!F8&lt;&gt;""),Çeyreklik!C8+Çeyreklik!D8+Çeyreklik!E8+Çeyreklik!F8,"")</f>
        <v>0</v>
      </c>
      <c r="D8" s="2">
        <f>IF(AND(Çeyreklik!D8&lt;&gt;"",Çeyreklik!E8&lt;&gt;"",Çeyreklik!F8&lt;&gt;"",Çeyreklik!G8&lt;&gt;""),Çeyreklik!D8+Çeyreklik!E8+Çeyreklik!F8+Çeyreklik!G8,"")</f>
        <v>0</v>
      </c>
      <c r="E8" s="2">
        <f>IF(AND(Çeyreklik!E8&lt;&gt;"",Çeyreklik!F8&lt;&gt;"",Çeyreklik!G8&lt;&gt;"",Çeyreklik!H8&lt;&gt;""),Çeyreklik!E8+Çeyreklik!F8+Çeyreklik!G8+Çeyreklik!H8,"")</f>
        <v>0</v>
      </c>
      <c r="F8" s="2">
        <f>IF(AND(Çeyreklik!F8&lt;&gt;"",Çeyreklik!G8&lt;&gt;"",Çeyreklik!H8&lt;&gt;"",Çeyreklik!I8&lt;&gt;""),Çeyreklik!F8+Çeyreklik!G8+Çeyreklik!H8+Çeyreklik!I8,"")</f>
        <v>0</v>
      </c>
      <c r="G8" s="2">
        <f>IF(AND(Çeyreklik!G8&lt;&gt;"",Çeyreklik!H8&lt;&gt;"",Çeyreklik!I8&lt;&gt;"",Çeyreklik!J8&lt;&gt;""),Çeyreklik!G8+Çeyreklik!H8+Çeyreklik!I8+Çeyreklik!J8,"")</f>
        <v>0</v>
      </c>
      <c r="H8" s="2">
        <f>IF(AND(Çeyreklik!H8&lt;&gt;"",Çeyreklik!I8&lt;&gt;"",Çeyreklik!J8&lt;&gt;"",Çeyreklik!K8&lt;&gt;""),Çeyreklik!H8+Çeyreklik!I8+Çeyreklik!J8+Çeyreklik!K8,"")</f>
        <v>0</v>
      </c>
      <c r="I8" s="2">
        <f>IF(AND(Çeyreklik!I8&lt;&gt;"",Çeyreklik!J8&lt;&gt;"",Çeyreklik!K8&lt;&gt;"",Çeyreklik!L8&lt;&gt;""),Çeyreklik!I8+Çeyreklik!J8+Çeyreklik!K8+Çeyreklik!L8,"")</f>
        <v>0</v>
      </c>
      <c r="J8" s="2">
        <f>IF(AND(Çeyreklik!J8&lt;&gt;"",Çeyreklik!K8&lt;&gt;"",Çeyreklik!L8&lt;&gt;"",Çeyreklik!M8&lt;&gt;""),Çeyreklik!J8+Çeyreklik!K8+Çeyreklik!L8+Çeyreklik!M8,"")</f>
        <v>0</v>
      </c>
      <c r="K8" s="2">
        <f>IF(AND(Çeyreklik!K8&lt;&gt;"",Çeyreklik!L8&lt;&gt;"",Çeyreklik!M8&lt;&gt;"",Çeyreklik!N8&lt;&gt;""),Çeyreklik!K8+Çeyreklik!L8+Çeyreklik!M8+Çeyreklik!N8,"")</f>
        <v>0</v>
      </c>
      <c r="L8" s="2">
        <f>IF(AND(Çeyreklik!L8&lt;&gt;"",Çeyreklik!M8&lt;&gt;"",Çeyreklik!N8&lt;&gt;"",Çeyreklik!O8&lt;&gt;""),Çeyreklik!L8+Çeyreklik!M8+Çeyreklik!N8+Çeyreklik!O8,"")</f>
        <v>0</v>
      </c>
      <c r="M8" s="2">
        <f>IF(AND(Çeyreklik!M8&lt;&gt;"",Çeyreklik!N8&lt;&gt;"",Çeyreklik!O8&lt;&gt;"",Çeyreklik!P8&lt;&gt;""),Çeyreklik!M8+Çeyreklik!N8+Çeyreklik!O8+Çeyreklik!P8,"")</f>
        <v>0</v>
      </c>
      <c r="N8" s="2">
        <f>IF(AND(Çeyreklik!N8&lt;&gt;"",Çeyreklik!O8&lt;&gt;"",Çeyreklik!P8&lt;&gt;"",Çeyreklik!Q8&lt;&gt;""),Çeyreklik!N8+Çeyreklik!O8+Çeyreklik!P8+Çeyreklik!Q8,"")</f>
        <v>0</v>
      </c>
      <c r="O8" s="2">
        <f>IF(AND(Çeyreklik!O8&lt;&gt;"",Çeyreklik!P8&lt;&gt;"",Çeyreklik!Q8&lt;&gt;"",Çeyreklik!R8&lt;&gt;""),Çeyreklik!O8+Çeyreklik!P8+Çeyreklik!Q8+Çeyreklik!R8,"")</f>
        <v>0</v>
      </c>
      <c r="P8" s="2">
        <f>IF(AND(Çeyreklik!P8&lt;&gt;"",Çeyreklik!Q8&lt;&gt;"",Çeyreklik!R8&lt;&gt;"",Çeyreklik!S8&lt;&gt;""),Çeyreklik!P8+Çeyreklik!Q8+Çeyreklik!R8+Çeyreklik!S8,"")</f>
        <v>0</v>
      </c>
      <c r="Q8" s="2">
        <f>IF(AND(Çeyreklik!Q8&lt;&gt;"",Çeyreklik!R8&lt;&gt;"",Çeyreklik!S8&lt;&gt;"",Çeyreklik!T8&lt;&gt;""),Çeyreklik!Q8+Çeyreklik!R8+Çeyreklik!S8+Çeyreklik!T8,"")</f>
        <v>0</v>
      </c>
      <c r="R8" s="2">
        <f>IF(AND(Çeyreklik!R8&lt;&gt;"",Çeyreklik!S8&lt;&gt;"",Çeyreklik!T8&lt;&gt;"",Çeyreklik!U8&lt;&gt;""),Çeyreklik!R8+Çeyreklik!S8+Çeyreklik!T8+Çeyreklik!U8,"")</f>
        <v>0</v>
      </c>
      <c r="S8" s="2">
        <f>IF(AND(Çeyreklik!S8&lt;&gt;"",Çeyreklik!T8&lt;&gt;"",Çeyreklik!U8&lt;&gt;"",Çeyreklik!V8&lt;&gt;""),Çeyreklik!S8+Çeyreklik!T8+Çeyreklik!U8+Çeyreklik!V8,"")</f>
        <v>0</v>
      </c>
      <c r="T8" s="2">
        <f>IF(AND(Çeyreklik!T8&lt;&gt;"",Çeyreklik!U8&lt;&gt;"",Çeyreklik!V8&lt;&gt;"",Çeyreklik!W8&lt;&gt;""),Çeyreklik!T8+Çeyreklik!U8+Çeyreklik!V8+Çeyreklik!W8,"")</f>
        <v>0</v>
      </c>
    </row>
    <row r="9" spans="1:20" x14ac:dyDescent="0.25">
      <c r="A9" t="str">
        <f>Çeyreklik!A9</f>
        <v>Finans Sektörü Faaliyetlerinden Diğer Kar (Zarar)</v>
      </c>
      <c r="B9" s="2">
        <f>IF(AND(Çeyreklik!B9&lt;&gt;"",Çeyreklik!C9&lt;&gt;"",Çeyreklik!D9&lt;&gt;"",Çeyreklik!E9&lt;&gt;""),Çeyreklik!B9+Çeyreklik!C9+Çeyreklik!D9+Çeyreklik!E9,"")</f>
        <v>0</v>
      </c>
      <c r="C9" s="2">
        <f>IF(AND(Çeyreklik!C9&lt;&gt;"",Çeyreklik!D9&lt;&gt;"",Çeyreklik!E9&lt;&gt;"",Çeyreklik!F9&lt;&gt;""),Çeyreklik!C9+Çeyreklik!D9+Çeyreklik!E9+Çeyreklik!F9,"")</f>
        <v>0</v>
      </c>
      <c r="D9" s="2">
        <f>IF(AND(Çeyreklik!D9&lt;&gt;"",Çeyreklik!E9&lt;&gt;"",Çeyreklik!F9&lt;&gt;"",Çeyreklik!G9&lt;&gt;""),Çeyreklik!D9+Çeyreklik!E9+Çeyreklik!F9+Çeyreklik!G9,"")</f>
        <v>0</v>
      </c>
      <c r="E9" s="2">
        <f>IF(AND(Çeyreklik!E9&lt;&gt;"",Çeyreklik!F9&lt;&gt;"",Çeyreklik!G9&lt;&gt;"",Çeyreklik!H9&lt;&gt;""),Çeyreklik!E9+Çeyreklik!F9+Çeyreklik!G9+Çeyreklik!H9,"")</f>
        <v>0</v>
      </c>
      <c r="F9" s="2">
        <f>IF(AND(Çeyreklik!F9&lt;&gt;"",Çeyreklik!G9&lt;&gt;"",Çeyreklik!H9&lt;&gt;"",Çeyreklik!I9&lt;&gt;""),Çeyreklik!F9+Çeyreklik!G9+Çeyreklik!H9+Çeyreklik!I9,"")</f>
        <v>0</v>
      </c>
      <c r="G9" s="2">
        <f>IF(AND(Çeyreklik!G9&lt;&gt;"",Çeyreklik!H9&lt;&gt;"",Çeyreklik!I9&lt;&gt;"",Çeyreklik!J9&lt;&gt;""),Çeyreklik!G9+Çeyreklik!H9+Çeyreklik!I9+Çeyreklik!J9,"")</f>
        <v>0</v>
      </c>
      <c r="H9" s="2">
        <f>IF(AND(Çeyreklik!H9&lt;&gt;"",Çeyreklik!I9&lt;&gt;"",Çeyreklik!J9&lt;&gt;"",Çeyreklik!K9&lt;&gt;""),Çeyreklik!H9+Çeyreklik!I9+Çeyreklik!J9+Çeyreklik!K9,"")</f>
        <v>0</v>
      </c>
      <c r="I9" s="2">
        <f>IF(AND(Çeyreklik!I9&lt;&gt;"",Çeyreklik!J9&lt;&gt;"",Çeyreklik!K9&lt;&gt;"",Çeyreklik!L9&lt;&gt;""),Çeyreklik!I9+Çeyreklik!J9+Çeyreklik!K9+Çeyreklik!L9,"")</f>
        <v>0</v>
      </c>
      <c r="J9" s="2">
        <f>IF(AND(Çeyreklik!J9&lt;&gt;"",Çeyreklik!K9&lt;&gt;"",Çeyreklik!L9&lt;&gt;"",Çeyreklik!M9&lt;&gt;""),Çeyreklik!J9+Çeyreklik!K9+Çeyreklik!L9+Çeyreklik!M9,"")</f>
        <v>0</v>
      </c>
      <c r="K9" s="2">
        <f>IF(AND(Çeyreklik!K9&lt;&gt;"",Çeyreklik!L9&lt;&gt;"",Çeyreklik!M9&lt;&gt;"",Çeyreklik!N9&lt;&gt;""),Çeyreklik!K9+Çeyreklik!L9+Çeyreklik!M9+Çeyreklik!N9,"")</f>
        <v>0</v>
      </c>
      <c r="L9" s="2">
        <f>IF(AND(Çeyreklik!L9&lt;&gt;"",Çeyreklik!M9&lt;&gt;"",Çeyreklik!N9&lt;&gt;"",Çeyreklik!O9&lt;&gt;""),Çeyreklik!L9+Çeyreklik!M9+Çeyreklik!N9+Çeyreklik!O9,"")</f>
        <v>0</v>
      </c>
      <c r="M9" s="2">
        <f>IF(AND(Çeyreklik!M9&lt;&gt;"",Çeyreklik!N9&lt;&gt;"",Çeyreklik!O9&lt;&gt;"",Çeyreklik!P9&lt;&gt;""),Çeyreklik!M9+Çeyreklik!N9+Çeyreklik!O9+Çeyreklik!P9,"")</f>
        <v>0</v>
      </c>
      <c r="N9" s="2">
        <f>IF(AND(Çeyreklik!N9&lt;&gt;"",Çeyreklik!O9&lt;&gt;"",Çeyreklik!P9&lt;&gt;"",Çeyreklik!Q9&lt;&gt;""),Çeyreklik!N9+Çeyreklik!O9+Çeyreklik!P9+Çeyreklik!Q9,"")</f>
        <v>0</v>
      </c>
      <c r="O9" s="2">
        <f>IF(AND(Çeyreklik!O9&lt;&gt;"",Çeyreklik!P9&lt;&gt;"",Çeyreklik!Q9&lt;&gt;"",Çeyreklik!R9&lt;&gt;""),Çeyreklik!O9+Çeyreklik!P9+Çeyreklik!Q9+Çeyreklik!R9,"")</f>
        <v>0</v>
      </c>
      <c r="P9" s="2">
        <f>IF(AND(Çeyreklik!P9&lt;&gt;"",Çeyreklik!Q9&lt;&gt;"",Çeyreklik!R9&lt;&gt;"",Çeyreklik!S9&lt;&gt;""),Çeyreklik!P9+Çeyreklik!Q9+Çeyreklik!R9+Çeyreklik!S9,"")</f>
        <v>0</v>
      </c>
      <c r="Q9" s="2">
        <f>IF(AND(Çeyreklik!Q9&lt;&gt;"",Çeyreklik!R9&lt;&gt;"",Çeyreklik!S9&lt;&gt;"",Çeyreklik!T9&lt;&gt;""),Çeyreklik!Q9+Çeyreklik!R9+Çeyreklik!S9+Çeyreklik!T9,"")</f>
        <v>0</v>
      </c>
      <c r="R9" s="2">
        <f>IF(AND(Çeyreklik!R9&lt;&gt;"",Çeyreklik!S9&lt;&gt;"",Çeyreklik!T9&lt;&gt;"",Çeyreklik!U9&lt;&gt;""),Çeyreklik!R9+Çeyreklik!S9+Çeyreklik!T9+Çeyreklik!U9,"")</f>
        <v>0</v>
      </c>
      <c r="S9" s="2">
        <f>IF(AND(Çeyreklik!S9&lt;&gt;"",Çeyreklik!T9&lt;&gt;"",Çeyreklik!U9&lt;&gt;"",Çeyreklik!V9&lt;&gt;""),Çeyreklik!S9+Çeyreklik!T9+Çeyreklik!U9+Çeyreklik!V9,"")</f>
        <v>0</v>
      </c>
      <c r="T9" s="2">
        <f>IF(AND(Çeyreklik!T9&lt;&gt;"",Çeyreklik!U9&lt;&gt;"",Çeyreklik!V9&lt;&gt;"",Çeyreklik!W9&lt;&gt;""),Çeyreklik!T9+Çeyreklik!U9+Çeyreklik!V9+Çeyreklik!W9,"")</f>
        <v>0</v>
      </c>
    </row>
    <row r="10" spans="1:20" x14ac:dyDescent="0.25">
      <c r="A10" t="str">
        <f>Çeyreklik!A10</f>
        <v>Finans Sektörü Faaliyetlerinden Brüt Kar (Zarar)</v>
      </c>
      <c r="B10" s="2">
        <f>IF(AND(Çeyreklik!B10&lt;&gt;"",Çeyreklik!C10&lt;&gt;"",Çeyreklik!D10&lt;&gt;"",Çeyreklik!E10&lt;&gt;""),Çeyreklik!B10+Çeyreklik!C10+Çeyreklik!D10+Çeyreklik!E10,"")</f>
        <v>0</v>
      </c>
      <c r="C10" s="2">
        <f>IF(AND(Çeyreklik!C10&lt;&gt;"",Çeyreklik!D10&lt;&gt;"",Çeyreklik!E10&lt;&gt;"",Çeyreklik!F10&lt;&gt;""),Çeyreklik!C10+Çeyreklik!D10+Çeyreklik!E10+Çeyreklik!F10,"")</f>
        <v>0</v>
      </c>
      <c r="D10" s="2">
        <f>IF(AND(Çeyreklik!D10&lt;&gt;"",Çeyreklik!E10&lt;&gt;"",Çeyreklik!F10&lt;&gt;"",Çeyreklik!G10&lt;&gt;""),Çeyreklik!D10+Çeyreklik!E10+Çeyreklik!F10+Çeyreklik!G10,"")</f>
        <v>0</v>
      </c>
      <c r="E10" s="2">
        <f>IF(AND(Çeyreklik!E10&lt;&gt;"",Çeyreklik!F10&lt;&gt;"",Çeyreklik!G10&lt;&gt;"",Çeyreklik!H10&lt;&gt;""),Çeyreklik!E10+Çeyreklik!F10+Çeyreklik!G10+Çeyreklik!H10,"")</f>
        <v>0</v>
      </c>
      <c r="F10" s="2">
        <f>IF(AND(Çeyreklik!F10&lt;&gt;"",Çeyreklik!G10&lt;&gt;"",Çeyreklik!H10&lt;&gt;"",Çeyreklik!I10&lt;&gt;""),Çeyreklik!F10+Çeyreklik!G10+Çeyreklik!H10+Çeyreklik!I10,"")</f>
        <v>0</v>
      </c>
      <c r="G10" s="2">
        <f>IF(AND(Çeyreklik!G10&lt;&gt;"",Çeyreklik!H10&lt;&gt;"",Çeyreklik!I10&lt;&gt;"",Çeyreklik!J10&lt;&gt;""),Çeyreklik!G10+Çeyreklik!H10+Çeyreklik!I10+Çeyreklik!J10,"")</f>
        <v>0</v>
      </c>
      <c r="H10" s="2">
        <f>IF(AND(Çeyreklik!H10&lt;&gt;"",Çeyreklik!I10&lt;&gt;"",Çeyreklik!J10&lt;&gt;"",Çeyreklik!K10&lt;&gt;""),Çeyreklik!H10+Çeyreklik!I10+Çeyreklik!J10+Çeyreklik!K10,"")</f>
        <v>0</v>
      </c>
      <c r="I10" s="2">
        <f>IF(AND(Çeyreklik!I10&lt;&gt;"",Çeyreklik!J10&lt;&gt;"",Çeyreklik!K10&lt;&gt;"",Çeyreklik!L10&lt;&gt;""),Çeyreklik!I10+Çeyreklik!J10+Çeyreklik!K10+Çeyreklik!L10,"")</f>
        <v>0</v>
      </c>
      <c r="J10" s="2">
        <f>IF(AND(Çeyreklik!J10&lt;&gt;"",Çeyreklik!K10&lt;&gt;"",Çeyreklik!L10&lt;&gt;"",Çeyreklik!M10&lt;&gt;""),Çeyreklik!J10+Çeyreklik!K10+Çeyreklik!L10+Çeyreklik!M10,"")</f>
        <v>0</v>
      </c>
      <c r="K10" s="2">
        <f>IF(AND(Çeyreklik!K10&lt;&gt;"",Çeyreklik!L10&lt;&gt;"",Çeyreklik!M10&lt;&gt;"",Çeyreklik!N10&lt;&gt;""),Çeyreklik!K10+Çeyreklik!L10+Çeyreklik!M10+Çeyreklik!N10,"")</f>
        <v>0</v>
      </c>
      <c r="L10" s="2">
        <f>IF(AND(Çeyreklik!L10&lt;&gt;"",Çeyreklik!M10&lt;&gt;"",Çeyreklik!N10&lt;&gt;"",Çeyreklik!O10&lt;&gt;""),Çeyreklik!L10+Çeyreklik!M10+Çeyreklik!N10+Çeyreklik!O10,"")</f>
        <v>0</v>
      </c>
      <c r="M10" s="2">
        <f>IF(AND(Çeyreklik!M10&lt;&gt;"",Çeyreklik!N10&lt;&gt;"",Çeyreklik!O10&lt;&gt;"",Çeyreklik!P10&lt;&gt;""),Çeyreklik!M10+Çeyreklik!N10+Çeyreklik!O10+Çeyreklik!P10,"")</f>
        <v>0</v>
      </c>
      <c r="N10" s="2">
        <f>IF(AND(Çeyreklik!N10&lt;&gt;"",Çeyreklik!O10&lt;&gt;"",Çeyreklik!P10&lt;&gt;"",Çeyreklik!Q10&lt;&gt;""),Çeyreklik!N10+Çeyreklik!O10+Çeyreklik!P10+Çeyreklik!Q10,"")</f>
        <v>0</v>
      </c>
      <c r="O10" s="2">
        <f>IF(AND(Çeyreklik!O10&lt;&gt;"",Çeyreklik!P10&lt;&gt;"",Çeyreklik!Q10&lt;&gt;"",Çeyreklik!R10&lt;&gt;""),Çeyreklik!O10+Çeyreklik!P10+Çeyreklik!Q10+Çeyreklik!R10,"")</f>
        <v>0</v>
      </c>
      <c r="P10" s="2">
        <f>IF(AND(Çeyreklik!P10&lt;&gt;"",Çeyreklik!Q10&lt;&gt;"",Çeyreklik!R10&lt;&gt;"",Çeyreklik!S10&lt;&gt;""),Çeyreklik!P10+Çeyreklik!Q10+Çeyreklik!R10+Çeyreklik!S10,"")</f>
        <v>0</v>
      </c>
      <c r="Q10" s="2">
        <f>IF(AND(Çeyreklik!Q10&lt;&gt;"",Çeyreklik!R10&lt;&gt;"",Çeyreklik!S10&lt;&gt;"",Çeyreklik!T10&lt;&gt;""),Çeyreklik!Q10+Çeyreklik!R10+Çeyreklik!S10+Çeyreklik!T10,"")</f>
        <v>0</v>
      </c>
      <c r="R10" s="2">
        <f>IF(AND(Çeyreklik!R10&lt;&gt;"",Çeyreklik!S10&lt;&gt;"",Çeyreklik!T10&lt;&gt;"",Çeyreklik!U10&lt;&gt;""),Çeyreklik!R10+Çeyreklik!S10+Çeyreklik!T10+Çeyreklik!U10,"")</f>
        <v>0</v>
      </c>
      <c r="S10" s="2">
        <f>IF(AND(Çeyreklik!S10&lt;&gt;"",Çeyreklik!T10&lt;&gt;"",Çeyreklik!U10&lt;&gt;"",Çeyreklik!V10&lt;&gt;""),Çeyreklik!S10+Çeyreklik!T10+Çeyreklik!U10+Çeyreklik!V10,"")</f>
        <v>0</v>
      </c>
      <c r="T10" s="2">
        <f>IF(AND(Çeyreklik!T10&lt;&gt;"",Çeyreklik!U10&lt;&gt;"",Çeyreklik!V10&lt;&gt;"",Çeyreklik!W10&lt;&gt;""),Çeyreklik!T10+Çeyreklik!U10+Çeyreklik!V10+Çeyreklik!W10,"")</f>
        <v>0</v>
      </c>
    </row>
    <row r="11" spans="1:20" x14ac:dyDescent="0.25">
      <c r="A11" t="str">
        <f>Çeyreklik!A11</f>
        <v>Diğer Gelir ve Giderler</v>
      </c>
      <c r="B11" s="2">
        <f>IF(AND(Çeyreklik!B11&lt;&gt;"",Çeyreklik!C11&lt;&gt;"",Çeyreklik!D11&lt;&gt;"",Çeyreklik!E11&lt;&gt;""),Çeyreklik!B11+Çeyreklik!C11+Çeyreklik!D11+Çeyreklik!E11,"")</f>
        <v>0</v>
      </c>
      <c r="C11" s="2">
        <f>IF(AND(Çeyreklik!C11&lt;&gt;"",Çeyreklik!D11&lt;&gt;"",Çeyreklik!E11&lt;&gt;"",Çeyreklik!F11&lt;&gt;""),Çeyreklik!C11+Çeyreklik!D11+Çeyreklik!E11+Çeyreklik!F11,"")</f>
        <v>0</v>
      </c>
      <c r="D11" s="2">
        <f>IF(AND(Çeyreklik!D11&lt;&gt;"",Çeyreklik!E11&lt;&gt;"",Çeyreklik!F11&lt;&gt;"",Çeyreklik!G11&lt;&gt;""),Çeyreklik!D11+Çeyreklik!E11+Çeyreklik!F11+Çeyreklik!G11,"")</f>
        <v>0</v>
      </c>
      <c r="E11" s="2">
        <f>IF(AND(Çeyreklik!E11&lt;&gt;"",Çeyreklik!F11&lt;&gt;"",Çeyreklik!G11&lt;&gt;"",Çeyreklik!H11&lt;&gt;""),Çeyreklik!E11+Çeyreklik!F11+Çeyreklik!G11+Çeyreklik!H11,"")</f>
        <v>0</v>
      </c>
      <c r="F11" s="2">
        <f>IF(AND(Çeyreklik!F11&lt;&gt;"",Çeyreklik!G11&lt;&gt;"",Çeyreklik!H11&lt;&gt;"",Çeyreklik!I11&lt;&gt;""),Çeyreklik!F11+Çeyreklik!G11+Çeyreklik!H11+Çeyreklik!I11,"")</f>
        <v>0</v>
      </c>
      <c r="G11" s="2">
        <f>IF(AND(Çeyreklik!G11&lt;&gt;"",Çeyreklik!H11&lt;&gt;"",Çeyreklik!I11&lt;&gt;"",Çeyreklik!J11&lt;&gt;""),Çeyreklik!G11+Çeyreklik!H11+Çeyreklik!I11+Çeyreklik!J11,"")</f>
        <v>0</v>
      </c>
      <c r="H11" s="2">
        <f>IF(AND(Çeyreklik!H11&lt;&gt;"",Çeyreklik!I11&lt;&gt;"",Çeyreklik!J11&lt;&gt;"",Çeyreklik!K11&lt;&gt;""),Çeyreklik!H11+Çeyreklik!I11+Çeyreklik!J11+Çeyreklik!K11,"")</f>
        <v>0</v>
      </c>
      <c r="I11" s="2">
        <f>IF(AND(Çeyreklik!I11&lt;&gt;"",Çeyreklik!J11&lt;&gt;"",Çeyreklik!K11&lt;&gt;"",Çeyreklik!L11&lt;&gt;""),Çeyreklik!I11+Çeyreklik!J11+Çeyreklik!K11+Çeyreklik!L11,"")</f>
        <v>0</v>
      </c>
      <c r="J11" s="2">
        <f>IF(AND(Çeyreklik!J11&lt;&gt;"",Çeyreklik!K11&lt;&gt;"",Çeyreklik!L11&lt;&gt;"",Çeyreklik!M11&lt;&gt;""),Çeyreklik!J11+Çeyreklik!K11+Çeyreklik!L11+Çeyreklik!M11,"")</f>
        <v>0</v>
      </c>
      <c r="K11" s="2">
        <f>IF(AND(Çeyreklik!K11&lt;&gt;"",Çeyreklik!L11&lt;&gt;"",Çeyreklik!M11&lt;&gt;"",Çeyreklik!N11&lt;&gt;""),Çeyreklik!K11+Çeyreklik!L11+Çeyreklik!M11+Çeyreklik!N11,"")</f>
        <v>0</v>
      </c>
      <c r="L11" s="2">
        <f>IF(AND(Çeyreklik!L11&lt;&gt;"",Çeyreklik!M11&lt;&gt;"",Çeyreklik!N11&lt;&gt;"",Çeyreklik!O11&lt;&gt;""),Çeyreklik!L11+Çeyreklik!M11+Çeyreklik!N11+Çeyreklik!O11,"")</f>
        <v>0</v>
      </c>
      <c r="M11" s="2">
        <f>IF(AND(Çeyreklik!M11&lt;&gt;"",Çeyreklik!N11&lt;&gt;"",Çeyreklik!O11&lt;&gt;"",Çeyreklik!P11&lt;&gt;""),Çeyreklik!M11+Çeyreklik!N11+Çeyreklik!O11+Çeyreklik!P11,"")</f>
        <v>0</v>
      </c>
      <c r="N11" s="2">
        <f>IF(AND(Çeyreklik!N11&lt;&gt;"",Çeyreklik!O11&lt;&gt;"",Çeyreklik!P11&lt;&gt;"",Çeyreklik!Q11&lt;&gt;""),Çeyreklik!N11+Çeyreklik!O11+Çeyreklik!P11+Çeyreklik!Q11,"")</f>
        <v>0</v>
      </c>
      <c r="O11" s="2">
        <f>IF(AND(Çeyreklik!O11&lt;&gt;"",Çeyreklik!P11&lt;&gt;"",Çeyreklik!Q11&lt;&gt;"",Çeyreklik!R11&lt;&gt;""),Çeyreklik!O11+Çeyreklik!P11+Çeyreklik!Q11+Çeyreklik!R11,"")</f>
        <v>0</v>
      </c>
      <c r="P11" s="2">
        <f>IF(AND(Çeyreklik!P11&lt;&gt;"",Çeyreklik!Q11&lt;&gt;"",Çeyreklik!R11&lt;&gt;"",Çeyreklik!S11&lt;&gt;""),Çeyreklik!P11+Çeyreklik!Q11+Çeyreklik!R11+Çeyreklik!S11,"")</f>
        <v>0</v>
      </c>
      <c r="Q11" s="2">
        <f>IF(AND(Çeyreklik!Q11&lt;&gt;"",Çeyreklik!R11&lt;&gt;"",Çeyreklik!S11&lt;&gt;"",Çeyreklik!T11&lt;&gt;""),Çeyreklik!Q11+Çeyreklik!R11+Çeyreklik!S11+Çeyreklik!T11,"")</f>
        <v>0</v>
      </c>
      <c r="R11" s="2">
        <f>IF(AND(Çeyreklik!R11&lt;&gt;"",Çeyreklik!S11&lt;&gt;"",Çeyreklik!T11&lt;&gt;"",Çeyreklik!U11&lt;&gt;""),Çeyreklik!R11+Çeyreklik!S11+Çeyreklik!T11+Çeyreklik!U11,"")</f>
        <v>0</v>
      </c>
      <c r="S11" s="2">
        <f>IF(AND(Çeyreklik!S11&lt;&gt;"",Çeyreklik!T11&lt;&gt;"",Çeyreklik!U11&lt;&gt;"",Çeyreklik!V11&lt;&gt;""),Çeyreklik!S11+Çeyreklik!T11+Çeyreklik!U11+Çeyreklik!V11,"")</f>
        <v>0</v>
      </c>
      <c r="T11" s="2">
        <f>IF(AND(Çeyreklik!T11&lt;&gt;"",Çeyreklik!U11&lt;&gt;"",Çeyreklik!V11&lt;&gt;"",Çeyreklik!W11&lt;&gt;""),Çeyreklik!T11+Çeyreklik!U11+Çeyreklik!V11+Çeyreklik!W11,"")</f>
        <v>0</v>
      </c>
    </row>
    <row r="12" spans="1:20" x14ac:dyDescent="0.25">
      <c r="A12" t="str">
        <f>Çeyreklik!A12</f>
        <v>BRÜT KAR (ZARAR)</v>
      </c>
      <c r="B12" s="2">
        <f>IF(AND(Çeyreklik!B12&lt;&gt;"",Çeyreklik!C12&lt;&gt;"",Çeyreklik!D12&lt;&gt;"",Çeyreklik!E12&lt;&gt;""),Çeyreklik!B12+Çeyreklik!C12+Çeyreklik!D12+Çeyreklik!E12,"")</f>
        <v>3083315000</v>
      </c>
      <c r="C12" s="2">
        <f>IF(AND(Çeyreklik!C12&lt;&gt;"",Çeyreklik!D12&lt;&gt;"",Çeyreklik!E12&lt;&gt;"",Çeyreklik!F12&lt;&gt;""),Çeyreklik!C12+Çeyreklik!D12+Çeyreklik!E12+Çeyreklik!F12,"")</f>
        <v>3207538000</v>
      </c>
      <c r="D12" s="2">
        <f>IF(AND(Çeyreklik!D12&lt;&gt;"",Çeyreklik!E12&lt;&gt;"",Çeyreklik!F12&lt;&gt;"",Çeyreklik!G12&lt;&gt;""),Çeyreklik!D12+Çeyreklik!E12+Çeyreklik!F12+Çeyreklik!G12,"")</f>
        <v>3202806000</v>
      </c>
      <c r="E12" s="2">
        <f>IF(AND(Çeyreklik!E12&lt;&gt;"",Çeyreklik!F12&lt;&gt;"",Çeyreklik!G12&lt;&gt;"",Çeyreklik!H12&lt;&gt;""),Çeyreklik!E12+Çeyreklik!F12+Çeyreklik!G12+Çeyreklik!H12,"")</f>
        <v>3612415000</v>
      </c>
      <c r="F12" s="2">
        <f>IF(AND(Çeyreklik!F12&lt;&gt;"",Çeyreklik!G12&lt;&gt;"",Çeyreklik!H12&lt;&gt;"",Çeyreklik!I12&lt;&gt;""),Çeyreklik!F12+Çeyreklik!G12+Çeyreklik!H12+Çeyreklik!I12,"")</f>
        <v>4599167000</v>
      </c>
      <c r="G12" s="2">
        <f>IF(AND(Çeyreklik!G12&lt;&gt;"",Çeyreklik!H12&lt;&gt;"",Çeyreklik!I12&lt;&gt;"",Çeyreklik!J12&lt;&gt;""),Çeyreklik!G12+Çeyreklik!H12+Çeyreklik!I12+Çeyreklik!J12,"")</f>
        <v>5585519000</v>
      </c>
      <c r="H12" s="2">
        <f>IF(AND(Çeyreklik!H12&lt;&gt;"",Çeyreklik!I12&lt;&gt;"",Çeyreklik!J12&lt;&gt;"",Çeyreklik!K12&lt;&gt;""),Çeyreklik!H12+Çeyreklik!I12+Çeyreklik!J12+Çeyreklik!K12,"")</f>
        <v>6802237000</v>
      </c>
      <c r="I12" s="2">
        <f>IF(AND(Çeyreklik!I12&lt;&gt;"",Çeyreklik!J12&lt;&gt;"",Çeyreklik!K12&lt;&gt;"",Çeyreklik!L12&lt;&gt;""),Çeyreklik!I12+Çeyreklik!J12+Çeyreklik!K12+Çeyreklik!L12,"")</f>
        <v>11328190000</v>
      </c>
      <c r="J12" s="2">
        <f>IF(AND(Çeyreklik!J12&lt;&gt;"",Çeyreklik!K12&lt;&gt;"",Çeyreklik!L12&lt;&gt;"",Çeyreklik!M12&lt;&gt;""),Çeyreklik!J12+Çeyreklik!K12+Çeyreklik!L12+Çeyreklik!M12,"")</f>
        <v>15258835000</v>
      </c>
      <c r="K12" s="2">
        <f>IF(AND(Çeyreklik!K12&lt;&gt;"",Çeyreklik!L12&lt;&gt;"",Çeyreklik!M12&lt;&gt;"",Çeyreklik!N12&lt;&gt;""),Çeyreklik!K12+Çeyreklik!L12+Çeyreklik!M12+Çeyreklik!N12,"")</f>
        <v>18961550000</v>
      </c>
      <c r="L12" s="2">
        <f>IF(AND(Çeyreklik!L12&lt;&gt;"",Çeyreklik!M12&lt;&gt;"",Çeyreklik!N12&lt;&gt;"",Çeyreklik!O12&lt;&gt;""),Çeyreklik!L12+Çeyreklik!M12+Çeyreklik!N12+Çeyreklik!O12,"")</f>
        <v>22341362000</v>
      </c>
      <c r="M12" s="2">
        <f>IF(AND(Çeyreklik!M12&lt;&gt;"",Çeyreklik!N12&lt;&gt;"",Çeyreklik!O12&lt;&gt;"",Çeyreklik!P12&lt;&gt;""),Çeyreklik!M12+Çeyreklik!N12+Çeyreklik!O12+Çeyreklik!P12,"")</f>
        <v>23355518000</v>
      </c>
      <c r="N12" s="2">
        <f>IF(AND(Çeyreklik!N12&lt;&gt;"",Çeyreklik!O12&lt;&gt;"",Çeyreklik!P12&lt;&gt;"",Çeyreklik!Q12&lt;&gt;""),Çeyreklik!N12+Çeyreklik!O12+Çeyreklik!P12+Çeyreklik!Q12,"")</f>
        <v>26228046000</v>
      </c>
      <c r="O12" s="2">
        <f>IF(AND(Çeyreklik!O12&lt;&gt;"",Çeyreklik!P12&lt;&gt;"",Çeyreklik!Q12&lt;&gt;"",Çeyreklik!R12&lt;&gt;""),Çeyreklik!O12+Çeyreklik!P12+Çeyreklik!Q12+Çeyreklik!R12,"")</f>
        <v>27663896000</v>
      </c>
      <c r="P12" s="2">
        <f>IF(AND(Çeyreklik!P12&lt;&gt;"",Çeyreklik!Q12&lt;&gt;"",Çeyreklik!R12&lt;&gt;"",Çeyreklik!S12&lt;&gt;""),Çeyreklik!P12+Çeyreklik!Q12+Çeyreklik!R12+Çeyreklik!S12,"")</f>
        <v>29998139000</v>
      </c>
      <c r="Q12" s="2">
        <f>IF(AND(Çeyreklik!Q12&lt;&gt;"",Çeyreklik!R12&lt;&gt;"",Çeyreklik!S12&lt;&gt;"",Çeyreklik!T12&lt;&gt;""),Çeyreklik!Q12+Çeyreklik!R12+Çeyreklik!S12+Çeyreklik!T12,"")</f>
        <v>31440632031</v>
      </c>
      <c r="R12" s="2">
        <f>IF(AND(Çeyreklik!R12&lt;&gt;"",Çeyreklik!S12&lt;&gt;"",Çeyreklik!T12&lt;&gt;"",Çeyreklik!U12&lt;&gt;""),Çeyreklik!R12+Çeyreklik!S12+Çeyreklik!T12+Çeyreklik!U12,"")</f>
        <v>31803831031</v>
      </c>
      <c r="S12" s="2">
        <f>IF(AND(Çeyreklik!S12&lt;&gt;"",Çeyreklik!T12&lt;&gt;"",Çeyreklik!U12&lt;&gt;"",Çeyreklik!V12&lt;&gt;""),Çeyreklik!S12+Çeyreklik!T12+Çeyreklik!U12+Çeyreklik!V12,"")</f>
        <v>31790489031</v>
      </c>
      <c r="T12" s="2">
        <f>IF(AND(Çeyreklik!T12&lt;&gt;"",Çeyreklik!U12&lt;&gt;"",Çeyreklik!V12&lt;&gt;"",Çeyreklik!W12&lt;&gt;""),Çeyreklik!T12+Çeyreklik!U12+Çeyreklik!V12+Çeyreklik!W12,"")</f>
        <v>32674118031</v>
      </c>
    </row>
    <row r="13" spans="1:20" x14ac:dyDescent="0.25">
      <c r="A13" t="str">
        <f>Çeyreklik!A13</f>
        <v>Pazarlama, Satış ve Dağıtım Giderleri (-)</v>
      </c>
      <c r="B13" s="2">
        <f>IF(AND(Çeyreklik!B13&lt;&gt;"",Çeyreklik!C13&lt;&gt;"",Çeyreklik!D13&lt;&gt;"",Çeyreklik!E13&lt;&gt;""),Çeyreklik!B13+Çeyreklik!C13+Çeyreklik!D13+Çeyreklik!E13,"")</f>
        <v>-929376000</v>
      </c>
      <c r="C13" s="2">
        <f>IF(AND(Çeyreklik!C13&lt;&gt;"",Çeyreklik!D13&lt;&gt;"",Çeyreklik!E13&lt;&gt;"",Çeyreklik!F13&lt;&gt;""),Çeyreklik!C13+Çeyreklik!D13+Çeyreklik!E13+Çeyreklik!F13,"")</f>
        <v>-973784000</v>
      </c>
      <c r="D13" s="2">
        <f>IF(AND(Çeyreklik!D13&lt;&gt;"",Çeyreklik!E13&lt;&gt;"",Çeyreklik!F13&lt;&gt;"",Çeyreklik!G13&lt;&gt;""),Çeyreklik!D13+Çeyreklik!E13+Çeyreklik!F13+Çeyreklik!G13,"")</f>
        <v>-1032589000</v>
      </c>
      <c r="E13" s="2">
        <f>IF(AND(Çeyreklik!E13&lt;&gt;"",Çeyreklik!F13&lt;&gt;"",Çeyreklik!G13&lt;&gt;"",Çeyreklik!H13&lt;&gt;""),Çeyreklik!E13+Çeyreklik!F13+Çeyreklik!G13+Çeyreklik!H13,"")</f>
        <v>-1120598000</v>
      </c>
      <c r="F13" s="2">
        <f>IF(AND(Çeyreklik!F13&lt;&gt;"",Çeyreklik!G13&lt;&gt;"",Çeyreklik!H13&lt;&gt;"",Çeyreklik!I13&lt;&gt;""),Çeyreklik!F13+Çeyreklik!G13+Çeyreklik!H13+Çeyreklik!I13,"")</f>
        <v>-1375905000</v>
      </c>
      <c r="G13" s="2">
        <f>IF(AND(Çeyreklik!G13&lt;&gt;"",Çeyreklik!H13&lt;&gt;"",Çeyreklik!I13&lt;&gt;"",Çeyreklik!J13&lt;&gt;""),Çeyreklik!G13+Çeyreklik!H13+Çeyreklik!I13+Çeyreklik!J13,"")</f>
        <v>-1631692000</v>
      </c>
      <c r="H13" s="2">
        <f>IF(AND(Çeyreklik!H13&lt;&gt;"",Çeyreklik!I13&lt;&gt;"",Çeyreklik!J13&lt;&gt;"",Çeyreklik!K13&lt;&gt;""),Çeyreklik!H13+Çeyreklik!I13+Çeyreklik!J13+Çeyreklik!K13,"")</f>
        <v>-2001658000</v>
      </c>
      <c r="I13" s="2">
        <f>IF(AND(Çeyreklik!I13&lt;&gt;"",Çeyreklik!J13&lt;&gt;"",Çeyreklik!K13&lt;&gt;"",Çeyreklik!L13&lt;&gt;""),Çeyreklik!I13+Çeyreklik!J13+Çeyreklik!K13+Çeyreklik!L13,"")</f>
        <v>-4389641000</v>
      </c>
      <c r="J13" s="2">
        <f>IF(AND(Çeyreklik!J13&lt;&gt;"",Çeyreklik!K13&lt;&gt;"",Çeyreklik!L13&lt;&gt;"",Çeyreklik!M13&lt;&gt;""),Çeyreklik!J13+Çeyreklik!K13+Çeyreklik!L13+Çeyreklik!M13,"")</f>
        <v>-5686758000</v>
      </c>
      <c r="K13" s="2">
        <f>IF(AND(Çeyreklik!K13&lt;&gt;"",Çeyreklik!L13&lt;&gt;"",Çeyreklik!M13&lt;&gt;"",Çeyreklik!N13&lt;&gt;""),Çeyreklik!K13+Çeyreklik!L13+Çeyreklik!M13+Çeyreklik!N13,"")</f>
        <v>-7032879000</v>
      </c>
      <c r="L13" s="2">
        <f>IF(AND(Çeyreklik!L13&lt;&gt;"",Çeyreklik!M13&lt;&gt;"",Çeyreklik!N13&lt;&gt;"",Çeyreklik!O13&lt;&gt;""),Çeyreklik!L13+Çeyreklik!M13+Çeyreklik!N13+Çeyreklik!O13,"")</f>
        <v>-7885594000</v>
      </c>
      <c r="M13" s="2">
        <f>IF(AND(Çeyreklik!M13&lt;&gt;"",Çeyreklik!N13&lt;&gt;"",Çeyreklik!O13&lt;&gt;"",Çeyreklik!P13&lt;&gt;""),Çeyreklik!M13+Çeyreklik!N13+Çeyreklik!O13+Çeyreklik!P13,"")</f>
        <v>-7411104000</v>
      </c>
      <c r="N13" s="2">
        <f>IF(AND(Çeyreklik!N13&lt;&gt;"",Çeyreklik!O13&lt;&gt;"",Çeyreklik!P13&lt;&gt;"",Çeyreklik!Q13&lt;&gt;""),Çeyreklik!N13+Çeyreklik!O13+Çeyreklik!P13+Çeyreklik!Q13,"")</f>
        <v>-8395250000</v>
      </c>
      <c r="O13" s="2">
        <f>IF(AND(Çeyreklik!O13&lt;&gt;"",Çeyreklik!P13&lt;&gt;"",Çeyreklik!Q13&lt;&gt;"",Çeyreklik!R13&lt;&gt;""),Çeyreklik!O13+Çeyreklik!P13+Çeyreklik!Q13+Çeyreklik!R13,"")</f>
        <v>-8948297000</v>
      </c>
      <c r="P13" s="2">
        <f>IF(AND(Çeyreklik!P13&lt;&gt;"",Çeyreklik!Q13&lt;&gt;"",Çeyreklik!R13&lt;&gt;"",Çeyreklik!S13&lt;&gt;""),Çeyreklik!P13+Çeyreklik!Q13+Çeyreklik!R13+Çeyreklik!S13,"")</f>
        <v>-10189674000</v>
      </c>
      <c r="Q13" s="2">
        <f>IF(AND(Çeyreklik!Q13&lt;&gt;"",Çeyreklik!R13&lt;&gt;"",Çeyreklik!S13&lt;&gt;"",Çeyreklik!T13&lt;&gt;""),Çeyreklik!Q13+Çeyreklik!R13+Çeyreklik!S13+Çeyreklik!T13,"")</f>
        <v>-10787416168</v>
      </c>
      <c r="R13" s="2">
        <f>IF(AND(Çeyreklik!R13&lt;&gt;"",Çeyreklik!S13&lt;&gt;"",Çeyreklik!T13&lt;&gt;"",Çeyreklik!U13&lt;&gt;""),Çeyreklik!R13+Çeyreklik!S13+Çeyreklik!T13+Çeyreklik!U13,"")</f>
        <v>-11220246168</v>
      </c>
      <c r="S13" s="2">
        <f>IF(AND(Çeyreklik!S13&lt;&gt;"",Çeyreklik!T13&lt;&gt;"",Çeyreklik!U13&lt;&gt;"",Çeyreklik!V13&lt;&gt;""),Çeyreklik!S13+Çeyreklik!T13+Çeyreklik!U13+Çeyreklik!V13,"")</f>
        <v>-11677310168</v>
      </c>
      <c r="T13" s="2">
        <f>IF(AND(Çeyreklik!T13&lt;&gt;"",Çeyreklik!U13&lt;&gt;"",Çeyreklik!V13&lt;&gt;"",Çeyreklik!W13&lt;&gt;""),Çeyreklik!T13+Çeyreklik!U13+Çeyreklik!V13+Çeyreklik!W13,"")</f>
        <v>-12099013168</v>
      </c>
    </row>
    <row r="14" spans="1:20" x14ac:dyDescent="0.25">
      <c r="A14" t="str">
        <f>Çeyreklik!A14</f>
        <v>Genel Yönetim Giderleri (-)</v>
      </c>
      <c r="B14" s="2">
        <f>IF(AND(Çeyreklik!B14&lt;&gt;"",Çeyreklik!C14&lt;&gt;"",Çeyreklik!D14&lt;&gt;"",Çeyreklik!E14&lt;&gt;""),Çeyreklik!B14+Çeyreklik!C14+Çeyreklik!D14+Çeyreklik!E14,"")</f>
        <v>-281616000</v>
      </c>
      <c r="C14" s="2">
        <f>IF(AND(Çeyreklik!C14&lt;&gt;"",Çeyreklik!D14&lt;&gt;"",Çeyreklik!E14&lt;&gt;"",Çeyreklik!F14&lt;&gt;""),Çeyreklik!C14+Çeyreklik!D14+Çeyreklik!E14+Çeyreklik!F14,"")</f>
        <v>-300553000</v>
      </c>
      <c r="D14" s="2">
        <f>IF(AND(Çeyreklik!D14&lt;&gt;"",Çeyreklik!E14&lt;&gt;"",Çeyreklik!F14&lt;&gt;"",Çeyreklik!G14&lt;&gt;""),Çeyreklik!D14+Çeyreklik!E14+Çeyreklik!F14+Çeyreklik!G14,"")</f>
        <v>-314405000</v>
      </c>
      <c r="E14" s="2">
        <f>IF(AND(Çeyreklik!E14&lt;&gt;"",Çeyreklik!F14&lt;&gt;"",Çeyreklik!G14&lt;&gt;"",Çeyreklik!H14&lt;&gt;""),Çeyreklik!E14+Çeyreklik!F14+Çeyreklik!G14+Çeyreklik!H14,"")</f>
        <v>-353681000</v>
      </c>
      <c r="F14" s="2">
        <f>IF(AND(Çeyreklik!F14&lt;&gt;"",Çeyreklik!G14&lt;&gt;"",Çeyreklik!H14&lt;&gt;"",Çeyreklik!I14&lt;&gt;""),Çeyreklik!F14+Çeyreklik!G14+Çeyreklik!H14+Çeyreklik!I14,"")</f>
        <v>-408359000</v>
      </c>
      <c r="G14" s="2">
        <f>IF(AND(Çeyreklik!G14&lt;&gt;"",Çeyreklik!H14&lt;&gt;"",Çeyreklik!I14&lt;&gt;"",Çeyreklik!J14&lt;&gt;""),Çeyreklik!G14+Çeyreklik!H14+Çeyreklik!I14+Çeyreklik!J14,"")</f>
        <v>-471193000</v>
      </c>
      <c r="H14" s="2">
        <f>IF(AND(Çeyreklik!H14&lt;&gt;"",Çeyreklik!I14&lt;&gt;"",Çeyreklik!J14&lt;&gt;"",Çeyreklik!K14&lt;&gt;""),Çeyreklik!H14+Çeyreklik!I14+Çeyreklik!J14+Çeyreklik!K14,"")</f>
        <v>-583893000</v>
      </c>
      <c r="I14" s="2">
        <f>IF(AND(Çeyreklik!I14&lt;&gt;"",Çeyreklik!J14&lt;&gt;"",Çeyreklik!K14&lt;&gt;"",Çeyreklik!L14&lt;&gt;""),Çeyreklik!I14+Çeyreklik!J14+Çeyreklik!K14+Çeyreklik!L14,"")</f>
        <v>-1238763000</v>
      </c>
      <c r="J14" s="2">
        <f>IF(AND(Çeyreklik!J14&lt;&gt;"",Çeyreklik!K14&lt;&gt;"",Çeyreklik!L14&lt;&gt;"",Çeyreklik!M14&lt;&gt;""),Çeyreklik!J14+Çeyreklik!K14+Çeyreklik!L14+Çeyreklik!M14,"")</f>
        <v>-1494877000</v>
      </c>
      <c r="K14" s="2">
        <f>IF(AND(Çeyreklik!K14&lt;&gt;"",Çeyreklik!L14&lt;&gt;"",Çeyreklik!M14&lt;&gt;"",Çeyreklik!N14&lt;&gt;""),Çeyreklik!K14+Çeyreklik!L14+Çeyreklik!M14+Çeyreklik!N14,"")</f>
        <v>-1830273000</v>
      </c>
      <c r="L14" s="2">
        <f>IF(AND(Çeyreklik!L14&lt;&gt;"",Çeyreklik!M14&lt;&gt;"",Çeyreklik!N14&lt;&gt;"",Çeyreklik!O14&lt;&gt;""),Çeyreklik!L14+Çeyreklik!M14+Çeyreklik!N14+Çeyreklik!O14,"")</f>
        <v>-2178486000</v>
      </c>
      <c r="M14" s="2">
        <f>IF(AND(Çeyreklik!M14&lt;&gt;"",Çeyreklik!N14&lt;&gt;"",Çeyreklik!O14&lt;&gt;"",Çeyreklik!P14&lt;&gt;""),Çeyreklik!M14+Çeyreklik!N14+Çeyreklik!O14+Çeyreklik!P14,"")</f>
        <v>-2004377000</v>
      </c>
      <c r="N14" s="2">
        <f>IF(AND(Çeyreklik!N14&lt;&gt;"",Çeyreklik!O14&lt;&gt;"",Çeyreklik!P14&lt;&gt;"",Çeyreklik!Q14&lt;&gt;""),Çeyreklik!N14+Çeyreklik!O14+Çeyreklik!P14+Çeyreklik!Q14,"")</f>
        <v>-2280157000</v>
      </c>
      <c r="O14" s="2">
        <f>IF(AND(Çeyreklik!O14&lt;&gt;"",Çeyreklik!P14&lt;&gt;"",Çeyreklik!Q14&lt;&gt;"",Çeyreklik!R14&lt;&gt;""),Çeyreklik!O14+Çeyreklik!P14+Çeyreklik!Q14+Çeyreklik!R14,"")</f>
        <v>-2380463000</v>
      </c>
      <c r="P14" s="2">
        <f>IF(AND(Çeyreklik!P14&lt;&gt;"",Çeyreklik!Q14&lt;&gt;"",Çeyreklik!R14&lt;&gt;"",Çeyreklik!S14&lt;&gt;""),Çeyreklik!P14+Çeyreklik!Q14+Çeyreklik!R14+Çeyreklik!S14,"")</f>
        <v>-2691666000</v>
      </c>
      <c r="Q14" s="2">
        <f>IF(AND(Çeyreklik!Q14&lt;&gt;"",Çeyreklik!R14&lt;&gt;"",Çeyreklik!S14&lt;&gt;"",Çeyreklik!T14&lt;&gt;""),Çeyreklik!Q14+Çeyreklik!R14+Çeyreklik!S14+Çeyreklik!T14,"")</f>
        <v>-2854184137</v>
      </c>
      <c r="R14" s="2">
        <f>IF(AND(Çeyreklik!R14&lt;&gt;"",Çeyreklik!S14&lt;&gt;"",Çeyreklik!T14&lt;&gt;"",Çeyreklik!U14&lt;&gt;""),Çeyreklik!R14+Çeyreklik!S14+Çeyreklik!T14+Çeyreklik!U14,"")</f>
        <v>-2849844137</v>
      </c>
      <c r="S14" s="2">
        <f>IF(AND(Çeyreklik!S14&lt;&gt;"",Çeyreklik!T14&lt;&gt;"",Çeyreklik!U14&lt;&gt;"",Çeyreklik!V14&lt;&gt;""),Çeyreklik!S14+Çeyreklik!T14+Çeyreklik!U14+Çeyreklik!V14,"")</f>
        <v>-2952884137</v>
      </c>
      <c r="T14" s="2">
        <f>IF(AND(Çeyreklik!T14&lt;&gt;"",Çeyreklik!U14&lt;&gt;"",Çeyreklik!V14&lt;&gt;"",Çeyreklik!W14&lt;&gt;""),Çeyreklik!T14+Çeyreklik!U14+Çeyreklik!V14+Çeyreklik!W14,"")</f>
        <v>-2898831137</v>
      </c>
    </row>
    <row r="15" spans="1:20" x14ac:dyDescent="0.25">
      <c r="A15" t="str">
        <f>Çeyreklik!A15</f>
        <v>Araştırma ve Geliştirme Giderleri (-)</v>
      </c>
      <c r="B15" s="2">
        <f>IF(AND(Çeyreklik!B15&lt;&gt;"",Çeyreklik!C15&lt;&gt;"",Çeyreklik!D15&lt;&gt;"",Çeyreklik!E15&lt;&gt;""),Çeyreklik!B15+Çeyreklik!C15+Çeyreklik!D15+Çeyreklik!E15,"")</f>
        <v>-27297000</v>
      </c>
      <c r="C15" s="2">
        <f>IF(AND(Çeyreklik!C15&lt;&gt;"",Çeyreklik!D15&lt;&gt;"",Çeyreklik!E15&lt;&gt;"",Çeyreklik!F15&lt;&gt;""),Çeyreklik!C15+Çeyreklik!D15+Çeyreklik!E15+Çeyreklik!F15,"")</f>
        <v>-31698000</v>
      </c>
      <c r="D15" s="2">
        <f>IF(AND(Çeyreklik!D15&lt;&gt;"",Çeyreklik!E15&lt;&gt;"",Çeyreklik!F15&lt;&gt;"",Çeyreklik!G15&lt;&gt;""),Çeyreklik!D15+Çeyreklik!E15+Çeyreklik!F15+Çeyreklik!G15,"")</f>
        <v>-34482000</v>
      </c>
      <c r="E15" s="2">
        <f>IF(AND(Çeyreklik!E15&lt;&gt;"",Çeyreklik!F15&lt;&gt;"",Çeyreklik!G15&lt;&gt;"",Çeyreklik!H15&lt;&gt;""),Çeyreklik!E15+Çeyreklik!F15+Çeyreklik!G15+Çeyreklik!H15,"")</f>
        <v>-39786000</v>
      </c>
      <c r="F15" s="2">
        <f>IF(AND(Çeyreklik!F15&lt;&gt;"",Çeyreklik!G15&lt;&gt;"",Çeyreklik!H15&lt;&gt;"",Çeyreklik!I15&lt;&gt;""),Çeyreklik!F15+Çeyreklik!G15+Çeyreklik!H15+Çeyreklik!I15,"")</f>
        <v>-43405000</v>
      </c>
      <c r="G15" s="2">
        <f>IF(AND(Çeyreklik!G15&lt;&gt;"",Çeyreklik!H15&lt;&gt;"",Çeyreklik!I15&lt;&gt;"",Çeyreklik!J15&lt;&gt;""),Çeyreklik!G15+Çeyreklik!H15+Çeyreklik!I15+Çeyreklik!J15,"")</f>
        <v>-50740000</v>
      </c>
      <c r="H15" s="2">
        <f>IF(AND(Çeyreklik!H15&lt;&gt;"",Çeyreklik!I15&lt;&gt;"",Çeyreklik!J15&lt;&gt;"",Çeyreklik!K15&lt;&gt;""),Çeyreklik!H15+Çeyreklik!I15+Çeyreklik!J15+Çeyreklik!K15,"")</f>
        <v>-63261000</v>
      </c>
      <c r="I15" s="2">
        <f>IF(AND(Çeyreklik!I15&lt;&gt;"",Çeyreklik!J15&lt;&gt;"",Çeyreklik!K15&lt;&gt;"",Çeyreklik!L15&lt;&gt;""),Çeyreklik!I15+Çeyreklik!J15+Çeyreklik!K15+Çeyreklik!L15,"")</f>
        <v>-164649000</v>
      </c>
      <c r="J15" s="2">
        <f>IF(AND(Çeyreklik!J15&lt;&gt;"",Çeyreklik!K15&lt;&gt;"",Çeyreklik!L15&lt;&gt;"",Çeyreklik!M15&lt;&gt;""),Çeyreklik!J15+Çeyreklik!K15+Çeyreklik!L15+Çeyreklik!M15,"")</f>
        <v>-227462000</v>
      </c>
      <c r="K15" s="2">
        <f>IF(AND(Çeyreklik!K15&lt;&gt;"",Çeyreklik!L15&lt;&gt;"",Çeyreklik!M15&lt;&gt;"",Çeyreklik!N15&lt;&gt;""),Çeyreklik!K15+Çeyreklik!L15+Çeyreklik!M15+Çeyreklik!N15,"")</f>
        <v>-291980000</v>
      </c>
      <c r="L15" s="2">
        <f>IF(AND(Çeyreklik!L15&lt;&gt;"",Çeyreklik!M15&lt;&gt;"",Çeyreklik!N15&lt;&gt;"",Çeyreklik!O15&lt;&gt;""),Çeyreklik!L15+Çeyreklik!M15+Çeyreklik!N15+Çeyreklik!O15,"")</f>
        <v>-352663000</v>
      </c>
      <c r="M15" s="2">
        <f>IF(AND(Çeyreklik!M15&lt;&gt;"",Çeyreklik!N15&lt;&gt;"",Çeyreklik!O15&lt;&gt;"",Çeyreklik!P15&lt;&gt;""),Çeyreklik!M15+Çeyreklik!N15+Çeyreklik!O15+Çeyreklik!P15,"")</f>
        <v>-344639000</v>
      </c>
      <c r="N15" s="2">
        <f>IF(AND(Çeyreklik!N15&lt;&gt;"",Çeyreklik!O15&lt;&gt;"",Çeyreklik!P15&lt;&gt;"",Çeyreklik!Q15&lt;&gt;""),Çeyreklik!N15+Çeyreklik!O15+Çeyreklik!P15+Çeyreklik!Q15,"")</f>
        <v>-376530000</v>
      </c>
      <c r="O15" s="2">
        <f>IF(AND(Çeyreklik!O15&lt;&gt;"",Çeyreklik!P15&lt;&gt;"",Çeyreklik!Q15&lt;&gt;"",Çeyreklik!R15&lt;&gt;""),Çeyreklik!O15+Çeyreklik!P15+Çeyreklik!Q15+Çeyreklik!R15,"")</f>
        <v>-393919000</v>
      </c>
      <c r="P15" s="2">
        <f>IF(AND(Çeyreklik!P15&lt;&gt;"",Çeyreklik!Q15&lt;&gt;"",Çeyreklik!R15&lt;&gt;"",Çeyreklik!S15&lt;&gt;""),Çeyreklik!P15+Çeyreklik!Q15+Çeyreklik!R15+Çeyreklik!S15,"")</f>
        <v>-433707000</v>
      </c>
      <c r="Q15" s="2">
        <f>IF(AND(Çeyreklik!Q15&lt;&gt;"",Çeyreklik!R15&lt;&gt;"",Çeyreklik!S15&lt;&gt;"",Çeyreklik!T15&lt;&gt;""),Çeyreklik!Q15+Çeyreklik!R15+Çeyreklik!S15+Çeyreklik!T15,"")</f>
        <v>-520693339</v>
      </c>
      <c r="R15" s="2">
        <f>IF(AND(Çeyreklik!R15&lt;&gt;"",Çeyreklik!S15&lt;&gt;"",Çeyreklik!T15&lt;&gt;"",Çeyreklik!U15&lt;&gt;""),Çeyreklik!R15+Çeyreklik!S15+Çeyreklik!T15+Çeyreklik!U15,"")</f>
        <v>-553803339</v>
      </c>
      <c r="S15" s="2">
        <f>IF(AND(Çeyreklik!S15&lt;&gt;"",Çeyreklik!T15&lt;&gt;"",Çeyreklik!U15&lt;&gt;"",Çeyreklik!V15&lt;&gt;""),Çeyreklik!S15+Çeyreklik!T15+Çeyreklik!U15+Çeyreklik!V15,"")</f>
        <v>-596768339</v>
      </c>
      <c r="T15" s="2">
        <f>IF(AND(Çeyreklik!T15&lt;&gt;"",Çeyreklik!U15&lt;&gt;"",Çeyreklik!V15&lt;&gt;"",Çeyreklik!W15&lt;&gt;""),Çeyreklik!T15+Çeyreklik!U15+Çeyreklik!V15+Çeyreklik!W15,"")</f>
        <v>-645925339</v>
      </c>
    </row>
    <row r="16" spans="1:20" x14ac:dyDescent="0.25">
      <c r="A16" t="str">
        <f>Çeyreklik!A16</f>
        <v>Diğer Faaliyet Gelirleri</v>
      </c>
      <c r="B16" s="2">
        <f>IF(AND(Çeyreklik!B16&lt;&gt;"",Çeyreklik!C16&lt;&gt;"",Çeyreklik!D16&lt;&gt;"",Çeyreklik!E16&lt;&gt;""),Çeyreklik!B16+Çeyreklik!C16+Çeyreklik!D16+Çeyreklik!E16,"")</f>
        <v>361386000</v>
      </c>
      <c r="C16" s="2">
        <f>IF(AND(Çeyreklik!C16&lt;&gt;"",Çeyreklik!D16&lt;&gt;"",Çeyreklik!E16&lt;&gt;"",Çeyreklik!F16&lt;&gt;""),Çeyreklik!C16+Çeyreklik!D16+Çeyreklik!E16+Çeyreklik!F16,"")</f>
        <v>379465000</v>
      </c>
      <c r="D16" s="2">
        <f>IF(AND(Çeyreklik!D16&lt;&gt;"",Çeyreklik!E16&lt;&gt;"",Çeyreklik!F16&lt;&gt;"",Çeyreklik!G16&lt;&gt;""),Çeyreklik!D16+Çeyreklik!E16+Çeyreklik!F16+Çeyreklik!G16,"")</f>
        <v>243038000</v>
      </c>
      <c r="E16" s="2">
        <f>IF(AND(Çeyreklik!E16&lt;&gt;"",Çeyreklik!F16&lt;&gt;"",Çeyreklik!G16&lt;&gt;"",Çeyreklik!H16&lt;&gt;""),Çeyreklik!E16+Çeyreklik!F16+Çeyreklik!G16+Çeyreklik!H16,"")</f>
        <v>895987000</v>
      </c>
      <c r="F16" s="2">
        <f>IF(AND(Çeyreklik!F16&lt;&gt;"",Çeyreklik!G16&lt;&gt;"",Çeyreklik!H16&lt;&gt;"",Çeyreklik!I16&lt;&gt;""),Çeyreklik!F16+Çeyreklik!G16+Çeyreklik!H16+Çeyreklik!I16,"")</f>
        <v>1191883000</v>
      </c>
      <c r="G16" s="2">
        <f>IF(AND(Çeyreklik!G16&lt;&gt;"",Çeyreklik!H16&lt;&gt;"",Çeyreklik!I16&lt;&gt;"",Çeyreklik!J16&lt;&gt;""),Çeyreklik!G16+Çeyreklik!H16+Çeyreklik!I16+Çeyreklik!J16,"")</f>
        <v>1388897000</v>
      </c>
      <c r="H16" s="2">
        <f>IF(AND(Çeyreklik!H16&lt;&gt;"",Çeyreklik!I16&lt;&gt;"",Çeyreklik!J16&lt;&gt;"",Çeyreklik!K16&lt;&gt;""),Çeyreklik!H16+Çeyreklik!I16+Çeyreklik!J16+Çeyreklik!K16,"")</f>
        <v>1740943000</v>
      </c>
      <c r="I16" s="2">
        <f>IF(AND(Çeyreklik!I16&lt;&gt;"",Çeyreklik!J16&lt;&gt;"",Çeyreklik!K16&lt;&gt;"",Çeyreklik!L16&lt;&gt;""),Çeyreklik!I16+Çeyreklik!J16+Çeyreklik!K16+Çeyreklik!L16,"")</f>
        <v>2401751000</v>
      </c>
      <c r="J16" s="2">
        <f>IF(AND(Çeyreklik!J16&lt;&gt;"",Çeyreklik!K16&lt;&gt;"",Çeyreklik!L16&lt;&gt;"",Çeyreklik!M16&lt;&gt;""),Çeyreklik!J16+Çeyreklik!K16+Çeyreklik!L16+Çeyreklik!M16,"")</f>
        <v>2416829000</v>
      </c>
      <c r="K16" s="2">
        <f>IF(AND(Çeyreklik!K16&lt;&gt;"",Çeyreklik!L16&lt;&gt;"",Çeyreklik!M16&lt;&gt;"",Çeyreklik!N16&lt;&gt;""),Çeyreklik!K16+Çeyreklik!L16+Çeyreklik!M16+Çeyreklik!N16,"")</f>
        <v>4257435000</v>
      </c>
      <c r="L16" s="2">
        <f>IF(AND(Çeyreklik!L16&lt;&gt;"",Çeyreklik!M16&lt;&gt;"",Çeyreklik!N16&lt;&gt;"",Çeyreklik!O16&lt;&gt;""),Çeyreklik!L16+Çeyreklik!M16+Çeyreklik!N16+Çeyreklik!O16,"")</f>
        <v>4479814000</v>
      </c>
      <c r="M16" s="2">
        <f>IF(AND(Çeyreklik!M16&lt;&gt;"",Çeyreklik!N16&lt;&gt;"",Çeyreklik!O16&lt;&gt;"",Çeyreklik!P16&lt;&gt;""),Çeyreklik!M16+Çeyreklik!N16+Çeyreklik!O16+Çeyreklik!P16,"")</f>
        <v>3964120000</v>
      </c>
      <c r="N16" s="2">
        <f>IF(AND(Çeyreklik!N16&lt;&gt;"",Çeyreklik!O16&lt;&gt;"",Çeyreklik!P16&lt;&gt;"",Çeyreklik!Q16&lt;&gt;""),Çeyreklik!N16+Çeyreklik!O16+Çeyreklik!P16+Çeyreklik!Q16,"")</f>
        <v>5392746000</v>
      </c>
      <c r="O16" s="2">
        <f>IF(AND(Çeyreklik!O16&lt;&gt;"",Çeyreklik!P16&lt;&gt;"",Çeyreklik!Q16&lt;&gt;"",Çeyreklik!R16&lt;&gt;""),Çeyreklik!O16+Çeyreklik!P16+Çeyreklik!Q16+Çeyreklik!R16,"")</f>
        <v>3411040000</v>
      </c>
      <c r="P16" s="2">
        <f>IF(AND(Çeyreklik!P16&lt;&gt;"",Çeyreklik!Q16&lt;&gt;"",Çeyreklik!R16&lt;&gt;"",Çeyreklik!S16&lt;&gt;""),Çeyreklik!P16+Çeyreklik!Q16+Çeyreklik!R16+Çeyreklik!S16,"")</f>
        <v>3151707000</v>
      </c>
      <c r="Q16" s="2">
        <f>IF(AND(Çeyreklik!Q16&lt;&gt;"",Çeyreklik!R16&lt;&gt;"",Çeyreklik!S16&lt;&gt;"",Çeyreklik!T16&lt;&gt;""),Çeyreklik!Q16+Çeyreklik!R16+Çeyreklik!S16+Çeyreklik!T16,"")</f>
        <v>2606435615</v>
      </c>
      <c r="R16" s="2">
        <f>IF(AND(Çeyreklik!R16&lt;&gt;"",Çeyreklik!S16&lt;&gt;"",Çeyreklik!T16&lt;&gt;"",Çeyreklik!U16&lt;&gt;""),Çeyreklik!R16+Çeyreklik!S16+Çeyreklik!T16+Çeyreklik!U16,"")</f>
        <v>1871906615</v>
      </c>
      <c r="S16" s="2">
        <f>IF(AND(Çeyreklik!S16&lt;&gt;"",Çeyreklik!T16&lt;&gt;"",Çeyreklik!U16&lt;&gt;"",Çeyreklik!V16&lt;&gt;""),Çeyreklik!S16+Çeyreklik!T16+Çeyreklik!U16+Çeyreklik!V16,"")</f>
        <v>2251228615</v>
      </c>
      <c r="T16" s="2">
        <f>IF(AND(Çeyreklik!T16&lt;&gt;"",Çeyreklik!U16&lt;&gt;"",Çeyreklik!V16&lt;&gt;"",Çeyreklik!W16&lt;&gt;""),Çeyreklik!T16+Çeyreklik!U16+Çeyreklik!V16+Çeyreklik!W16,"")</f>
        <v>2715287615</v>
      </c>
    </row>
    <row r="17" spans="1:20" x14ac:dyDescent="0.25">
      <c r="A17" t="str">
        <f>Çeyreklik!A17</f>
        <v>Diğer Faaliyet Giderleri (-)</v>
      </c>
      <c r="B17" s="2">
        <f>IF(AND(Çeyreklik!B17&lt;&gt;"",Çeyreklik!C17&lt;&gt;"",Çeyreklik!D17&lt;&gt;"",Çeyreklik!E17&lt;&gt;""),Çeyreklik!B17+Çeyreklik!C17+Çeyreklik!D17+Çeyreklik!E17,"")</f>
        <v>-367800000</v>
      </c>
      <c r="C17" s="2">
        <f>IF(AND(Çeyreklik!C17&lt;&gt;"",Çeyreklik!D17&lt;&gt;"",Çeyreklik!E17&lt;&gt;"",Çeyreklik!F17&lt;&gt;""),Çeyreklik!C17+Çeyreklik!D17+Çeyreklik!E17+Çeyreklik!F17,"")</f>
        <v>-432476000</v>
      </c>
      <c r="D17" s="2">
        <f>IF(AND(Çeyreklik!D17&lt;&gt;"",Çeyreklik!E17&lt;&gt;"",Çeyreklik!F17&lt;&gt;"",Çeyreklik!G17&lt;&gt;""),Çeyreklik!D17+Çeyreklik!E17+Çeyreklik!F17+Çeyreklik!G17,"")</f>
        <v>-338453000</v>
      </c>
      <c r="E17" s="2">
        <f>IF(AND(Çeyreklik!E17&lt;&gt;"",Çeyreklik!F17&lt;&gt;"",Çeyreklik!G17&lt;&gt;"",Çeyreklik!H17&lt;&gt;""),Çeyreklik!E17+Çeyreklik!F17+Çeyreklik!G17+Çeyreklik!H17,"")</f>
        <v>-564347000</v>
      </c>
      <c r="F17" s="2">
        <f>IF(AND(Çeyreklik!F17&lt;&gt;"",Çeyreklik!G17&lt;&gt;"",Çeyreklik!H17&lt;&gt;"",Çeyreklik!I17&lt;&gt;""),Çeyreklik!F17+Çeyreklik!G17+Çeyreklik!H17+Çeyreklik!I17,"")</f>
        <v>-696100000</v>
      </c>
      <c r="G17" s="2">
        <f>IF(AND(Çeyreklik!G17&lt;&gt;"",Çeyreklik!H17&lt;&gt;"",Çeyreklik!I17&lt;&gt;"",Çeyreklik!J17&lt;&gt;""),Çeyreklik!G17+Çeyreklik!H17+Çeyreklik!I17+Çeyreklik!J17,"")</f>
        <v>-621662000</v>
      </c>
      <c r="H17" s="2">
        <f>IF(AND(Çeyreklik!H17&lt;&gt;"",Çeyreklik!I17&lt;&gt;"",Çeyreklik!J17&lt;&gt;"",Çeyreklik!K17&lt;&gt;""),Çeyreklik!H17+Çeyreklik!I17+Çeyreklik!J17+Çeyreklik!K17,"")</f>
        <v>-598672000</v>
      </c>
      <c r="I17" s="2">
        <f>IF(AND(Çeyreklik!I17&lt;&gt;"",Çeyreklik!J17&lt;&gt;"",Çeyreklik!K17&lt;&gt;"",Çeyreklik!L17&lt;&gt;""),Çeyreklik!I17+Çeyreklik!J17+Çeyreklik!K17+Çeyreklik!L17,"")</f>
        <v>-878881000</v>
      </c>
      <c r="J17" s="2">
        <f>IF(AND(Çeyreklik!J17&lt;&gt;"",Çeyreklik!K17&lt;&gt;"",Çeyreklik!L17&lt;&gt;"",Çeyreklik!M17&lt;&gt;""),Çeyreklik!J17+Çeyreklik!K17+Çeyreklik!L17+Çeyreklik!M17,"")</f>
        <v>-1015445000</v>
      </c>
      <c r="K17" s="2">
        <f>IF(AND(Çeyreklik!K17&lt;&gt;"",Çeyreklik!L17&lt;&gt;"",Çeyreklik!M17&lt;&gt;"",Çeyreklik!N17&lt;&gt;""),Çeyreklik!K17+Çeyreklik!L17+Çeyreklik!M17+Çeyreklik!N17,"")</f>
        <v>-1157958000</v>
      </c>
      <c r="L17" s="2">
        <f>IF(AND(Çeyreklik!L17&lt;&gt;"",Çeyreklik!M17&lt;&gt;"",Çeyreklik!N17&lt;&gt;"",Çeyreklik!O17&lt;&gt;""),Çeyreklik!L17+Çeyreklik!M17+Çeyreklik!N17+Çeyreklik!O17,"")</f>
        <v>-1865697000</v>
      </c>
      <c r="M17" s="2">
        <f>IF(AND(Çeyreklik!M17&lt;&gt;"",Çeyreklik!N17&lt;&gt;"",Çeyreklik!O17&lt;&gt;"",Çeyreklik!P17&lt;&gt;""),Çeyreklik!M17+Çeyreklik!N17+Çeyreklik!O17+Çeyreklik!P17,"")</f>
        <v>-1688082000</v>
      </c>
      <c r="N17" s="2">
        <f>IF(AND(Çeyreklik!N17&lt;&gt;"",Çeyreklik!O17&lt;&gt;"",Çeyreklik!P17&lt;&gt;"",Çeyreklik!Q17&lt;&gt;""),Çeyreklik!N17+Çeyreklik!O17+Çeyreklik!P17+Çeyreklik!Q17,"")</f>
        <v>-2439535000</v>
      </c>
      <c r="O17" s="2">
        <f>IF(AND(Çeyreklik!O17&lt;&gt;"",Çeyreklik!P17&lt;&gt;"",Çeyreklik!Q17&lt;&gt;"",Çeyreklik!R17&lt;&gt;""),Çeyreklik!O17+Çeyreklik!P17+Çeyreklik!Q17+Çeyreklik!R17,"")</f>
        <v>-2344977000</v>
      </c>
      <c r="P17" s="2">
        <f>IF(AND(Çeyreklik!P17&lt;&gt;"",Çeyreklik!Q17&lt;&gt;"",Çeyreklik!R17&lt;&gt;"",Çeyreklik!S17&lt;&gt;""),Çeyreklik!P17+Çeyreklik!Q17+Çeyreklik!R17+Çeyreklik!S17,"")</f>
        <v>-2031350000</v>
      </c>
      <c r="Q17" s="2">
        <f>IF(AND(Çeyreklik!Q17&lt;&gt;"",Çeyreklik!R17&lt;&gt;"",Çeyreklik!S17&lt;&gt;"",Çeyreklik!T17&lt;&gt;""),Çeyreklik!Q17+Çeyreklik!R17+Çeyreklik!S17+Çeyreklik!T17,"")</f>
        <v>-1975677812</v>
      </c>
      <c r="R17" s="2">
        <f>IF(AND(Çeyreklik!R17&lt;&gt;"",Çeyreklik!S17&lt;&gt;"",Çeyreklik!T17&lt;&gt;"",Çeyreklik!U17&lt;&gt;""),Çeyreklik!R17+Çeyreklik!S17+Çeyreklik!T17+Çeyreklik!U17,"")</f>
        <v>-1553735812</v>
      </c>
      <c r="S17" s="2">
        <f>IF(AND(Çeyreklik!S17&lt;&gt;"",Çeyreklik!T17&lt;&gt;"",Çeyreklik!U17&lt;&gt;"",Çeyreklik!V17&lt;&gt;""),Çeyreklik!S17+Çeyreklik!T17+Çeyreklik!U17+Çeyreklik!V17,"")</f>
        <v>-1891319812</v>
      </c>
      <c r="T17" s="2">
        <f>IF(AND(Çeyreklik!T17&lt;&gt;"",Çeyreklik!U17&lt;&gt;"",Çeyreklik!V17&lt;&gt;"",Çeyreklik!W17&lt;&gt;""),Çeyreklik!T17+Çeyreklik!U17+Çeyreklik!V17+Çeyreklik!W17,"")</f>
        <v>-2062688812</v>
      </c>
    </row>
    <row r="18" spans="1:20" x14ac:dyDescent="0.25">
      <c r="A18" t="str">
        <f>Çeyreklik!A18</f>
        <v>Faaliyet Karı Öncesi Diğer Gelir ve Giderler</v>
      </c>
      <c r="B18" s="2">
        <f>IF(AND(Çeyreklik!B18&lt;&gt;"",Çeyreklik!C18&lt;&gt;"",Çeyreklik!D18&lt;&gt;"",Çeyreklik!E18&lt;&gt;""),Çeyreklik!B18+Çeyreklik!C18+Çeyreklik!D18+Çeyreklik!E18,"")</f>
        <v>0</v>
      </c>
      <c r="C18" s="2">
        <f>IF(AND(Çeyreklik!C18&lt;&gt;"",Çeyreklik!D18&lt;&gt;"",Çeyreklik!E18&lt;&gt;"",Çeyreklik!F18&lt;&gt;""),Çeyreklik!C18+Çeyreklik!D18+Çeyreklik!E18+Çeyreklik!F18,"")</f>
        <v>0</v>
      </c>
      <c r="D18" s="2">
        <f>IF(AND(Çeyreklik!D18&lt;&gt;"",Çeyreklik!E18&lt;&gt;"",Çeyreklik!F18&lt;&gt;"",Çeyreklik!G18&lt;&gt;""),Çeyreklik!D18+Çeyreklik!E18+Çeyreklik!F18+Çeyreklik!G18,"")</f>
        <v>0</v>
      </c>
      <c r="E18" s="2">
        <f>IF(AND(Çeyreklik!E18&lt;&gt;"",Çeyreklik!F18&lt;&gt;"",Çeyreklik!G18&lt;&gt;"",Çeyreklik!H18&lt;&gt;""),Çeyreklik!E18+Çeyreklik!F18+Çeyreklik!G18+Çeyreklik!H18,"")</f>
        <v>0</v>
      </c>
      <c r="F18" s="2">
        <f>IF(AND(Çeyreklik!F18&lt;&gt;"",Çeyreklik!G18&lt;&gt;"",Çeyreklik!H18&lt;&gt;"",Çeyreklik!I18&lt;&gt;""),Çeyreklik!F18+Çeyreklik!G18+Çeyreklik!H18+Çeyreklik!I18,"")</f>
        <v>0</v>
      </c>
      <c r="G18" s="2">
        <f>IF(AND(Çeyreklik!G18&lt;&gt;"",Çeyreklik!H18&lt;&gt;"",Çeyreklik!I18&lt;&gt;"",Çeyreklik!J18&lt;&gt;""),Çeyreklik!G18+Çeyreklik!H18+Çeyreklik!I18+Çeyreklik!J18,"")</f>
        <v>0</v>
      </c>
      <c r="H18" s="2">
        <f>IF(AND(Çeyreklik!H18&lt;&gt;"",Çeyreklik!I18&lt;&gt;"",Çeyreklik!J18&lt;&gt;"",Çeyreklik!K18&lt;&gt;""),Çeyreklik!H18+Çeyreklik!I18+Çeyreklik!J18+Çeyreklik!K18,"")</f>
        <v>0</v>
      </c>
      <c r="I18" s="2">
        <f>IF(AND(Çeyreklik!I18&lt;&gt;"",Çeyreklik!J18&lt;&gt;"",Çeyreklik!K18&lt;&gt;"",Çeyreklik!L18&lt;&gt;""),Çeyreklik!I18+Çeyreklik!J18+Çeyreklik!K18+Çeyreklik!L18,"")</f>
        <v>0</v>
      </c>
      <c r="J18" s="2">
        <f>IF(AND(Çeyreklik!J18&lt;&gt;"",Çeyreklik!K18&lt;&gt;"",Çeyreklik!L18&lt;&gt;"",Çeyreklik!M18&lt;&gt;""),Çeyreklik!J18+Çeyreklik!K18+Çeyreklik!L18+Çeyreklik!M18,"")</f>
        <v>0</v>
      </c>
      <c r="K18" s="2">
        <f>IF(AND(Çeyreklik!K18&lt;&gt;"",Çeyreklik!L18&lt;&gt;"",Çeyreklik!M18&lt;&gt;"",Çeyreklik!N18&lt;&gt;""),Çeyreklik!K18+Çeyreklik!L18+Çeyreklik!M18+Çeyreklik!N18,"")</f>
        <v>0</v>
      </c>
      <c r="L18" s="2">
        <f>IF(AND(Çeyreklik!L18&lt;&gt;"",Çeyreklik!M18&lt;&gt;"",Çeyreklik!N18&lt;&gt;"",Çeyreklik!O18&lt;&gt;""),Çeyreklik!L18+Çeyreklik!M18+Çeyreklik!N18+Çeyreklik!O18,"")</f>
        <v>0</v>
      </c>
      <c r="M18" s="2">
        <f>IF(AND(Çeyreklik!M18&lt;&gt;"",Çeyreklik!N18&lt;&gt;"",Çeyreklik!O18&lt;&gt;"",Çeyreklik!P18&lt;&gt;""),Çeyreklik!M18+Çeyreklik!N18+Çeyreklik!O18+Çeyreklik!P18,"")</f>
        <v>0</v>
      </c>
      <c r="N18" s="2">
        <f>IF(AND(Çeyreklik!N18&lt;&gt;"",Çeyreklik!O18&lt;&gt;"",Çeyreklik!P18&lt;&gt;"",Çeyreklik!Q18&lt;&gt;""),Çeyreklik!N18+Çeyreklik!O18+Çeyreklik!P18+Çeyreklik!Q18,"")</f>
        <v>0</v>
      </c>
      <c r="O18" s="2">
        <f>IF(AND(Çeyreklik!O18&lt;&gt;"",Çeyreklik!P18&lt;&gt;"",Çeyreklik!Q18&lt;&gt;"",Çeyreklik!R18&lt;&gt;""),Çeyreklik!O18+Çeyreklik!P18+Çeyreklik!Q18+Çeyreklik!R18,"")</f>
        <v>0</v>
      </c>
      <c r="P18" s="2">
        <f>IF(AND(Çeyreklik!P18&lt;&gt;"",Çeyreklik!Q18&lt;&gt;"",Çeyreklik!R18&lt;&gt;"",Çeyreklik!S18&lt;&gt;""),Çeyreklik!P18+Çeyreklik!Q18+Çeyreklik!R18+Çeyreklik!S18,"")</f>
        <v>0</v>
      </c>
      <c r="Q18" s="2">
        <f>IF(AND(Çeyreklik!Q18&lt;&gt;"",Çeyreklik!R18&lt;&gt;"",Çeyreklik!S18&lt;&gt;"",Çeyreklik!T18&lt;&gt;""),Çeyreklik!Q18+Çeyreklik!R18+Çeyreklik!S18+Çeyreklik!T18,"")</f>
        <v>0</v>
      </c>
      <c r="R18" s="2">
        <f>IF(AND(Çeyreklik!R18&lt;&gt;"",Çeyreklik!S18&lt;&gt;"",Çeyreklik!T18&lt;&gt;"",Çeyreklik!U18&lt;&gt;""),Çeyreklik!R18+Çeyreklik!S18+Çeyreklik!T18+Çeyreklik!U18,"")</f>
        <v>0</v>
      </c>
      <c r="S18" s="2">
        <f>IF(AND(Çeyreklik!S18&lt;&gt;"",Çeyreklik!T18&lt;&gt;"",Çeyreklik!U18&lt;&gt;"",Çeyreklik!V18&lt;&gt;""),Çeyreklik!S18+Çeyreklik!T18+Çeyreklik!U18+Çeyreklik!V18,"")</f>
        <v>0</v>
      </c>
      <c r="T18" s="2">
        <f>IF(AND(Çeyreklik!T18&lt;&gt;"",Çeyreklik!U18&lt;&gt;"",Çeyreklik!V18&lt;&gt;"",Çeyreklik!W18&lt;&gt;""),Çeyreklik!T18+Çeyreklik!U18+Çeyreklik!V18+Çeyreklik!W18,"")</f>
        <v>0</v>
      </c>
    </row>
    <row r="19" spans="1:20" x14ac:dyDescent="0.25">
      <c r="A19" t="str">
        <f>Çeyreklik!A19</f>
        <v>FAALİYET KARI (ZARARI)</v>
      </c>
      <c r="B19" s="2">
        <f>IF(AND(Çeyreklik!B19&lt;&gt;"",Çeyreklik!C19&lt;&gt;"",Çeyreklik!D19&lt;&gt;"",Çeyreklik!E19&lt;&gt;""),Çeyreklik!B19+Çeyreklik!C19+Çeyreklik!D19+Çeyreklik!E19,"")</f>
        <v>1838612000</v>
      </c>
      <c r="C19" s="2">
        <f>IF(AND(Çeyreklik!C19&lt;&gt;"",Çeyreklik!D19&lt;&gt;"",Çeyreklik!E19&lt;&gt;"",Çeyreklik!F19&lt;&gt;""),Çeyreklik!C19+Çeyreklik!D19+Çeyreklik!E19+Çeyreklik!F19,"")</f>
        <v>1848492000</v>
      </c>
      <c r="D19" s="2">
        <f>IF(AND(Çeyreklik!D19&lt;&gt;"",Çeyreklik!E19&lt;&gt;"",Çeyreklik!F19&lt;&gt;"",Çeyreklik!G19&lt;&gt;""),Çeyreklik!D19+Çeyreklik!E19+Çeyreklik!F19+Çeyreklik!G19,"")</f>
        <v>1725915000</v>
      </c>
      <c r="E19" s="2">
        <f>IF(AND(Çeyreklik!E19&lt;&gt;"",Çeyreklik!F19&lt;&gt;"",Çeyreklik!G19&lt;&gt;"",Çeyreklik!H19&lt;&gt;""),Çeyreklik!E19+Çeyreklik!F19+Çeyreklik!G19+Çeyreklik!H19,"")</f>
        <v>2429990000</v>
      </c>
      <c r="F19" s="2">
        <f>IF(AND(Çeyreklik!F19&lt;&gt;"",Çeyreklik!G19&lt;&gt;"",Çeyreklik!H19&lt;&gt;"",Çeyreklik!I19&lt;&gt;""),Çeyreklik!F19+Çeyreklik!G19+Çeyreklik!H19+Çeyreklik!I19,"")</f>
        <v>3267281000</v>
      </c>
      <c r="G19" s="2">
        <f>IF(AND(Çeyreklik!G19&lt;&gt;"",Çeyreklik!H19&lt;&gt;"",Çeyreklik!I19&lt;&gt;"",Çeyreklik!J19&lt;&gt;""),Çeyreklik!G19+Çeyreklik!H19+Çeyreklik!I19+Çeyreklik!J19,"")</f>
        <v>4199129000</v>
      </c>
      <c r="H19" s="2">
        <f>IF(AND(Çeyreklik!H19&lt;&gt;"",Çeyreklik!I19&lt;&gt;"",Çeyreklik!J19&lt;&gt;"",Çeyreklik!K19&lt;&gt;""),Çeyreklik!H19+Çeyreklik!I19+Çeyreklik!J19+Çeyreklik!K19,"")</f>
        <v>5295696000</v>
      </c>
      <c r="I19" s="2">
        <f>IF(AND(Çeyreklik!I19&lt;&gt;"",Çeyreklik!J19&lt;&gt;"",Çeyreklik!K19&lt;&gt;"",Çeyreklik!L19&lt;&gt;""),Çeyreklik!I19+Çeyreklik!J19+Çeyreklik!K19+Çeyreklik!L19,"")</f>
        <v>7058007000</v>
      </c>
      <c r="J19" s="2">
        <f>IF(AND(Çeyreklik!J19&lt;&gt;"",Çeyreklik!K19&lt;&gt;"",Çeyreklik!L19&lt;&gt;"",Çeyreklik!M19&lt;&gt;""),Çeyreklik!J19+Çeyreklik!K19+Çeyreklik!L19+Çeyreklik!M19,"")</f>
        <v>9251122000</v>
      </c>
      <c r="K19" s="2">
        <f>IF(AND(Çeyreklik!K19&lt;&gt;"",Çeyreklik!L19&lt;&gt;"",Çeyreklik!M19&lt;&gt;"",Çeyreklik!N19&lt;&gt;""),Çeyreklik!K19+Çeyreklik!L19+Çeyreklik!M19+Çeyreklik!N19,"")</f>
        <v>12905895000</v>
      </c>
      <c r="L19" s="2">
        <f>IF(AND(Çeyreklik!L19&lt;&gt;"",Çeyreklik!M19&lt;&gt;"",Çeyreklik!N19&lt;&gt;"",Çeyreklik!O19&lt;&gt;""),Çeyreklik!L19+Çeyreklik!M19+Çeyreklik!N19+Çeyreklik!O19,"")</f>
        <v>14538736000</v>
      </c>
      <c r="M19" s="2">
        <f>IF(AND(Çeyreklik!M19&lt;&gt;"",Çeyreklik!N19&lt;&gt;"",Çeyreklik!O19&lt;&gt;"",Çeyreklik!P19&lt;&gt;""),Çeyreklik!M19+Çeyreklik!N19+Çeyreklik!O19+Çeyreklik!P19,"")</f>
        <v>15871436000</v>
      </c>
      <c r="N19" s="2">
        <f>IF(AND(Çeyreklik!N19&lt;&gt;"",Çeyreklik!O19&lt;&gt;"",Çeyreklik!P19&lt;&gt;"",Çeyreklik!Q19&lt;&gt;""),Çeyreklik!N19+Çeyreklik!O19+Çeyreklik!P19+Çeyreklik!Q19,"")</f>
        <v>18129320000</v>
      </c>
      <c r="O19" s="2">
        <f>IF(AND(Çeyreklik!O19&lt;&gt;"",Çeyreklik!P19&lt;&gt;"",Çeyreklik!Q19&lt;&gt;"",Çeyreklik!R19&lt;&gt;""),Çeyreklik!O19+Çeyreklik!P19+Çeyreklik!Q19+Çeyreklik!R19,"")</f>
        <v>17007280000</v>
      </c>
      <c r="P19" s="2">
        <f>IF(AND(Çeyreklik!P19&lt;&gt;"",Çeyreklik!Q19&lt;&gt;"",Çeyreklik!R19&lt;&gt;"",Çeyreklik!S19&lt;&gt;""),Çeyreklik!P19+Çeyreklik!Q19+Çeyreklik!R19+Çeyreklik!S19,"")</f>
        <v>17803449000</v>
      </c>
      <c r="Q19" s="2">
        <f>IF(AND(Çeyreklik!Q19&lt;&gt;"",Çeyreklik!R19&lt;&gt;"",Çeyreklik!S19&lt;&gt;"",Çeyreklik!T19&lt;&gt;""),Çeyreklik!Q19+Çeyreklik!R19+Çeyreklik!S19+Çeyreklik!T19,"")</f>
        <v>17909096189</v>
      </c>
      <c r="R19" s="2">
        <f>IF(AND(Çeyreklik!R19&lt;&gt;"",Çeyreklik!S19&lt;&gt;"",Çeyreklik!T19&lt;&gt;"",Çeyreklik!U19&lt;&gt;""),Çeyreklik!R19+Çeyreklik!S19+Çeyreklik!T19+Çeyreklik!U19,"")</f>
        <v>17498108189</v>
      </c>
      <c r="S19" s="2">
        <f>IF(AND(Çeyreklik!S19&lt;&gt;"",Çeyreklik!T19&lt;&gt;"",Çeyreklik!U19&lt;&gt;"",Çeyreklik!V19&lt;&gt;""),Çeyreklik!S19+Çeyreklik!T19+Çeyreklik!U19+Çeyreklik!V19,"")</f>
        <v>16923435189</v>
      </c>
      <c r="T19" s="2">
        <f>IF(AND(Çeyreklik!T19&lt;&gt;"",Çeyreklik!U19&lt;&gt;"",Çeyreklik!V19&lt;&gt;"",Çeyreklik!W19&lt;&gt;""),Çeyreklik!T19+Çeyreklik!U19+Çeyreklik!V19+Çeyreklik!W19,"")</f>
        <v>17682947189</v>
      </c>
    </row>
    <row r="20" spans="1:20" x14ac:dyDescent="0.25">
      <c r="A20" t="str">
        <f>Çeyreklik!A20</f>
        <v>Net Faaliyet Kar/Zararı</v>
      </c>
      <c r="B20" s="2">
        <f>IF(AND(Çeyreklik!B20&lt;&gt;"",Çeyreklik!C20&lt;&gt;"",Çeyreklik!D20&lt;&gt;"",Çeyreklik!E20&lt;&gt;""),Çeyreklik!B20+Çeyreklik!C20+Çeyreklik!D20+Çeyreklik!E20,"")</f>
        <v>1845026000</v>
      </c>
      <c r="C20" s="2">
        <f>IF(AND(Çeyreklik!C20&lt;&gt;"",Çeyreklik!D20&lt;&gt;"",Çeyreklik!E20&lt;&gt;"",Çeyreklik!F20&lt;&gt;""),Çeyreklik!C20+Çeyreklik!D20+Çeyreklik!E20+Çeyreklik!F20,"")</f>
        <v>1901503000</v>
      </c>
      <c r="D20" s="2">
        <f>IF(AND(Çeyreklik!D20&lt;&gt;"",Çeyreklik!E20&lt;&gt;"",Çeyreklik!F20&lt;&gt;"",Çeyreklik!G20&lt;&gt;""),Çeyreklik!D20+Çeyreklik!E20+Çeyreklik!F20+Çeyreklik!G20,"")</f>
        <v>1821330000</v>
      </c>
      <c r="E20" s="2">
        <f>IF(AND(Çeyreklik!E20&lt;&gt;"",Çeyreklik!F20&lt;&gt;"",Çeyreklik!G20&lt;&gt;"",Çeyreklik!H20&lt;&gt;""),Çeyreklik!E20+Çeyreklik!F20+Çeyreklik!G20+Çeyreklik!H20,"")</f>
        <v>2098350000</v>
      </c>
      <c r="F20" s="2">
        <f>IF(AND(Çeyreklik!F20&lt;&gt;"",Çeyreklik!G20&lt;&gt;"",Çeyreklik!H20&lt;&gt;"",Çeyreklik!I20&lt;&gt;""),Çeyreklik!F20+Çeyreklik!G20+Çeyreklik!H20+Çeyreklik!I20,"")</f>
        <v>2771498000</v>
      </c>
      <c r="G20" s="2">
        <f>IF(AND(Çeyreklik!G20&lt;&gt;"",Çeyreklik!H20&lt;&gt;"",Çeyreklik!I20&lt;&gt;"",Çeyreklik!J20&lt;&gt;""),Çeyreklik!G20+Çeyreklik!H20+Çeyreklik!I20+Çeyreklik!J20,"")</f>
        <v>3431894000</v>
      </c>
      <c r="H20" s="2">
        <f>IF(AND(Çeyreklik!H20&lt;&gt;"",Çeyreklik!I20&lt;&gt;"",Çeyreklik!J20&lt;&gt;"",Çeyreklik!K20&lt;&gt;""),Çeyreklik!H20+Çeyreklik!I20+Çeyreklik!J20+Çeyreklik!K20,"")</f>
        <v>4153425000</v>
      </c>
      <c r="I20" s="2">
        <f>IF(AND(Çeyreklik!I20&lt;&gt;"",Çeyreklik!J20&lt;&gt;"",Çeyreklik!K20&lt;&gt;"",Çeyreklik!L20&lt;&gt;""),Çeyreklik!I20+Çeyreklik!J20+Çeyreklik!K20+Çeyreklik!L20,"")</f>
        <v>5535137000</v>
      </c>
      <c r="J20" s="2">
        <f>IF(AND(Çeyreklik!J20&lt;&gt;"",Çeyreklik!K20&lt;&gt;"",Çeyreklik!L20&lt;&gt;"",Çeyreklik!M20&lt;&gt;""),Çeyreklik!J20+Çeyreklik!K20+Çeyreklik!L20+Çeyreklik!M20,"")</f>
        <v>7849738000</v>
      </c>
      <c r="K20" s="2">
        <f>IF(AND(Çeyreklik!K20&lt;&gt;"",Çeyreklik!L20&lt;&gt;"",Çeyreklik!M20&lt;&gt;"",Çeyreklik!N20&lt;&gt;""),Çeyreklik!K20+Çeyreklik!L20+Çeyreklik!M20+Çeyreklik!N20,"")</f>
        <v>9806418000</v>
      </c>
      <c r="L20" s="2">
        <f>IF(AND(Çeyreklik!L20&lt;&gt;"",Çeyreklik!M20&lt;&gt;"",Çeyreklik!N20&lt;&gt;"",Çeyreklik!O20&lt;&gt;""),Çeyreklik!L20+Çeyreklik!M20+Çeyreklik!N20+Çeyreklik!O20,"")</f>
        <v>11924619000</v>
      </c>
      <c r="M20" s="2">
        <f>IF(AND(Çeyreklik!M20&lt;&gt;"",Çeyreklik!N20&lt;&gt;"",Çeyreklik!O20&lt;&gt;"",Çeyreklik!P20&lt;&gt;""),Çeyreklik!M20+Çeyreklik!N20+Çeyreklik!O20+Çeyreklik!P20,"")</f>
        <v>13595398000</v>
      </c>
      <c r="N20" s="2">
        <f>IF(AND(Çeyreklik!N20&lt;&gt;"",Çeyreklik!O20&lt;&gt;"",Çeyreklik!P20&lt;&gt;"",Çeyreklik!Q20&lt;&gt;""),Çeyreklik!N20+Çeyreklik!O20+Çeyreklik!P20+Çeyreklik!Q20,"")</f>
        <v>15176109000</v>
      </c>
      <c r="O20" s="2">
        <f>IF(AND(Çeyreklik!O20&lt;&gt;"",Çeyreklik!P20&lt;&gt;"",Çeyreklik!Q20&lt;&gt;"",Çeyreklik!R20&lt;&gt;""),Çeyreklik!O20+Çeyreklik!P20+Çeyreklik!Q20+Çeyreklik!R20,"")</f>
        <v>15941217000</v>
      </c>
      <c r="P20" s="2">
        <f>IF(AND(Çeyreklik!P20&lt;&gt;"",Çeyreklik!Q20&lt;&gt;"",Çeyreklik!R20&lt;&gt;"",Çeyreklik!S20&lt;&gt;""),Çeyreklik!P20+Çeyreklik!Q20+Çeyreklik!R20+Çeyreklik!S20,"")</f>
        <v>16683092000</v>
      </c>
      <c r="Q20" s="2">
        <f>IF(AND(Çeyreklik!Q20&lt;&gt;"",Çeyreklik!R20&lt;&gt;"",Çeyreklik!S20&lt;&gt;"",Çeyreklik!T20&lt;&gt;""),Çeyreklik!Q20+Çeyreklik!R20+Çeyreklik!S20+Çeyreklik!T20,"")</f>
        <v>17278338386</v>
      </c>
      <c r="R20" s="2">
        <f>IF(AND(Çeyreklik!R20&lt;&gt;"",Çeyreklik!S20&lt;&gt;"",Çeyreklik!T20&lt;&gt;"",Çeyreklik!U20&lt;&gt;""),Çeyreklik!R20+Çeyreklik!S20+Çeyreklik!T20+Çeyreklik!U20,"")</f>
        <v>17179937386</v>
      </c>
      <c r="S20" s="2">
        <f>IF(AND(Çeyreklik!S20&lt;&gt;"",Çeyreklik!T20&lt;&gt;"",Çeyreklik!U20&lt;&gt;"",Çeyreklik!V20&lt;&gt;""),Çeyreklik!S20+Çeyreklik!T20+Çeyreklik!U20+Çeyreklik!V20,"")</f>
        <v>16563526386</v>
      </c>
      <c r="T20" s="2">
        <f>IF(AND(Çeyreklik!T20&lt;&gt;"",Çeyreklik!U20&lt;&gt;"",Çeyreklik!V20&lt;&gt;"",Çeyreklik!W20&lt;&gt;""),Çeyreklik!T20+Çeyreklik!U20+Çeyreklik!V20+Çeyreklik!W20,"")</f>
        <v>17030348386</v>
      </c>
    </row>
    <row r="21" spans="1:20" x14ac:dyDescent="0.25">
      <c r="A21" t="str">
        <f>Çeyreklik!A21</f>
        <v xml:space="preserve">  Yatırım Faaliyetlerinden Gelirler</v>
      </c>
      <c r="B21" s="2">
        <f>IF(AND(Çeyreklik!B21&lt;&gt;"",Çeyreklik!C21&lt;&gt;"",Çeyreklik!D21&lt;&gt;"",Çeyreklik!E21&lt;&gt;""),Çeyreklik!B21+Çeyreklik!C21+Çeyreklik!D21+Çeyreklik!E21,"")</f>
        <v>3336319000</v>
      </c>
      <c r="C21" s="2">
        <f>IF(AND(Çeyreklik!C21&lt;&gt;"",Çeyreklik!D21&lt;&gt;"",Çeyreklik!E21&lt;&gt;"",Çeyreklik!F21&lt;&gt;""),Çeyreklik!C21+Çeyreklik!D21+Çeyreklik!E21+Çeyreklik!F21,"")</f>
        <v>3869488000</v>
      </c>
      <c r="D21" s="2">
        <f>IF(AND(Çeyreklik!D21&lt;&gt;"",Çeyreklik!E21&lt;&gt;"",Çeyreklik!F21&lt;&gt;"",Çeyreklik!G21&lt;&gt;""),Çeyreklik!D21+Çeyreklik!E21+Çeyreklik!F21+Çeyreklik!G21,"")</f>
        <v>2501482000</v>
      </c>
      <c r="E21" s="2">
        <f>IF(AND(Çeyreklik!E21&lt;&gt;"",Çeyreklik!F21&lt;&gt;"",Çeyreklik!G21&lt;&gt;"",Çeyreklik!H21&lt;&gt;""),Çeyreklik!E21+Çeyreklik!F21+Çeyreklik!G21+Çeyreklik!H21,"")</f>
        <v>6096145000</v>
      </c>
      <c r="F21" s="2">
        <f>IF(AND(Çeyreklik!F21&lt;&gt;"",Çeyreklik!G21&lt;&gt;"",Çeyreklik!H21&lt;&gt;"",Çeyreklik!I21&lt;&gt;""),Çeyreklik!F21+Çeyreklik!G21+Çeyreklik!H21+Çeyreklik!I21,"")</f>
        <v>5698331000</v>
      </c>
      <c r="G21" s="2">
        <f>IF(AND(Çeyreklik!G21&lt;&gt;"",Çeyreklik!H21&lt;&gt;"",Çeyreklik!I21&lt;&gt;"",Çeyreklik!J21&lt;&gt;""),Çeyreklik!G21+Çeyreklik!H21+Çeyreklik!I21+Çeyreklik!J21,"")</f>
        <v>6150060000</v>
      </c>
      <c r="H21" s="2">
        <f>IF(AND(Çeyreklik!H21&lt;&gt;"",Çeyreklik!I21&lt;&gt;"",Çeyreklik!J21&lt;&gt;"",Çeyreklik!K21&lt;&gt;""),Çeyreklik!H21+Çeyreklik!I21+Çeyreklik!J21+Çeyreklik!K21,"")</f>
        <v>7563274000</v>
      </c>
      <c r="I21" s="2">
        <f>IF(AND(Çeyreklik!I21&lt;&gt;"",Çeyreklik!J21&lt;&gt;"",Çeyreklik!K21&lt;&gt;"",Çeyreklik!L21&lt;&gt;""),Çeyreklik!I21+Çeyreklik!J21+Çeyreklik!K21+Çeyreklik!L21,"")</f>
        <v>7811620000</v>
      </c>
      <c r="J21" s="2">
        <f>IF(AND(Çeyreklik!J21&lt;&gt;"",Çeyreklik!K21&lt;&gt;"",Çeyreklik!L21&lt;&gt;"",Çeyreklik!M21&lt;&gt;""),Çeyreklik!J21+Çeyreklik!K21+Çeyreklik!L21+Çeyreklik!M21,"")</f>
        <v>7698186000</v>
      </c>
      <c r="K21" s="2">
        <f>IF(AND(Çeyreklik!K21&lt;&gt;"",Çeyreklik!L21&lt;&gt;"",Çeyreklik!M21&lt;&gt;"",Çeyreklik!N21&lt;&gt;""),Çeyreklik!K21+Çeyreklik!L21+Çeyreklik!M21+Çeyreklik!N21,"")</f>
        <v>12558983000</v>
      </c>
      <c r="L21" s="2">
        <f>IF(AND(Çeyreklik!L21&lt;&gt;"",Çeyreklik!M21&lt;&gt;"",Çeyreklik!N21&lt;&gt;"",Çeyreklik!O21&lt;&gt;""),Çeyreklik!L21+Çeyreklik!M21+Çeyreklik!N21+Çeyreklik!O21,"")</f>
        <v>12755101000</v>
      </c>
      <c r="M21" s="2">
        <f>IF(AND(Çeyreklik!M21&lt;&gt;"",Çeyreklik!N21&lt;&gt;"",Çeyreklik!O21&lt;&gt;"",Çeyreklik!P21&lt;&gt;""),Çeyreklik!M21+Çeyreklik!N21+Çeyreklik!O21+Çeyreklik!P21,"")</f>
        <v>11006892000</v>
      </c>
      <c r="N21" s="2">
        <f>IF(AND(Çeyreklik!N21&lt;&gt;"",Çeyreklik!O21&lt;&gt;"",Çeyreklik!P21&lt;&gt;"",Çeyreklik!Q21&lt;&gt;""),Çeyreklik!N21+Çeyreklik!O21+Çeyreklik!P21+Çeyreklik!Q21,"")</f>
        <v>11871661000</v>
      </c>
      <c r="O21" s="2">
        <f>IF(AND(Çeyreklik!O21&lt;&gt;"",Çeyreklik!P21&lt;&gt;"",Çeyreklik!Q21&lt;&gt;"",Çeyreklik!R21&lt;&gt;""),Çeyreklik!O21+Çeyreklik!P21+Çeyreklik!Q21+Çeyreklik!R21,"")</f>
        <v>6664832000</v>
      </c>
      <c r="P21" s="2">
        <f>IF(AND(Çeyreklik!P21&lt;&gt;"",Çeyreklik!Q21&lt;&gt;"",Çeyreklik!R21&lt;&gt;"",Çeyreklik!S21&lt;&gt;""),Çeyreklik!P21+Çeyreklik!Q21+Çeyreklik!R21+Çeyreklik!S21,"")</f>
        <v>8164417000</v>
      </c>
      <c r="Q21" s="2">
        <f>IF(AND(Çeyreklik!Q21&lt;&gt;"",Çeyreklik!R21&lt;&gt;"",Çeyreklik!S21&lt;&gt;"",Çeyreklik!T21&lt;&gt;""),Çeyreklik!Q21+Çeyreklik!R21+Çeyreklik!S21+Çeyreklik!T21,"")</f>
        <v>7661698297</v>
      </c>
      <c r="R21" s="2">
        <f>IF(AND(Çeyreklik!R21&lt;&gt;"",Çeyreklik!S21&lt;&gt;"",Çeyreklik!T21&lt;&gt;"",Çeyreklik!U21&lt;&gt;""),Çeyreklik!R21+Çeyreklik!S21+Çeyreklik!T21+Çeyreklik!U21,"")</f>
        <v>9216970297</v>
      </c>
      <c r="S21" s="2">
        <f>IF(AND(Çeyreklik!S21&lt;&gt;"",Çeyreklik!T21&lt;&gt;"",Çeyreklik!U21&lt;&gt;"",Çeyreklik!V21&lt;&gt;""),Çeyreklik!S21+Çeyreklik!T21+Çeyreklik!U21+Çeyreklik!V21,"")</f>
        <v>11561298297</v>
      </c>
      <c r="T21" s="2">
        <f>IF(AND(Çeyreklik!T21&lt;&gt;"",Çeyreklik!U21&lt;&gt;"",Çeyreklik!V21&lt;&gt;"",Çeyreklik!W21&lt;&gt;""),Çeyreklik!T21+Çeyreklik!U21+Çeyreklik!V21+Çeyreklik!W21,"")</f>
        <v>11721419297</v>
      </c>
    </row>
    <row r="22" spans="1:20" x14ac:dyDescent="0.25">
      <c r="A22" t="str">
        <f>Çeyreklik!A22</f>
        <v xml:space="preserve">  Yatırım Faaliyetlerinden Giderler (-)</v>
      </c>
      <c r="B22" s="2">
        <f>IF(AND(Çeyreklik!B22&lt;&gt;"",Çeyreklik!C22&lt;&gt;"",Çeyreklik!D22&lt;&gt;"",Çeyreklik!E22&lt;&gt;""),Çeyreklik!B22+Çeyreklik!C22+Çeyreklik!D22+Çeyreklik!E22,"")</f>
        <v>-14266000</v>
      </c>
      <c r="C22" s="2">
        <f>IF(AND(Çeyreklik!C22&lt;&gt;"",Çeyreklik!D22&lt;&gt;"",Çeyreklik!E22&lt;&gt;"",Çeyreklik!F22&lt;&gt;""),Çeyreklik!C22+Çeyreklik!D22+Çeyreklik!E22+Çeyreklik!F22,"")</f>
        <v>-443801000</v>
      </c>
      <c r="D22" s="2">
        <f>IF(AND(Çeyreklik!D22&lt;&gt;"",Çeyreklik!E22&lt;&gt;"",Çeyreklik!F22&lt;&gt;"",Çeyreklik!G22&lt;&gt;""),Çeyreklik!D22+Çeyreklik!E22+Çeyreklik!F22+Çeyreklik!G22,"")</f>
        <v>-585453000</v>
      </c>
      <c r="E22" s="2">
        <f>IF(AND(Çeyreklik!E22&lt;&gt;"",Çeyreklik!F22&lt;&gt;"",Çeyreklik!G22&lt;&gt;"",Çeyreklik!H22&lt;&gt;""),Çeyreklik!E22+Çeyreklik!F22+Çeyreklik!G22+Çeyreklik!H22,"")</f>
        <v>-130934000</v>
      </c>
      <c r="F22" s="2">
        <f>IF(AND(Çeyreklik!F22&lt;&gt;"",Çeyreklik!G22&lt;&gt;"",Çeyreklik!H22&lt;&gt;"",Çeyreklik!I22&lt;&gt;""),Çeyreklik!F22+Çeyreklik!G22+Çeyreklik!H22+Çeyreklik!I22,"")</f>
        <v>-869195000</v>
      </c>
      <c r="G22" s="2">
        <f>IF(AND(Çeyreklik!G22&lt;&gt;"",Çeyreklik!H22&lt;&gt;"",Çeyreklik!I22&lt;&gt;"",Çeyreklik!J22&lt;&gt;""),Çeyreklik!G22+Çeyreklik!H22+Çeyreklik!I22+Çeyreklik!J22,"")</f>
        <v>-1627605000</v>
      </c>
      <c r="H22" s="2">
        <f>IF(AND(Çeyreklik!H22&lt;&gt;"",Çeyreklik!I22&lt;&gt;"",Çeyreklik!J22&lt;&gt;"",Çeyreklik!K22&lt;&gt;""),Çeyreklik!H22+Çeyreklik!I22+Çeyreklik!J22+Çeyreklik!K22,"")</f>
        <v>-2017593000</v>
      </c>
      <c r="I22" s="2">
        <f>IF(AND(Çeyreklik!I22&lt;&gt;"",Çeyreklik!J22&lt;&gt;"",Çeyreklik!K22&lt;&gt;"",Çeyreklik!L22&lt;&gt;""),Çeyreklik!I22+Çeyreklik!J22+Çeyreklik!K22+Çeyreklik!L22,"")</f>
        <v>-3247512000</v>
      </c>
      <c r="J22" s="2">
        <f>IF(AND(Çeyreklik!J22&lt;&gt;"",Çeyreklik!K22&lt;&gt;"",Çeyreklik!L22&lt;&gt;"",Çeyreklik!M22&lt;&gt;""),Çeyreklik!J22+Çeyreklik!K22+Çeyreklik!L22+Çeyreklik!M22,"")</f>
        <v>-2574559000</v>
      </c>
      <c r="K22" s="2">
        <f>IF(AND(Çeyreklik!K22&lt;&gt;"",Çeyreklik!L22&lt;&gt;"",Çeyreklik!M22&lt;&gt;"",Çeyreklik!N22&lt;&gt;""),Çeyreklik!K22+Çeyreklik!L22+Çeyreklik!M22+Çeyreklik!N22,"")</f>
        <v>-2090831000</v>
      </c>
      <c r="L22" s="2">
        <f>IF(AND(Çeyreklik!L22&lt;&gt;"",Çeyreklik!M22&lt;&gt;"",Çeyreklik!N22&lt;&gt;"",Çeyreklik!O22&lt;&gt;""),Çeyreklik!L22+Çeyreklik!M22+Çeyreklik!N22+Çeyreklik!O22,"")</f>
        <v>-1921620000</v>
      </c>
      <c r="M22" s="2">
        <f>IF(AND(Çeyreklik!M22&lt;&gt;"",Çeyreklik!N22&lt;&gt;"",Çeyreklik!O22&lt;&gt;"",Çeyreklik!P22&lt;&gt;""),Çeyreklik!M22+Çeyreklik!N22+Çeyreklik!O22+Çeyreklik!P22,"")</f>
        <v>-604641000</v>
      </c>
      <c r="N22" s="2">
        <f>IF(AND(Çeyreklik!N22&lt;&gt;"",Çeyreklik!O22&lt;&gt;"",Çeyreklik!P22&lt;&gt;"",Çeyreklik!Q22&lt;&gt;""),Çeyreklik!N22+Çeyreklik!O22+Çeyreklik!P22+Çeyreklik!Q22,"")</f>
        <v>-543193000</v>
      </c>
      <c r="O22" s="2">
        <f>IF(AND(Çeyreklik!O22&lt;&gt;"",Çeyreklik!P22&lt;&gt;"",Çeyreklik!Q22&lt;&gt;"",Çeyreklik!R22&lt;&gt;""),Çeyreklik!O22+Çeyreklik!P22+Çeyreklik!Q22+Çeyreklik!R22,"")</f>
        <v>-275761000</v>
      </c>
      <c r="P22" s="2">
        <f>IF(AND(Çeyreklik!P22&lt;&gt;"",Çeyreklik!Q22&lt;&gt;"",Çeyreklik!R22&lt;&gt;"",Çeyreklik!S22&lt;&gt;""),Çeyreklik!P22+Çeyreklik!Q22+Çeyreklik!R22+Çeyreklik!S22,"")</f>
        <v>-189023000</v>
      </c>
      <c r="Q22" s="2">
        <f>IF(AND(Çeyreklik!Q22&lt;&gt;"",Çeyreklik!R22&lt;&gt;"",Çeyreklik!S22&lt;&gt;"",Çeyreklik!T22&lt;&gt;""),Çeyreklik!Q22+Çeyreklik!R22+Çeyreklik!S22+Çeyreklik!T22,"")</f>
        <v>-330067960</v>
      </c>
      <c r="R22" s="2">
        <f>IF(AND(Çeyreklik!R22&lt;&gt;"",Çeyreklik!S22&lt;&gt;"",Çeyreklik!T22&lt;&gt;"",Çeyreklik!U22&lt;&gt;""),Çeyreklik!R22+Çeyreklik!S22+Çeyreklik!T22+Çeyreklik!U22,"")</f>
        <v>-899941960</v>
      </c>
      <c r="S22" s="2">
        <f>IF(AND(Çeyreklik!S22&lt;&gt;"",Çeyreklik!T22&lt;&gt;"",Çeyreklik!U22&lt;&gt;"",Çeyreklik!V22&lt;&gt;""),Çeyreklik!S22+Çeyreklik!T22+Çeyreklik!U22+Çeyreklik!V22,"")</f>
        <v>-934134960</v>
      </c>
      <c r="T22" s="2">
        <f>IF(AND(Çeyreklik!T22&lt;&gt;"",Çeyreklik!U22&lt;&gt;"",Çeyreklik!V22&lt;&gt;"",Çeyreklik!W22&lt;&gt;""),Çeyreklik!T22+Çeyreklik!U22+Çeyreklik!V22+Çeyreklik!W22,"")</f>
        <v>-907198960</v>
      </c>
    </row>
    <row r="23" spans="1:20" x14ac:dyDescent="0.25">
      <c r="A23" t="str">
        <f>Çeyreklik!A23</f>
        <v xml:space="preserve">  Diğer Gelir ve Giderler</v>
      </c>
      <c r="B23" s="2">
        <f>IF(AND(Çeyreklik!B23&lt;&gt;"",Çeyreklik!C23&lt;&gt;"",Çeyreklik!D23&lt;&gt;"",Çeyreklik!E23&lt;&gt;""),Çeyreklik!B23+Çeyreklik!C23+Çeyreklik!D23+Çeyreklik!E23,"")</f>
        <v>0</v>
      </c>
      <c r="C23" s="2">
        <f>IF(AND(Çeyreklik!C23&lt;&gt;"",Çeyreklik!D23&lt;&gt;"",Çeyreklik!E23&lt;&gt;"",Çeyreklik!F23&lt;&gt;""),Çeyreklik!C23+Çeyreklik!D23+Çeyreklik!E23+Çeyreklik!F23,"")</f>
        <v>0</v>
      </c>
      <c r="D23" s="2">
        <f>IF(AND(Çeyreklik!D23&lt;&gt;"",Çeyreklik!E23&lt;&gt;"",Çeyreklik!F23&lt;&gt;"",Çeyreklik!G23&lt;&gt;""),Çeyreklik!D23+Çeyreklik!E23+Çeyreklik!F23+Çeyreklik!G23,"")</f>
        <v>0</v>
      </c>
      <c r="E23" s="2">
        <f>IF(AND(Çeyreklik!E23&lt;&gt;"",Çeyreklik!F23&lt;&gt;"",Çeyreklik!G23&lt;&gt;"",Çeyreklik!H23&lt;&gt;""),Çeyreklik!E23+Çeyreklik!F23+Çeyreklik!G23+Çeyreklik!H23,"")</f>
        <v>0</v>
      </c>
      <c r="F23" s="2">
        <f>IF(AND(Çeyreklik!F23&lt;&gt;"",Çeyreklik!G23&lt;&gt;"",Çeyreklik!H23&lt;&gt;"",Çeyreklik!I23&lt;&gt;""),Çeyreklik!F23+Çeyreklik!G23+Çeyreklik!H23+Çeyreklik!I23,"")</f>
        <v>0</v>
      </c>
      <c r="G23" s="2">
        <f>IF(AND(Çeyreklik!G23&lt;&gt;"",Çeyreklik!H23&lt;&gt;"",Çeyreklik!I23&lt;&gt;"",Çeyreklik!J23&lt;&gt;""),Çeyreklik!G23+Çeyreklik!H23+Çeyreklik!I23+Çeyreklik!J23,"")</f>
        <v>0</v>
      </c>
      <c r="H23" s="2">
        <f>IF(AND(Çeyreklik!H23&lt;&gt;"",Çeyreklik!I23&lt;&gt;"",Çeyreklik!J23&lt;&gt;"",Çeyreklik!K23&lt;&gt;""),Çeyreklik!H23+Çeyreklik!I23+Çeyreklik!J23+Çeyreklik!K23,"")</f>
        <v>0</v>
      </c>
      <c r="I23" s="2">
        <f>IF(AND(Çeyreklik!I23&lt;&gt;"",Çeyreklik!J23&lt;&gt;"",Çeyreklik!K23&lt;&gt;"",Çeyreklik!L23&lt;&gt;""),Çeyreklik!I23+Çeyreklik!J23+Çeyreklik!K23+Çeyreklik!L23,"")</f>
        <v>0</v>
      </c>
      <c r="J23" s="2">
        <f>IF(AND(Çeyreklik!J23&lt;&gt;"",Çeyreklik!K23&lt;&gt;"",Çeyreklik!L23&lt;&gt;"",Çeyreklik!M23&lt;&gt;""),Çeyreklik!J23+Çeyreklik!K23+Çeyreklik!L23+Çeyreklik!M23,"")</f>
        <v>0</v>
      </c>
      <c r="K23" s="2">
        <f>IF(AND(Çeyreklik!K23&lt;&gt;"",Çeyreklik!L23&lt;&gt;"",Çeyreklik!M23&lt;&gt;"",Çeyreklik!N23&lt;&gt;""),Çeyreklik!K23+Çeyreklik!L23+Çeyreklik!M23+Çeyreklik!N23,"")</f>
        <v>0</v>
      </c>
      <c r="L23" s="2">
        <f>IF(AND(Çeyreklik!L23&lt;&gt;"",Çeyreklik!M23&lt;&gt;"",Çeyreklik!N23&lt;&gt;"",Çeyreklik!O23&lt;&gt;""),Çeyreklik!L23+Çeyreklik!M23+Çeyreklik!N23+Çeyreklik!O23,"")</f>
        <v>0</v>
      </c>
      <c r="M23" s="2">
        <f>IF(AND(Çeyreklik!M23&lt;&gt;"",Çeyreklik!N23&lt;&gt;"",Çeyreklik!O23&lt;&gt;"",Çeyreklik!P23&lt;&gt;""),Çeyreklik!M23+Çeyreklik!N23+Çeyreklik!O23+Çeyreklik!P23,"")</f>
        <v>0</v>
      </c>
      <c r="N23" s="2">
        <f>IF(AND(Çeyreklik!N23&lt;&gt;"",Çeyreklik!O23&lt;&gt;"",Çeyreklik!P23&lt;&gt;"",Çeyreklik!Q23&lt;&gt;""),Çeyreklik!N23+Çeyreklik!O23+Çeyreklik!P23+Çeyreklik!Q23,"")</f>
        <v>0</v>
      </c>
      <c r="O23" s="2">
        <f>IF(AND(Çeyreklik!O23&lt;&gt;"",Çeyreklik!P23&lt;&gt;"",Çeyreklik!Q23&lt;&gt;"",Çeyreklik!R23&lt;&gt;""),Çeyreklik!O23+Çeyreklik!P23+Çeyreklik!Q23+Çeyreklik!R23,"")</f>
        <v>0</v>
      </c>
      <c r="P23" s="2">
        <f>IF(AND(Çeyreklik!P23&lt;&gt;"",Çeyreklik!Q23&lt;&gt;"",Çeyreklik!R23&lt;&gt;"",Çeyreklik!S23&lt;&gt;""),Çeyreklik!P23+Çeyreklik!Q23+Çeyreklik!R23+Çeyreklik!S23,"")</f>
        <v>0</v>
      </c>
      <c r="Q23" s="2">
        <f>IF(AND(Çeyreklik!Q23&lt;&gt;"",Çeyreklik!R23&lt;&gt;"",Çeyreklik!S23&lt;&gt;"",Çeyreklik!T23&lt;&gt;""),Çeyreklik!Q23+Çeyreklik!R23+Çeyreklik!S23+Çeyreklik!T23,"")</f>
        <v>0</v>
      </c>
      <c r="R23" s="2">
        <f>IF(AND(Çeyreklik!R23&lt;&gt;"",Çeyreklik!S23&lt;&gt;"",Çeyreklik!T23&lt;&gt;"",Çeyreklik!U23&lt;&gt;""),Çeyreklik!R23+Çeyreklik!S23+Çeyreklik!T23+Çeyreklik!U23,"")</f>
        <v>0</v>
      </c>
      <c r="S23" s="2">
        <f>IF(AND(Çeyreklik!S23&lt;&gt;"",Çeyreklik!T23&lt;&gt;"",Çeyreklik!U23&lt;&gt;"",Çeyreklik!V23&lt;&gt;""),Çeyreklik!S23+Çeyreklik!T23+Çeyreklik!U23+Çeyreklik!V23,"")</f>
        <v>0</v>
      </c>
      <c r="T23" s="2">
        <f>IF(AND(Çeyreklik!T23&lt;&gt;"",Çeyreklik!U23&lt;&gt;"",Çeyreklik!V23&lt;&gt;"",Çeyreklik!W23&lt;&gt;""),Çeyreklik!T23+Çeyreklik!U23+Çeyreklik!V23+Çeyreklik!W23,"")</f>
        <v>0</v>
      </c>
    </row>
    <row r="24" spans="1:20" x14ac:dyDescent="0.25">
      <c r="A24" t="str">
        <f>Çeyreklik!A24</f>
        <v>Özkaynak Yöntemiyle Değerlenen Yatırımların Kar/Zararlarındaki Paylar</v>
      </c>
      <c r="B24" s="2">
        <f>IF(AND(Çeyreklik!B24&lt;&gt;"",Çeyreklik!C24&lt;&gt;"",Çeyreklik!D24&lt;&gt;"",Çeyreklik!E24&lt;&gt;""),Çeyreklik!B24+Çeyreklik!C24+Çeyreklik!D24+Çeyreklik!E24,"")</f>
        <v>0</v>
      </c>
      <c r="C24" s="2">
        <f>IF(AND(Çeyreklik!C24&lt;&gt;"",Çeyreklik!D24&lt;&gt;"",Çeyreklik!E24&lt;&gt;"",Çeyreklik!F24&lt;&gt;""),Çeyreklik!C24+Çeyreklik!D24+Çeyreklik!E24+Çeyreklik!F24,"")</f>
        <v>0</v>
      </c>
      <c r="D24" s="2">
        <f>IF(AND(Çeyreklik!D24&lt;&gt;"",Çeyreklik!E24&lt;&gt;"",Çeyreklik!F24&lt;&gt;"",Çeyreklik!G24&lt;&gt;""),Çeyreklik!D24+Çeyreklik!E24+Çeyreklik!F24+Çeyreklik!G24,"")</f>
        <v>0</v>
      </c>
      <c r="E24" s="2">
        <f>IF(AND(Çeyreklik!E24&lt;&gt;"",Çeyreklik!F24&lt;&gt;"",Çeyreklik!G24&lt;&gt;"",Çeyreklik!H24&lt;&gt;""),Çeyreklik!E24+Çeyreklik!F24+Çeyreklik!G24+Çeyreklik!H24,"")</f>
        <v>0</v>
      </c>
      <c r="F24" s="2">
        <f>IF(AND(Çeyreklik!F24&lt;&gt;"",Çeyreklik!G24&lt;&gt;"",Çeyreklik!H24&lt;&gt;"",Çeyreklik!I24&lt;&gt;""),Çeyreklik!F24+Çeyreklik!G24+Çeyreklik!H24+Çeyreklik!I24,"")</f>
        <v>0</v>
      </c>
      <c r="G24" s="2">
        <f>IF(AND(Çeyreklik!G24&lt;&gt;"",Çeyreklik!H24&lt;&gt;"",Çeyreklik!I24&lt;&gt;"",Çeyreklik!J24&lt;&gt;""),Çeyreklik!G24+Çeyreklik!H24+Çeyreklik!I24+Çeyreklik!J24,"")</f>
        <v>0</v>
      </c>
      <c r="H24" s="2">
        <f>IF(AND(Çeyreklik!H24&lt;&gt;"",Çeyreklik!I24&lt;&gt;"",Çeyreklik!J24&lt;&gt;"",Çeyreklik!K24&lt;&gt;""),Çeyreklik!H24+Çeyreklik!I24+Çeyreklik!J24+Çeyreklik!K24,"")</f>
        <v>0</v>
      </c>
      <c r="I24" s="2">
        <f>IF(AND(Çeyreklik!I24&lt;&gt;"",Çeyreklik!J24&lt;&gt;"",Çeyreklik!K24&lt;&gt;"",Çeyreklik!L24&lt;&gt;""),Çeyreklik!I24+Çeyreklik!J24+Çeyreklik!K24+Çeyreklik!L24,"")</f>
        <v>0</v>
      </c>
      <c r="J24" s="2">
        <f>IF(AND(Çeyreklik!J24&lt;&gt;"",Çeyreklik!K24&lt;&gt;"",Çeyreklik!L24&lt;&gt;"",Çeyreklik!M24&lt;&gt;""),Çeyreklik!J24+Çeyreklik!K24+Çeyreklik!L24+Çeyreklik!M24,"")</f>
        <v>0</v>
      </c>
      <c r="K24" s="2">
        <f>IF(AND(Çeyreklik!K24&lt;&gt;"",Çeyreklik!L24&lt;&gt;"",Çeyreklik!M24&lt;&gt;"",Çeyreklik!N24&lt;&gt;""),Çeyreklik!K24+Çeyreklik!L24+Çeyreklik!M24+Çeyreklik!N24,"")</f>
        <v>0</v>
      </c>
      <c r="L24" s="2">
        <f>IF(AND(Çeyreklik!L24&lt;&gt;"",Çeyreklik!M24&lt;&gt;"",Çeyreklik!N24&lt;&gt;"",Çeyreklik!O24&lt;&gt;""),Çeyreklik!L24+Çeyreklik!M24+Çeyreklik!N24+Çeyreklik!O24,"")</f>
        <v>0</v>
      </c>
      <c r="M24" s="2">
        <f>IF(AND(Çeyreklik!M24&lt;&gt;"",Çeyreklik!N24&lt;&gt;"",Çeyreklik!O24&lt;&gt;"",Çeyreklik!P24&lt;&gt;""),Çeyreklik!M24+Çeyreklik!N24+Çeyreklik!O24+Çeyreklik!P24,"")</f>
        <v>0</v>
      </c>
      <c r="N24" s="2">
        <f>IF(AND(Çeyreklik!N24&lt;&gt;"",Çeyreklik!O24&lt;&gt;"",Çeyreklik!P24&lt;&gt;"",Çeyreklik!Q24&lt;&gt;""),Çeyreklik!N24+Çeyreklik!O24+Çeyreklik!P24+Çeyreklik!Q24,"")</f>
        <v>0</v>
      </c>
      <c r="O24" s="2">
        <f>IF(AND(Çeyreklik!O24&lt;&gt;"",Çeyreklik!P24&lt;&gt;"",Çeyreklik!Q24&lt;&gt;"",Çeyreklik!R24&lt;&gt;""),Çeyreklik!O24+Çeyreklik!P24+Çeyreklik!Q24+Çeyreklik!R24,"")</f>
        <v>0</v>
      </c>
      <c r="P24" s="2">
        <f>IF(AND(Çeyreklik!P24&lt;&gt;"",Çeyreklik!Q24&lt;&gt;"",Çeyreklik!R24&lt;&gt;"",Çeyreklik!S24&lt;&gt;""),Çeyreklik!P24+Çeyreklik!Q24+Çeyreklik!R24+Çeyreklik!S24,"")</f>
        <v>0</v>
      </c>
      <c r="Q24" s="2">
        <f>IF(AND(Çeyreklik!Q24&lt;&gt;"",Çeyreklik!R24&lt;&gt;"",Çeyreklik!S24&lt;&gt;"",Çeyreklik!T24&lt;&gt;""),Çeyreklik!Q24+Çeyreklik!R24+Çeyreklik!S24+Çeyreklik!T24,"")</f>
        <v>0</v>
      </c>
      <c r="R24" s="2">
        <f>IF(AND(Çeyreklik!R24&lt;&gt;"",Çeyreklik!S24&lt;&gt;"",Çeyreklik!T24&lt;&gt;"",Çeyreklik!U24&lt;&gt;""),Çeyreklik!R24+Çeyreklik!S24+Çeyreklik!T24+Çeyreklik!U24,"")</f>
        <v>0</v>
      </c>
      <c r="S24" s="2">
        <f>IF(AND(Çeyreklik!S24&lt;&gt;"",Çeyreklik!T24&lt;&gt;"",Çeyreklik!U24&lt;&gt;"",Çeyreklik!V24&lt;&gt;""),Çeyreklik!S24+Çeyreklik!T24+Çeyreklik!U24+Çeyreklik!V24,"")</f>
        <v>0</v>
      </c>
      <c r="T24" s="2">
        <f>IF(AND(Çeyreklik!T24&lt;&gt;"",Çeyreklik!U24&lt;&gt;"",Çeyreklik!V24&lt;&gt;"",Çeyreklik!W24&lt;&gt;""),Çeyreklik!T24+Çeyreklik!U24+Çeyreklik!V24+Çeyreklik!W24,"")</f>
        <v>0</v>
      </c>
    </row>
    <row r="25" spans="1:20" x14ac:dyDescent="0.25">
      <c r="A25" t="str">
        <f>Çeyreklik!A25</f>
        <v>Finansman Gideri Öncesi Faaliyet Karı/Zararı</v>
      </c>
      <c r="B25" s="2">
        <f>IF(AND(Çeyreklik!B25&lt;&gt;"",Çeyreklik!C25&lt;&gt;"",Çeyreklik!D25&lt;&gt;"",Çeyreklik!E25&lt;&gt;""),Çeyreklik!B25+Çeyreklik!C25+Çeyreklik!D25+Çeyreklik!E25,"")</f>
        <v>5160665000</v>
      </c>
      <c r="C25" s="2">
        <f>IF(AND(Çeyreklik!C25&lt;&gt;"",Çeyreklik!D25&lt;&gt;"",Çeyreklik!E25&lt;&gt;"",Çeyreklik!F25&lt;&gt;""),Çeyreklik!C25+Çeyreklik!D25+Çeyreklik!E25+Çeyreklik!F25,"")</f>
        <v>5274179000</v>
      </c>
      <c r="D25" s="2">
        <f>IF(AND(Çeyreklik!D25&lt;&gt;"",Çeyreklik!E25&lt;&gt;"",Çeyreklik!F25&lt;&gt;"",Çeyreklik!G25&lt;&gt;""),Çeyreklik!D25+Çeyreklik!E25+Çeyreklik!F25+Çeyreklik!G25,"")</f>
        <v>3641944000</v>
      </c>
      <c r="E25" s="2">
        <f>IF(AND(Çeyreklik!E25&lt;&gt;"",Çeyreklik!F25&lt;&gt;"",Çeyreklik!G25&lt;&gt;"",Çeyreklik!H25&lt;&gt;""),Çeyreklik!E25+Çeyreklik!F25+Çeyreklik!G25+Çeyreklik!H25,"")</f>
        <v>8395201000</v>
      </c>
      <c r="F25" s="2">
        <f>IF(AND(Çeyreklik!F25&lt;&gt;"",Çeyreklik!G25&lt;&gt;"",Çeyreklik!H25&lt;&gt;"",Çeyreklik!I25&lt;&gt;""),Çeyreklik!F25+Çeyreklik!G25+Çeyreklik!H25+Çeyreklik!I25,"")</f>
        <v>8096417000</v>
      </c>
      <c r="G25" s="2">
        <f>IF(AND(Çeyreklik!G25&lt;&gt;"",Çeyreklik!H25&lt;&gt;"",Çeyreklik!I25&lt;&gt;"",Çeyreklik!J25&lt;&gt;""),Çeyreklik!G25+Çeyreklik!H25+Çeyreklik!I25+Çeyreklik!J25,"")</f>
        <v>8721584000</v>
      </c>
      <c r="H25" s="2">
        <f>IF(AND(Çeyreklik!H25&lt;&gt;"",Çeyreklik!I25&lt;&gt;"",Çeyreklik!J25&lt;&gt;"",Çeyreklik!K25&lt;&gt;""),Çeyreklik!H25+Çeyreklik!I25+Çeyreklik!J25+Çeyreklik!K25,"")</f>
        <v>10841377000</v>
      </c>
      <c r="I25" s="2">
        <f>IF(AND(Çeyreklik!I25&lt;&gt;"",Çeyreklik!J25&lt;&gt;"",Çeyreklik!K25&lt;&gt;"",Çeyreklik!L25&lt;&gt;""),Çeyreklik!I25+Çeyreklik!J25+Çeyreklik!K25+Çeyreklik!L25,"")</f>
        <v>11622115000</v>
      </c>
      <c r="J25" s="2">
        <f>IF(AND(Çeyreklik!J25&lt;&gt;"",Çeyreklik!K25&lt;&gt;"",Çeyreklik!L25&lt;&gt;"",Çeyreklik!M25&lt;&gt;""),Çeyreklik!J25+Çeyreklik!K25+Çeyreklik!L25+Çeyreklik!M25,"")</f>
        <v>14374749000</v>
      </c>
      <c r="K25" s="2">
        <f>IF(AND(Çeyreklik!K25&lt;&gt;"",Çeyreklik!L25&lt;&gt;"",Çeyreklik!M25&lt;&gt;"",Çeyreklik!N25&lt;&gt;""),Çeyreklik!K25+Çeyreklik!L25+Çeyreklik!M25+Çeyreklik!N25,"")</f>
        <v>23374047000</v>
      </c>
      <c r="L25" s="2">
        <f>IF(AND(Çeyreklik!L25&lt;&gt;"",Çeyreklik!M25&lt;&gt;"",Çeyreklik!N25&lt;&gt;"",Çeyreklik!O25&lt;&gt;""),Çeyreklik!L25+Çeyreklik!M25+Çeyreklik!N25+Çeyreklik!O25,"")</f>
        <v>25372217000</v>
      </c>
      <c r="M25" s="2">
        <f>IF(AND(Çeyreklik!M25&lt;&gt;"",Çeyreklik!N25&lt;&gt;"",Çeyreklik!O25&lt;&gt;"",Çeyreklik!P25&lt;&gt;""),Çeyreklik!M25+Çeyreklik!N25+Çeyreklik!O25+Çeyreklik!P25,"")</f>
        <v>26273687000</v>
      </c>
      <c r="N25" s="2">
        <f>IF(AND(Çeyreklik!N25&lt;&gt;"",Çeyreklik!O25&lt;&gt;"",Çeyreklik!P25&lt;&gt;"",Çeyreklik!Q25&lt;&gt;""),Çeyreklik!N25+Çeyreklik!O25+Çeyreklik!P25+Çeyreklik!Q25,"")</f>
        <v>29457788000</v>
      </c>
      <c r="O25" s="2">
        <f>IF(AND(Çeyreklik!O25&lt;&gt;"",Çeyreklik!P25&lt;&gt;"",Çeyreklik!Q25&lt;&gt;"",Çeyreklik!R25&lt;&gt;""),Çeyreklik!O25+Çeyreklik!P25+Çeyreklik!Q25+Çeyreklik!R25,"")</f>
        <v>23396351000</v>
      </c>
      <c r="P25" s="2">
        <f>IF(AND(Çeyreklik!P25&lt;&gt;"",Çeyreklik!Q25&lt;&gt;"",Çeyreklik!R25&lt;&gt;"",Çeyreklik!S25&lt;&gt;""),Çeyreklik!P25+Çeyreklik!Q25+Çeyreklik!R25+Çeyreklik!S25,"")</f>
        <v>25778843000</v>
      </c>
      <c r="Q25" s="2">
        <f>IF(AND(Çeyreklik!Q25&lt;&gt;"",Çeyreklik!R25&lt;&gt;"",Çeyreklik!S25&lt;&gt;"",Çeyreklik!T25&lt;&gt;""),Çeyreklik!Q25+Çeyreklik!R25+Çeyreklik!S25+Çeyreklik!T25,"")</f>
        <v>25240726526</v>
      </c>
      <c r="R25" s="2">
        <f>IF(AND(Çeyreklik!R25&lt;&gt;"",Çeyreklik!S25&lt;&gt;"",Çeyreklik!T25&lt;&gt;"",Çeyreklik!U25&lt;&gt;""),Çeyreklik!R25+Çeyreklik!S25+Çeyreklik!T25+Çeyreklik!U25,"")</f>
        <v>25815136526</v>
      </c>
      <c r="S25" s="2">
        <f>IF(AND(Çeyreklik!S25&lt;&gt;"",Çeyreklik!T25&lt;&gt;"",Çeyreklik!U25&lt;&gt;"",Çeyreklik!V25&lt;&gt;""),Çeyreklik!S25+Çeyreklik!T25+Çeyreklik!U25+Çeyreklik!V25,"")</f>
        <v>27550598526</v>
      </c>
      <c r="T25" s="2">
        <f>IF(AND(Çeyreklik!T25&lt;&gt;"",Çeyreklik!U25&lt;&gt;"",Çeyreklik!V25&lt;&gt;"",Çeyreklik!W25&lt;&gt;""),Çeyreklik!T25+Çeyreklik!U25+Çeyreklik!V25+Çeyreklik!W25,"")</f>
        <v>28497167526</v>
      </c>
    </row>
    <row r="26" spans="1:20" x14ac:dyDescent="0.25">
      <c r="A26" t="str">
        <f>Çeyreklik!A26</f>
        <v>(Esas Faaliyet Dışı) Finansal Gelirler</v>
      </c>
      <c r="B26" s="2">
        <f>IF(AND(Çeyreklik!B26&lt;&gt;"",Çeyreklik!C26&lt;&gt;"",Çeyreklik!D26&lt;&gt;"",Çeyreklik!E26&lt;&gt;""),Çeyreklik!B26+Çeyreklik!C26+Çeyreklik!D26+Çeyreklik!E26,"")</f>
        <v>624248000</v>
      </c>
      <c r="C26" s="2">
        <f>IF(AND(Çeyreklik!C26&lt;&gt;"",Çeyreklik!D26&lt;&gt;"",Çeyreklik!E26&lt;&gt;"",Çeyreklik!F26&lt;&gt;""),Çeyreklik!C26+Çeyreklik!D26+Çeyreklik!E26+Çeyreklik!F26,"")</f>
        <v>428497000</v>
      </c>
      <c r="D26" s="2">
        <f>IF(AND(Çeyreklik!D26&lt;&gt;"",Çeyreklik!E26&lt;&gt;"",Çeyreklik!F26&lt;&gt;"",Çeyreklik!G26&lt;&gt;""),Çeyreklik!D26+Çeyreklik!E26+Çeyreklik!F26+Çeyreklik!G26,"")</f>
        <v>815638000</v>
      </c>
      <c r="E26" s="2">
        <f>IF(AND(Çeyreklik!E26&lt;&gt;"",Çeyreklik!F26&lt;&gt;"",Çeyreklik!G26&lt;&gt;"",Çeyreklik!H26&lt;&gt;""),Çeyreklik!E26+Çeyreklik!F26+Çeyreklik!G26+Çeyreklik!H26,"")</f>
        <v>444638000</v>
      </c>
      <c r="F26" s="2">
        <f>IF(AND(Çeyreklik!F26&lt;&gt;"",Çeyreklik!G26&lt;&gt;"",Çeyreklik!H26&lt;&gt;"",Çeyreklik!I26&lt;&gt;""),Çeyreklik!F26+Çeyreklik!G26+Çeyreklik!H26+Çeyreklik!I26,"")</f>
        <v>453965000</v>
      </c>
      <c r="G26" s="2">
        <f>IF(AND(Çeyreklik!G26&lt;&gt;"",Çeyreklik!H26&lt;&gt;"",Çeyreklik!I26&lt;&gt;"",Çeyreklik!J26&lt;&gt;""),Çeyreklik!G26+Çeyreklik!H26+Çeyreklik!I26+Çeyreklik!J26,"")</f>
        <v>445912000</v>
      </c>
      <c r="H26" s="2">
        <f>IF(AND(Çeyreklik!H26&lt;&gt;"",Çeyreklik!I26&lt;&gt;"",Çeyreklik!J26&lt;&gt;"",Çeyreklik!K26&lt;&gt;""),Çeyreklik!H26+Çeyreklik!I26+Çeyreklik!J26+Çeyreklik!K26,"")</f>
        <v>99942000</v>
      </c>
      <c r="I26" s="2">
        <f>IF(AND(Çeyreklik!I26&lt;&gt;"",Çeyreklik!J26&lt;&gt;"",Çeyreklik!K26&lt;&gt;"",Çeyreklik!L26&lt;&gt;""),Çeyreklik!I26+Çeyreklik!J26+Çeyreklik!K26+Çeyreklik!L26,"")</f>
        <v>339665000</v>
      </c>
      <c r="J26" s="2">
        <f>IF(AND(Çeyreklik!J26&lt;&gt;"",Çeyreklik!K26&lt;&gt;"",Çeyreklik!L26&lt;&gt;"",Çeyreklik!M26&lt;&gt;""),Çeyreklik!J26+Çeyreklik!K26+Çeyreklik!L26+Çeyreklik!M26,"")</f>
        <v>556592000</v>
      </c>
      <c r="K26" s="2">
        <f>IF(AND(Çeyreklik!K26&lt;&gt;"",Çeyreklik!L26&lt;&gt;"",Çeyreklik!M26&lt;&gt;"",Çeyreklik!N26&lt;&gt;""),Çeyreklik!K26+Çeyreklik!L26+Çeyreklik!M26+Çeyreklik!N26,"")</f>
        <v>614028000</v>
      </c>
      <c r="L26" s="2">
        <f>IF(AND(Çeyreklik!L26&lt;&gt;"",Çeyreklik!M26&lt;&gt;"",Çeyreklik!N26&lt;&gt;"",Çeyreklik!O26&lt;&gt;""),Çeyreklik!L26+Çeyreklik!M26+Çeyreklik!N26+Çeyreklik!O26,"")</f>
        <v>451827000</v>
      </c>
      <c r="M26" s="2">
        <f>IF(AND(Çeyreklik!M26&lt;&gt;"",Çeyreklik!N26&lt;&gt;"",Çeyreklik!O26&lt;&gt;"",Çeyreklik!P26&lt;&gt;""),Çeyreklik!M26+Çeyreklik!N26+Çeyreklik!O26+Çeyreklik!P26,"")</f>
        <v>459638000</v>
      </c>
      <c r="N26" s="2">
        <f>IF(AND(Çeyreklik!N26&lt;&gt;"",Çeyreklik!O26&lt;&gt;"",Çeyreklik!P26&lt;&gt;"",Çeyreklik!Q26&lt;&gt;""),Çeyreklik!N26+Çeyreklik!O26+Çeyreklik!P26+Çeyreklik!Q26,"")</f>
        <v>233752000</v>
      </c>
      <c r="O26" s="2">
        <f>IF(AND(Çeyreklik!O26&lt;&gt;"",Çeyreklik!P26&lt;&gt;"",Çeyreklik!Q26&lt;&gt;"",Çeyreklik!R26&lt;&gt;""),Çeyreklik!O26+Çeyreklik!P26+Çeyreklik!Q26+Çeyreklik!R26,"")</f>
        <v>247263000</v>
      </c>
      <c r="P26" s="2">
        <f>IF(AND(Çeyreklik!P26&lt;&gt;"",Çeyreklik!Q26&lt;&gt;"",Çeyreklik!R26&lt;&gt;"",Çeyreklik!S26&lt;&gt;""),Çeyreklik!P26+Çeyreklik!Q26+Çeyreklik!R26+Çeyreklik!S26,"")</f>
        <v>338238000</v>
      </c>
      <c r="Q26" s="2">
        <f>IF(AND(Çeyreklik!Q26&lt;&gt;"",Çeyreklik!R26&lt;&gt;"",Çeyreklik!S26&lt;&gt;"",Çeyreklik!T26&lt;&gt;""),Çeyreklik!Q26+Çeyreklik!R26+Çeyreklik!S26+Çeyreklik!T26,"")</f>
        <v>326489454</v>
      </c>
      <c r="R26" s="2">
        <f>IF(AND(Çeyreklik!R26&lt;&gt;"",Çeyreklik!S26&lt;&gt;"",Çeyreklik!T26&lt;&gt;"",Çeyreklik!U26&lt;&gt;""),Çeyreklik!R26+Çeyreklik!S26+Çeyreklik!T26+Çeyreklik!U26,"")</f>
        <v>308433454</v>
      </c>
      <c r="S26" s="2">
        <f>IF(AND(Çeyreklik!S26&lt;&gt;"",Çeyreklik!T26&lt;&gt;"",Çeyreklik!U26&lt;&gt;"",Çeyreklik!V26&lt;&gt;""),Çeyreklik!S26+Çeyreklik!T26+Çeyreklik!U26+Çeyreklik!V26,"")</f>
        <v>260476454</v>
      </c>
      <c r="T26" s="2">
        <f>IF(AND(Çeyreklik!T26&lt;&gt;"",Çeyreklik!U26&lt;&gt;"",Çeyreklik!V26&lt;&gt;"",Çeyreklik!W26&lt;&gt;""),Çeyreklik!T26+Çeyreklik!U26+Çeyreklik!V26+Çeyreklik!W26,"")</f>
        <v>231002454</v>
      </c>
    </row>
    <row r="27" spans="1:20" x14ac:dyDescent="0.25">
      <c r="A27" t="str">
        <f>Çeyreklik!A27</f>
        <v>(Esas Faaliyet Dışı) Finansal Giderler (-)</v>
      </c>
      <c r="B27" s="2">
        <f>IF(AND(Çeyreklik!B27&lt;&gt;"",Çeyreklik!C27&lt;&gt;"",Çeyreklik!D27&lt;&gt;"",Çeyreklik!E27&lt;&gt;""),Çeyreklik!B27+Çeyreklik!C27+Çeyreklik!D27+Çeyreklik!E27,"")</f>
        <v>-3530535000</v>
      </c>
      <c r="C27" s="2">
        <f>IF(AND(Çeyreklik!C27&lt;&gt;"",Çeyreklik!D27&lt;&gt;"",Çeyreklik!E27&lt;&gt;"",Çeyreklik!F27&lt;&gt;""),Çeyreklik!C27+Çeyreklik!D27+Çeyreklik!E27+Çeyreklik!F27,"")</f>
        <v>-3733972000</v>
      </c>
      <c r="D27" s="2">
        <f>IF(AND(Çeyreklik!D27&lt;&gt;"",Çeyreklik!E27&lt;&gt;"",Çeyreklik!F27&lt;&gt;"",Çeyreklik!G27&lt;&gt;""),Çeyreklik!D27+Çeyreklik!E27+Çeyreklik!F27+Çeyreklik!G27,"")</f>
        <v>-2853508000</v>
      </c>
      <c r="E27" s="2">
        <f>IF(AND(Çeyreklik!E27&lt;&gt;"",Çeyreklik!F27&lt;&gt;"",Çeyreklik!G27&lt;&gt;"",Çeyreklik!H27&lt;&gt;""),Çeyreklik!E27+Çeyreklik!F27+Çeyreklik!G27+Çeyreklik!H27,"")</f>
        <v>-8910373000</v>
      </c>
      <c r="F27" s="2">
        <f>IF(AND(Çeyreklik!F27&lt;&gt;"",Çeyreklik!G27&lt;&gt;"",Çeyreklik!H27&lt;&gt;"",Çeyreklik!I27&lt;&gt;""),Çeyreklik!F27+Çeyreklik!G27+Çeyreklik!H27+Çeyreklik!I27,"")</f>
        <v>-9547490000</v>
      </c>
      <c r="G27" s="2">
        <f>IF(AND(Çeyreklik!G27&lt;&gt;"",Çeyreklik!H27&lt;&gt;"",Çeyreklik!I27&lt;&gt;"",Çeyreklik!J27&lt;&gt;""),Çeyreklik!G27+Çeyreklik!H27+Çeyreklik!I27+Çeyreklik!J27,"")</f>
        <v>-11164951000</v>
      </c>
      <c r="H27" s="2">
        <f>IF(AND(Çeyreklik!H27&lt;&gt;"",Çeyreklik!I27&lt;&gt;"",Çeyreklik!J27&lt;&gt;"",Çeyreklik!K27&lt;&gt;""),Çeyreklik!H27+Çeyreklik!I27+Çeyreklik!J27+Çeyreklik!K27,"")</f>
        <v>-13008923000</v>
      </c>
      <c r="I27" s="2">
        <f>IF(AND(Çeyreklik!I27&lt;&gt;"",Çeyreklik!J27&lt;&gt;"",Çeyreklik!K27&lt;&gt;"",Çeyreklik!L27&lt;&gt;""),Çeyreklik!I27+Çeyreklik!J27+Çeyreklik!K27+Çeyreklik!L27,"")</f>
        <v>-10588785000</v>
      </c>
      <c r="J27" s="2">
        <f>IF(AND(Çeyreklik!J27&lt;&gt;"",Çeyreklik!K27&lt;&gt;"",Çeyreklik!L27&lt;&gt;"",Çeyreklik!M27&lt;&gt;""),Çeyreklik!J27+Çeyreklik!K27+Çeyreklik!L27+Çeyreklik!M27,"")</f>
        <v>-9744378000</v>
      </c>
      <c r="K27" s="2">
        <f>IF(AND(Çeyreklik!K27&lt;&gt;"",Çeyreklik!L27&lt;&gt;"",Çeyreklik!M27&lt;&gt;"",Çeyreklik!N27&lt;&gt;""),Çeyreklik!K27+Çeyreklik!L27+Çeyreklik!M27+Çeyreklik!N27,"")</f>
        <v>-20762363000</v>
      </c>
      <c r="L27" s="2">
        <f>IF(AND(Çeyreklik!L27&lt;&gt;"",Çeyreklik!M27&lt;&gt;"",Çeyreklik!N27&lt;&gt;"",Çeyreklik!O27&lt;&gt;""),Çeyreklik!L27+Çeyreklik!M27+Çeyreklik!N27+Çeyreklik!O27,"")</f>
        <v>-17830090000</v>
      </c>
      <c r="M27" s="2">
        <f>IF(AND(Çeyreklik!M27&lt;&gt;"",Çeyreklik!N27&lt;&gt;"",Çeyreklik!O27&lt;&gt;"",Çeyreklik!P27&lt;&gt;""),Çeyreklik!M27+Çeyreklik!N27+Çeyreklik!O27+Çeyreklik!P27,"")</f>
        <v>-19836152000</v>
      </c>
      <c r="N27" s="2">
        <f>IF(AND(Çeyreklik!N27&lt;&gt;"",Çeyreklik!O27&lt;&gt;"",Çeyreklik!P27&lt;&gt;"",Çeyreklik!Q27&lt;&gt;""),Çeyreklik!N27+Çeyreklik!O27+Çeyreklik!P27+Çeyreklik!Q27,"")</f>
        <v>-21278301000</v>
      </c>
      <c r="O27" s="2">
        <f>IF(AND(Çeyreklik!O27&lt;&gt;"",Çeyreklik!P27&lt;&gt;"",Çeyreklik!Q27&lt;&gt;"",Çeyreklik!R27&lt;&gt;""),Çeyreklik!O27+Çeyreklik!P27+Çeyreklik!Q27+Çeyreklik!R27,"")</f>
        <v>-10025735000</v>
      </c>
      <c r="P27" s="2">
        <f>IF(AND(Çeyreklik!P27&lt;&gt;"",Çeyreklik!Q27&lt;&gt;"",Çeyreklik!R27&lt;&gt;"",Çeyreklik!S27&lt;&gt;""),Çeyreklik!P27+Çeyreklik!Q27+Çeyreklik!R27+Çeyreklik!S27,"")</f>
        <v>-14992498000</v>
      </c>
      <c r="Q27" s="2">
        <f>IF(AND(Çeyreklik!Q27&lt;&gt;"",Çeyreklik!R27&lt;&gt;"",Çeyreklik!S27&lt;&gt;"",Çeyreklik!T27&lt;&gt;""),Çeyreklik!Q27+Çeyreklik!R27+Çeyreklik!S27+Çeyreklik!T27,"")</f>
        <v>-11813639664</v>
      </c>
      <c r="R27" s="2">
        <f>IF(AND(Çeyreklik!R27&lt;&gt;"",Çeyreklik!S27&lt;&gt;"",Çeyreklik!T27&lt;&gt;"",Çeyreklik!U27&lt;&gt;""),Çeyreklik!R27+Çeyreklik!S27+Çeyreklik!T27+Çeyreklik!U27,"")</f>
        <v>-13922874664</v>
      </c>
      <c r="S27" s="2">
        <f>IF(AND(Çeyreklik!S27&lt;&gt;"",Çeyreklik!T27&lt;&gt;"",Çeyreklik!U27&lt;&gt;"",Çeyreklik!V27&lt;&gt;""),Çeyreklik!S27+Çeyreklik!T27+Çeyreklik!U27+Çeyreklik!V27,"")</f>
        <v>-17083636664</v>
      </c>
      <c r="T27" s="2">
        <f>IF(AND(Çeyreklik!T27&lt;&gt;"",Çeyreklik!U27&lt;&gt;"",Çeyreklik!V27&lt;&gt;"",Çeyreklik!W27&lt;&gt;""),Çeyreklik!T27+Çeyreklik!U27+Çeyreklik!V27+Çeyreklik!W27,"")</f>
        <v>-17998899664</v>
      </c>
    </row>
    <row r="28" spans="1:20" x14ac:dyDescent="0.25">
      <c r="A28" t="str">
        <f>Çeyreklik!A28</f>
        <v>Vergi Öncesi Diğer Gelir ve Giderler</v>
      </c>
      <c r="B28" s="2">
        <f>IF(AND(Çeyreklik!B28&lt;&gt;"",Çeyreklik!C28&lt;&gt;"",Çeyreklik!D28&lt;&gt;"",Çeyreklik!E28&lt;&gt;""),Çeyreklik!B28+Çeyreklik!C28+Çeyreklik!D28+Çeyreklik!E28,"")</f>
        <v>3322053000</v>
      </c>
      <c r="C28" s="2">
        <f>IF(AND(Çeyreklik!C28&lt;&gt;"",Çeyreklik!D28&lt;&gt;"",Çeyreklik!E28&lt;&gt;"",Çeyreklik!F28&lt;&gt;""),Çeyreklik!C28+Çeyreklik!D28+Çeyreklik!E28+Çeyreklik!F28,"")</f>
        <v>3425687000</v>
      </c>
      <c r="D28" s="2">
        <f>IF(AND(Çeyreklik!D28&lt;&gt;"",Çeyreklik!E28&lt;&gt;"",Çeyreklik!F28&lt;&gt;"",Çeyreklik!G28&lt;&gt;""),Çeyreklik!D28+Çeyreklik!E28+Çeyreklik!F28+Çeyreklik!G28,"")</f>
        <v>1916029000</v>
      </c>
      <c r="E28" s="2">
        <f>IF(AND(Çeyreklik!E28&lt;&gt;"",Çeyreklik!F28&lt;&gt;"",Çeyreklik!G28&lt;&gt;"",Çeyreklik!H28&lt;&gt;""),Çeyreklik!E28+Çeyreklik!F28+Çeyreklik!G28+Çeyreklik!H28,"")</f>
        <v>5965211000</v>
      </c>
      <c r="F28" s="2">
        <f>IF(AND(Çeyreklik!F28&lt;&gt;"",Çeyreklik!G28&lt;&gt;"",Çeyreklik!H28&lt;&gt;"",Çeyreklik!I28&lt;&gt;""),Çeyreklik!F28+Çeyreklik!G28+Çeyreklik!H28+Çeyreklik!I28,"")</f>
        <v>4829136000</v>
      </c>
      <c r="G28" s="2">
        <f>IF(AND(Çeyreklik!G28&lt;&gt;"",Çeyreklik!H28&lt;&gt;"",Çeyreklik!I28&lt;&gt;"",Çeyreklik!J28&lt;&gt;""),Çeyreklik!G28+Çeyreklik!H28+Çeyreklik!I28+Çeyreklik!J28,"")</f>
        <v>4522455000</v>
      </c>
      <c r="H28" s="2">
        <f>IF(AND(Çeyreklik!H28&lt;&gt;"",Çeyreklik!I28&lt;&gt;"",Çeyreklik!J28&lt;&gt;"",Çeyreklik!K28&lt;&gt;""),Çeyreklik!H28+Çeyreklik!I28+Çeyreklik!J28+Çeyreklik!K28,"")</f>
        <v>5545681000</v>
      </c>
      <c r="I28" s="2">
        <f>IF(AND(Çeyreklik!I28&lt;&gt;"",Çeyreklik!J28&lt;&gt;"",Çeyreklik!K28&lt;&gt;"",Çeyreklik!L28&lt;&gt;""),Çeyreklik!I28+Çeyreklik!J28+Çeyreklik!K28+Çeyreklik!L28,"")</f>
        <v>4564108000</v>
      </c>
      <c r="J28" s="2">
        <f>IF(AND(Çeyreklik!J28&lt;&gt;"",Çeyreklik!K28&lt;&gt;"",Çeyreklik!L28&lt;&gt;"",Çeyreklik!M28&lt;&gt;""),Çeyreklik!J28+Çeyreklik!K28+Çeyreklik!L28+Çeyreklik!M28,"")</f>
        <v>5123627000</v>
      </c>
      <c r="K28" s="2">
        <f>IF(AND(Çeyreklik!K28&lt;&gt;"",Çeyreklik!L28&lt;&gt;"",Çeyreklik!M28&lt;&gt;"",Çeyreklik!N28&lt;&gt;""),Çeyreklik!K28+Çeyreklik!L28+Çeyreklik!M28+Çeyreklik!N28,"")</f>
        <v>10468152000</v>
      </c>
      <c r="L28" s="2">
        <f>IF(AND(Çeyreklik!L28&lt;&gt;"",Çeyreklik!M28&lt;&gt;"",Çeyreklik!N28&lt;&gt;"",Çeyreklik!O28&lt;&gt;""),Çeyreklik!L28+Çeyreklik!M28+Çeyreklik!N28+Çeyreklik!O28,"")</f>
        <v>10833481000</v>
      </c>
      <c r="M28" s="2">
        <f>IF(AND(Çeyreklik!M28&lt;&gt;"",Çeyreklik!N28&lt;&gt;"",Çeyreklik!O28&lt;&gt;"",Çeyreklik!P28&lt;&gt;""),Çeyreklik!M28+Çeyreklik!N28+Çeyreklik!O28+Çeyreklik!P28,"")</f>
        <v>10402251000</v>
      </c>
      <c r="N28" s="2">
        <f>IF(AND(Çeyreklik!N28&lt;&gt;"",Çeyreklik!O28&lt;&gt;"",Çeyreklik!P28&lt;&gt;"",Çeyreklik!Q28&lt;&gt;""),Çeyreklik!N28+Çeyreklik!O28+Çeyreklik!P28+Çeyreklik!Q28,"")</f>
        <v>11328468000</v>
      </c>
      <c r="O28" s="2">
        <f>IF(AND(Çeyreklik!O28&lt;&gt;"",Çeyreklik!P28&lt;&gt;"",Çeyreklik!Q28&lt;&gt;"",Çeyreklik!R28&lt;&gt;""),Çeyreklik!O28+Çeyreklik!P28+Çeyreklik!Q28+Çeyreklik!R28,"")</f>
        <v>6389071000</v>
      </c>
      <c r="P28" s="2">
        <f>IF(AND(Çeyreklik!P28&lt;&gt;"",Çeyreklik!Q28&lt;&gt;"",Çeyreklik!R28&lt;&gt;"",Çeyreklik!S28&lt;&gt;""),Çeyreklik!P28+Çeyreklik!Q28+Çeyreklik!R28+Çeyreklik!S28,"")</f>
        <v>7975394000</v>
      </c>
      <c r="Q28" s="2">
        <f>IF(AND(Çeyreklik!Q28&lt;&gt;"",Çeyreklik!R28&lt;&gt;"",Çeyreklik!S28&lt;&gt;"",Çeyreklik!T28&lt;&gt;""),Çeyreklik!Q28+Çeyreklik!R28+Çeyreklik!S28+Çeyreklik!T28,"")</f>
        <v>7331630336</v>
      </c>
      <c r="R28" s="2">
        <f>IF(AND(Çeyreklik!R28&lt;&gt;"",Çeyreklik!S28&lt;&gt;"",Çeyreklik!T28&lt;&gt;"",Çeyreklik!U28&lt;&gt;""),Çeyreklik!R28+Çeyreklik!S28+Çeyreklik!T28+Çeyreklik!U28,"")</f>
        <v>8317028336</v>
      </c>
      <c r="S28" s="2">
        <f>IF(AND(Çeyreklik!S28&lt;&gt;"",Çeyreklik!T28&lt;&gt;"",Çeyreklik!U28&lt;&gt;"",Çeyreklik!V28&lt;&gt;""),Çeyreklik!S28+Çeyreklik!T28+Çeyreklik!U28+Çeyreklik!V28,"")</f>
        <v>10627163336</v>
      </c>
      <c r="T28" s="2">
        <f>IF(AND(Çeyreklik!T28&lt;&gt;"",Çeyreklik!U28&lt;&gt;"",Çeyreklik!V28&lt;&gt;"",Çeyreklik!W28&lt;&gt;""),Çeyreklik!T28+Çeyreklik!U28+Çeyreklik!V28+Çeyreklik!W28,"")</f>
        <v>10814220336</v>
      </c>
    </row>
    <row r="29" spans="1:20" x14ac:dyDescent="0.25">
      <c r="A29" t="str">
        <f>Çeyreklik!A29</f>
        <v>SÜRDÜRÜLEN FAALİYETLER VERGİ ÖNCESİ KARI (ZARARI)</v>
      </c>
      <c r="B29" s="2">
        <f>IF(AND(Çeyreklik!B29&lt;&gt;"",Çeyreklik!C29&lt;&gt;"",Çeyreklik!D29&lt;&gt;"",Çeyreklik!E29&lt;&gt;""),Çeyreklik!B29+Çeyreklik!C29+Çeyreklik!D29+Çeyreklik!E29,"")</f>
        <v>2254378000</v>
      </c>
      <c r="C29" s="2">
        <f>IF(AND(Çeyreklik!C29&lt;&gt;"",Çeyreklik!D29&lt;&gt;"",Çeyreklik!E29&lt;&gt;"",Çeyreklik!F29&lt;&gt;""),Çeyreklik!C29+Çeyreklik!D29+Çeyreklik!E29+Çeyreklik!F29,"")</f>
        <v>1968704000</v>
      </c>
      <c r="D29" s="2">
        <f>IF(AND(Çeyreklik!D29&lt;&gt;"",Çeyreklik!E29&lt;&gt;"",Çeyreklik!F29&lt;&gt;"",Çeyreklik!G29&lt;&gt;""),Çeyreklik!D29+Çeyreklik!E29+Çeyreklik!F29+Çeyreklik!G29,"")</f>
        <v>1604074000</v>
      </c>
      <c r="E29" s="2">
        <f>IF(AND(Çeyreklik!E29&lt;&gt;"",Çeyreklik!F29&lt;&gt;"",Çeyreklik!G29&lt;&gt;"",Çeyreklik!H29&lt;&gt;""),Çeyreklik!E29+Çeyreklik!F29+Çeyreklik!G29+Çeyreklik!H29,"")</f>
        <v>-70534000</v>
      </c>
      <c r="F29" s="2">
        <f>IF(AND(Çeyreklik!F29&lt;&gt;"",Çeyreklik!G29&lt;&gt;"",Çeyreklik!H29&lt;&gt;"",Çeyreklik!I29&lt;&gt;""),Çeyreklik!F29+Çeyreklik!G29+Çeyreklik!H29+Çeyreklik!I29,"")</f>
        <v>-997108000</v>
      </c>
      <c r="G29" s="2">
        <f>IF(AND(Çeyreklik!G29&lt;&gt;"",Çeyreklik!H29&lt;&gt;"",Çeyreklik!I29&lt;&gt;"",Çeyreklik!J29&lt;&gt;""),Çeyreklik!G29+Çeyreklik!H29+Çeyreklik!I29+Çeyreklik!J29,"")</f>
        <v>-1997455000</v>
      </c>
      <c r="H29" s="2">
        <f>IF(AND(Çeyreklik!H29&lt;&gt;"",Çeyreklik!I29&lt;&gt;"",Çeyreklik!J29&lt;&gt;"",Çeyreklik!K29&lt;&gt;""),Çeyreklik!H29+Çeyreklik!I29+Çeyreklik!J29+Çeyreklik!K29,"")</f>
        <v>-2067604000</v>
      </c>
      <c r="I29" s="2">
        <f>IF(AND(Çeyreklik!I29&lt;&gt;"",Çeyreklik!J29&lt;&gt;"",Çeyreklik!K29&lt;&gt;"",Çeyreklik!L29&lt;&gt;""),Çeyreklik!I29+Çeyreklik!J29+Çeyreklik!K29+Çeyreklik!L29,"")</f>
        <v>1372995000</v>
      </c>
      <c r="J29" s="2">
        <f>IF(AND(Çeyreklik!J29&lt;&gt;"",Çeyreklik!K29&lt;&gt;"",Çeyreklik!L29&lt;&gt;"",Çeyreklik!M29&lt;&gt;""),Çeyreklik!J29+Çeyreklik!K29+Çeyreklik!L29+Çeyreklik!M29,"")</f>
        <v>5186963000</v>
      </c>
      <c r="K29" s="2">
        <f>IF(AND(Çeyreklik!K29&lt;&gt;"",Çeyreklik!L29&lt;&gt;"",Çeyreklik!M29&lt;&gt;"",Çeyreklik!N29&lt;&gt;""),Çeyreklik!K29+Çeyreklik!L29+Çeyreklik!M29+Çeyreklik!N29,"")</f>
        <v>3225712000</v>
      </c>
      <c r="L29" s="2">
        <f>IF(AND(Çeyreklik!L29&lt;&gt;"",Çeyreklik!M29&lt;&gt;"",Çeyreklik!N29&lt;&gt;"",Çeyreklik!O29&lt;&gt;""),Çeyreklik!L29+Çeyreklik!M29+Çeyreklik!N29+Çeyreklik!O29,"")</f>
        <v>7993954000</v>
      </c>
      <c r="M29" s="2">
        <f>IF(AND(Çeyreklik!M29&lt;&gt;"",Çeyreklik!N29&lt;&gt;"",Çeyreklik!O29&lt;&gt;"",Çeyreklik!P29&lt;&gt;""),Çeyreklik!M29+Çeyreklik!N29+Çeyreklik!O29+Çeyreklik!P29,"")</f>
        <v>6897173000</v>
      </c>
      <c r="N29" s="2">
        <f>IF(AND(Çeyreklik!N29&lt;&gt;"",Çeyreklik!O29&lt;&gt;"",Çeyreklik!P29&lt;&gt;"",Çeyreklik!Q29&lt;&gt;""),Çeyreklik!N29+Çeyreklik!O29+Çeyreklik!P29+Çeyreklik!Q29,"")</f>
        <v>8413239000</v>
      </c>
      <c r="O29" s="2">
        <f>IF(AND(Çeyreklik!O29&lt;&gt;"",Çeyreklik!P29&lt;&gt;"",Çeyreklik!Q29&lt;&gt;"",Çeyreklik!R29&lt;&gt;""),Çeyreklik!O29+Çeyreklik!P29+Çeyreklik!Q29+Çeyreklik!R29,"")</f>
        <v>13617879000</v>
      </c>
      <c r="P29" s="2">
        <f>IF(AND(Çeyreklik!P29&lt;&gt;"",Çeyreklik!Q29&lt;&gt;"",Çeyreklik!R29&lt;&gt;"",Çeyreklik!S29&lt;&gt;""),Çeyreklik!P29+Çeyreklik!Q29+Çeyreklik!R29+Çeyreklik!S29,"")</f>
        <v>11124583000</v>
      </c>
      <c r="Q29" s="2">
        <f>IF(AND(Çeyreklik!Q29&lt;&gt;"",Çeyreklik!R29&lt;&gt;"",Çeyreklik!S29&lt;&gt;"",Çeyreklik!T29&lt;&gt;""),Çeyreklik!Q29+Çeyreklik!R29+Çeyreklik!S29+Çeyreklik!T29,"")</f>
        <v>13753576316</v>
      </c>
      <c r="R29" s="2">
        <f>IF(AND(Çeyreklik!R29&lt;&gt;"",Çeyreklik!S29&lt;&gt;"",Çeyreklik!T29&lt;&gt;"",Çeyreklik!U29&lt;&gt;""),Çeyreklik!R29+Çeyreklik!S29+Çeyreklik!T29+Çeyreklik!U29,"")</f>
        <v>12200695316</v>
      </c>
      <c r="S29" s="2">
        <f>IF(AND(Çeyreklik!S29&lt;&gt;"",Çeyreklik!T29&lt;&gt;"",Çeyreklik!U29&lt;&gt;"",Çeyreklik!V29&lt;&gt;""),Çeyreklik!S29+Çeyreklik!T29+Çeyreklik!U29+Çeyreklik!V29,"")</f>
        <v>10727438316</v>
      </c>
      <c r="T29" s="2">
        <f>IF(AND(Çeyreklik!T29&lt;&gt;"",Çeyreklik!U29&lt;&gt;"",Çeyreklik!V29&lt;&gt;"",Çeyreklik!W29&lt;&gt;""),Çeyreklik!T29+Çeyreklik!U29+Çeyreklik!V29+Çeyreklik!W29,"")</f>
        <v>10729270316</v>
      </c>
    </row>
    <row r="30" spans="1:20" x14ac:dyDescent="0.25">
      <c r="A30" t="str">
        <f>Çeyreklik!A30</f>
        <v>Sürdürülen Faaliyetler Vergi Geliri (Gideri)</v>
      </c>
      <c r="B30" s="2">
        <f>IF(AND(Çeyreklik!B30&lt;&gt;"",Çeyreklik!C30&lt;&gt;"",Çeyreklik!D30&lt;&gt;"",Çeyreklik!E30&lt;&gt;""),Çeyreklik!B30+Çeyreklik!C30+Çeyreklik!D30+Çeyreklik!E30,"")</f>
        <v>-448694000</v>
      </c>
      <c r="C30" s="2">
        <f>IF(AND(Çeyreklik!C30&lt;&gt;"",Çeyreklik!D30&lt;&gt;"",Çeyreklik!E30&lt;&gt;"",Çeyreklik!F30&lt;&gt;""),Çeyreklik!C30+Çeyreklik!D30+Çeyreklik!E30+Çeyreklik!F30,"")</f>
        <v>-455431000</v>
      </c>
      <c r="D30" s="2">
        <f>IF(AND(Çeyreklik!D30&lt;&gt;"",Çeyreklik!E30&lt;&gt;"",Çeyreklik!F30&lt;&gt;"",Çeyreklik!G30&lt;&gt;""),Çeyreklik!D30+Çeyreklik!E30+Çeyreklik!F30+Çeyreklik!G30,"")</f>
        <v>-383237000</v>
      </c>
      <c r="E30" s="2">
        <f>IF(AND(Çeyreklik!E30&lt;&gt;"",Çeyreklik!F30&lt;&gt;"",Çeyreklik!G30&lt;&gt;"",Çeyreklik!H30&lt;&gt;""),Çeyreklik!E30+Çeyreklik!F30+Çeyreklik!G30+Çeyreklik!H30,"")</f>
        <v>-91885000</v>
      </c>
      <c r="F30" s="2">
        <f>IF(AND(Çeyreklik!F30&lt;&gt;"",Çeyreklik!G30&lt;&gt;"",Çeyreklik!H30&lt;&gt;"",Çeyreklik!I30&lt;&gt;""),Çeyreklik!F30+Çeyreklik!G30+Çeyreklik!H30+Çeyreklik!I30,"")</f>
        <v>10657000</v>
      </c>
      <c r="G30" s="2">
        <f>IF(AND(Çeyreklik!G30&lt;&gt;"",Çeyreklik!H30&lt;&gt;"",Çeyreklik!I30&lt;&gt;"",Çeyreklik!J30&lt;&gt;""),Çeyreklik!G30+Çeyreklik!H30+Çeyreklik!I30+Çeyreklik!J30,"")</f>
        <v>209306000</v>
      </c>
      <c r="H30" s="2">
        <f>IF(AND(Çeyreklik!H30&lt;&gt;"",Çeyreklik!I30&lt;&gt;"",Çeyreklik!J30&lt;&gt;"",Çeyreklik!K30&lt;&gt;""),Çeyreklik!H30+Çeyreklik!I30+Çeyreklik!J30+Çeyreklik!K30,"")</f>
        <v>146149000</v>
      </c>
      <c r="I30" s="2">
        <f>IF(AND(Çeyreklik!I30&lt;&gt;"",Çeyreklik!J30&lt;&gt;"",Çeyreklik!K30&lt;&gt;"",Çeyreklik!L30&lt;&gt;""),Çeyreklik!I30+Çeyreklik!J30+Çeyreklik!K30+Çeyreklik!L30,"")</f>
        <v>56511000</v>
      </c>
      <c r="J30" s="2">
        <f>IF(AND(Çeyreklik!J30&lt;&gt;"",Çeyreklik!K30&lt;&gt;"",Çeyreklik!L30&lt;&gt;"",Çeyreklik!M30&lt;&gt;""),Çeyreklik!J30+Çeyreklik!K30+Çeyreklik!L30+Çeyreklik!M30,"")</f>
        <v>-726888000</v>
      </c>
      <c r="K30" s="2">
        <f>IF(AND(Çeyreklik!K30&lt;&gt;"",Çeyreklik!L30&lt;&gt;"",Çeyreklik!M30&lt;&gt;"",Çeyreklik!N30&lt;&gt;""),Çeyreklik!K30+Çeyreklik!L30+Çeyreklik!M30+Çeyreklik!N30,"")</f>
        <v>-230518000</v>
      </c>
      <c r="L30" s="2">
        <f>IF(AND(Çeyreklik!L30&lt;&gt;"",Çeyreklik!M30&lt;&gt;"",Çeyreklik!N30&lt;&gt;"",Çeyreklik!O30&lt;&gt;""),Çeyreklik!L30+Çeyreklik!M30+Çeyreklik!N30+Çeyreklik!O30,"")</f>
        <v>-1509254000</v>
      </c>
      <c r="M30" s="2">
        <f>IF(AND(Çeyreklik!M30&lt;&gt;"",Çeyreklik!N30&lt;&gt;"",Çeyreklik!O30&lt;&gt;"",Çeyreklik!P30&lt;&gt;""),Çeyreklik!M30+Çeyreklik!N30+Çeyreklik!O30+Çeyreklik!P30,"")</f>
        <v>-800398000</v>
      </c>
      <c r="N30" s="2">
        <f>IF(AND(Çeyreklik!N30&lt;&gt;"",Çeyreklik!O30&lt;&gt;"",Çeyreklik!P30&lt;&gt;"",Çeyreklik!Q30&lt;&gt;""),Çeyreklik!N30+Çeyreklik!O30+Çeyreklik!P30+Çeyreklik!Q30,"")</f>
        <v>-1589506000</v>
      </c>
      <c r="O30" s="2">
        <f>IF(AND(Çeyreklik!O30&lt;&gt;"",Çeyreklik!P30&lt;&gt;"",Çeyreklik!Q30&lt;&gt;"",Çeyreklik!R30&lt;&gt;""),Çeyreklik!O30+Çeyreklik!P30+Çeyreklik!Q30+Çeyreklik!R30,"")</f>
        <v>-2766621000</v>
      </c>
      <c r="P30" s="2">
        <f>IF(AND(Çeyreklik!P30&lt;&gt;"",Çeyreklik!Q30&lt;&gt;"",Çeyreklik!R30&lt;&gt;"",Çeyreklik!S30&lt;&gt;""),Çeyreklik!P30+Çeyreklik!Q30+Çeyreklik!R30+Çeyreklik!S30,"")</f>
        <v>-2576474000</v>
      </c>
      <c r="Q30" s="2">
        <f>IF(AND(Çeyreklik!Q30&lt;&gt;"",Çeyreklik!R30&lt;&gt;"",Çeyreklik!S30&lt;&gt;"",Çeyreklik!T30&lt;&gt;""),Çeyreklik!Q30+Çeyreklik!R30+Çeyreklik!S30+Çeyreklik!T30,"")</f>
        <v>-3699007600</v>
      </c>
      <c r="R30" s="2">
        <f>IF(AND(Çeyreklik!R30&lt;&gt;"",Çeyreklik!S30&lt;&gt;"",Çeyreklik!T30&lt;&gt;"",Çeyreklik!U30&lt;&gt;""),Çeyreklik!R30+Çeyreklik!S30+Çeyreklik!T30+Çeyreklik!U30,"")</f>
        <v>-2993552600</v>
      </c>
      <c r="S30" s="2">
        <f>IF(AND(Çeyreklik!S30&lt;&gt;"",Çeyreklik!T30&lt;&gt;"",Çeyreklik!U30&lt;&gt;"",Çeyreklik!V30&lt;&gt;""),Çeyreklik!S30+Çeyreklik!T30+Çeyreklik!U30+Çeyreklik!V30,"")</f>
        <v>-2617211600</v>
      </c>
      <c r="T30" s="2">
        <f>IF(AND(Çeyreklik!T30&lt;&gt;"",Çeyreklik!U30&lt;&gt;"",Çeyreklik!V30&lt;&gt;"",Çeyreklik!W30&lt;&gt;""),Çeyreklik!T30+Çeyreklik!U30+Çeyreklik!V30+Çeyreklik!W30,"")</f>
        <v>-2340404600</v>
      </c>
    </row>
    <row r="31" spans="1:20" x14ac:dyDescent="0.25">
      <c r="A31" t="str">
        <f>Çeyreklik!A31</f>
        <v xml:space="preserve">  Dönem Vergi Geliri (Gideri)</v>
      </c>
      <c r="B31" s="2">
        <f>IF(AND(Çeyreklik!B31&lt;&gt;"",Çeyreklik!C31&lt;&gt;"",Çeyreklik!D31&lt;&gt;"",Çeyreklik!E31&lt;&gt;""),Çeyreklik!B31+Çeyreklik!C31+Çeyreklik!D31+Çeyreklik!E31,"")</f>
        <v>-420099000</v>
      </c>
      <c r="C31" s="2">
        <f>IF(AND(Çeyreklik!C31&lt;&gt;"",Çeyreklik!D31&lt;&gt;"",Çeyreklik!E31&lt;&gt;"",Çeyreklik!F31&lt;&gt;""),Çeyreklik!C31+Çeyreklik!D31+Çeyreklik!E31+Çeyreklik!F31,"")</f>
        <v>-445503000</v>
      </c>
      <c r="D31" s="2">
        <f>IF(AND(Çeyreklik!D31&lt;&gt;"",Çeyreklik!E31&lt;&gt;"",Çeyreklik!F31&lt;&gt;"",Çeyreklik!G31&lt;&gt;""),Çeyreklik!D31+Çeyreklik!E31+Çeyreklik!F31+Çeyreklik!G31,"")</f>
        <v>-364030000</v>
      </c>
      <c r="E31" s="2">
        <f>IF(AND(Çeyreklik!E31&lt;&gt;"",Çeyreklik!F31&lt;&gt;"",Çeyreklik!G31&lt;&gt;"",Çeyreklik!H31&lt;&gt;""),Çeyreklik!E31+Çeyreklik!F31+Çeyreklik!G31+Çeyreklik!H31,"")</f>
        <v>-450711000</v>
      </c>
      <c r="F31" s="2">
        <f>IF(AND(Çeyreklik!F31&lt;&gt;"",Çeyreklik!G31&lt;&gt;"",Çeyreklik!H31&lt;&gt;"",Çeyreklik!I31&lt;&gt;""),Çeyreklik!F31+Çeyreklik!G31+Çeyreklik!H31+Çeyreklik!I31,"")</f>
        <v>-507886000</v>
      </c>
      <c r="G31" s="2">
        <f>IF(AND(Çeyreklik!G31&lt;&gt;"",Çeyreklik!H31&lt;&gt;"",Çeyreklik!I31&lt;&gt;"",Çeyreklik!J31&lt;&gt;""),Çeyreklik!G31+Çeyreklik!H31+Çeyreklik!I31+Çeyreklik!J31,"")</f>
        <v>-522397000</v>
      </c>
      <c r="H31" s="2">
        <f>IF(AND(Çeyreklik!H31&lt;&gt;"",Çeyreklik!I31&lt;&gt;"",Çeyreklik!J31&lt;&gt;"",Çeyreklik!K31&lt;&gt;""),Çeyreklik!H31+Çeyreklik!I31+Çeyreklik!J31+Çeyreklik!K31,"")</f>
        <v>-709811000</v>
      </c>
      <c r="I31" s="2">
        <f>IF(AND(Çeyreklik!I31&lt;&gt;"",Çeyreklik!J31&lt;&gt;"",Çeyreklik!K31&lt;&gt;"",Çeyreklik!L31&lt;&gt;""),Çeyreklik!I31+Çeyreklik!J31+Çeyreklik!K31+Çeyreklik!L31,"")</f>
        <v>-1300719000</v>
      </c>
      <c r="J31" s="2">
        <f>IF(AND(Çeyreklik!J31&lt;&gt;"",Çeyreklik!K31&lt;&gt;"",Çeyreklik!L31&lt;&gt;"",Çeyreklik!M31&lt;&gt;""),Çeyreklik!J31+Çeyreklik!K31+Çeyreklik!L31+Çeyreklik!M31,"")</f>
        <v>-1640645000</v>
      </c>
      <c r="K31" s="2">
        <f>IF(AND(Çeyreklik!K31&lt;&gt;"",Çeyreklik!L31&lt;&gt;"",Çeyreklik!M31&lt;&gt;"",Çeyreklik!N31&lt;&gt;""),Çeyreklik!K31+Çeyreklik!L31+Çeyreklik!M31+Çeyreklik!N31,"")</f>
        <v>-1969057000</v>
      </c>
      <c r="L31" s="2">
        <f>IF(AND(Çeyreklik!L31&lt;&gt;"",Çeyreklik!M31&lt;&gt;"",Çeyreklik!N31&lt;&gt;"",Çeyreklik!O31&lt;&gt;""),Çeyreklik!L31+Çeyreklik!M31+Çeyreklik!N31+Çeyreklik!O31,"")</f>
        <v>-2249193000</v>
      </c>
      <c r="M31" s="2">
        <f>IF(AND(Çeyreklik!M31&lt;&gt;"",Çeyreklik!N31&lt;&gt;"",Çeyreklik!O31&lt;&gt;"",Çeyreklik!P31&lt;&gt;""),Çeyreklik!M31+Çeyreklik!N31+Çeyreklik!O31+Çeyreklik!P31,"")</f>
        <v>-1872594000</v>
      </c>
      <c r="N31" s="2">
        <f>IF(AND(Çeyreklik!N31&lt;&gt;"",Çeyreklik!O31&lt;&gt;"",Çeyreklik!P31&lt;&gt;"",Çeyreklik!Q31&lt;&gt;""),Çeyreklik!N31+Çeyreklik!O31+Çeyreklik!P31+Çeyreklik!Q31,"")</f>
        <v>-1624141000</v>
      </c>
      <c r="O31" s="2">
        <f>IF(AND(Çeyreklik!O31&lt;&gt;"",Çeyreklik!P31&lt;&gt;"",Çeyreklik!Q31&lt;&gt;"",Çeyreklik!R31&lt;&gt;""),Çeyreklik!O31+Çeyreklik!P31+Çeyreklik!Q31+Çeyreklik!R31,"")</f>
        <v>-1457593000</v>
      </c>
      <c r="P31" s="2">
        <f>IF(AND(Çeyreklik!P31&lt;&gt;"",Çeyreklik!Q31&lt;&gt;"",Çeyreklik!R31&lt;&gt;"",Çeyreklik!S31&lt;&gt;""),Çeyreklik!P31+Çeyreklik!Q31+Çeyreklik!R31+Çeyreklik!S31,"")</f>
        <v>-986090000</v>
      </c>
      <c r="Q31" s="2">
        <f>IF(AND(Çeyreklik!Q31&lt;&gt;"",Çeyreklik!R31&lt;&gt;"",Çeyreklik!S31&lt;&gt;"",Çeyreklik!T31&lt;&gt;""),Çeyreklik!Q31+Çeyreklik!R31+Çeyreklik!S31+Çeyreklik!T31,"")</f>
        <v>-787983791</v>
      </c>
      <c r="R31" s="2">
        <f>IF(AND(Çeyreklik!R31&lt;&gt;"",Çeyreklik!S31&lt;&gt;"",Çeyreklik!T31&lt;&gt;"",Çeyreklik!U31&lt;&gt;""),Çeyreklik!R31+Çeyreklik!S31+Çeyreklik!T31+Çeyreklik!U31,"")</f>
        <v>-793249791</v>
      </c>
      <c r="S31" s="2">
        <f>IF(AND(Çeyreklik!S31&lt;&gt;"",Çeyreklik!T31&lt;&gt;"",Çeyreklik!U31&lt;&gt;"",Çeyreklik!V31&lt;&gt;""),Çeyreklik!S31+Çeyreklik!T31+Çeyreklik!U31+Çeyreklik!V31,"")</f>
        <v>-497842791</v>
      </c>
      <c r="T31" s="2">
        <f>IF(AND(Çeyreklik!T31&lt;&gt;"",Çeyreklik!U31&lt;&gt;"",Çeyreklik!V31&lt;&gt;"",Çeyreklik!W31&lt;&gt;""),Çeyreklik!T31+Çeyreklik!U31+Çeyreklik!V31+Çeyreklik!W31,"")</f>
        <v>-1174798791</v>
      </c>
    </row>
    <row r="32" spans="1:20" x14ac:dyDescent="0.25">
      <c r="A32" t="str">
        <f>Çeyreklik!A32</f>
        <v xml:space="preserve">  Ertelenmiş Vergi Geliri (Gideri)</v>
      </c>
      <c r="B32" s="2">
        <f>IF(AND(Çeyreklik!B32&lt;&gt;"",Çeyreklik!C32&lt;&gt;"",Çeyreklik!D32&lt;&gt;"",Çeyreklik!E32&lt;&gt;""),Çeyreklik!B32+Çeyreklik!C32+Çeyreklik!D32+Çeyreklik!E32,"")</f>
        <v>-28595000</v>
      </c>
      <c r="C32" s="2">
        <f>IF(AND(Çeyreklik!C32&lt;&gt;"",Çeyreklik!D32&lt;&gt;"",Çeyreklik!E32&lt;&gt;"",Çeyreklik!F32&lt;&gt;""),Çeyreklik!C32+Çeyreklik!D32+Çeyreklik!E32+Çeyreklik!F32,"")</f>
        <v>-9928000</v>
      </c>
      <c r="D32" s="2">
        <f>IF(AND(Çeyreklik!D32&lt;&gt;"",Çeyreklik!E32&lt;&gt;"",Çeyreklik!F32&lt;&gt;"",Çeyreklik!G32&lt;&gt;""),Çeyreklik!D32+Çeyreklik!E32+Çeyreklik!F32+Çeyreklik!G32,"")</f>
        <v>-19207000</v>
      </c>
      <c r="E32" s="2">
        <f>IF(AND(Çeyreklik!E32&lt;&gt;"",Çeyreklik!F32&lt;&gt;"",Çeyreklik!G32&lt;&gt;"",Çeyreklik!H32&lt;&gt;""),Çeyreklik!E32+Çeyreklik!F32+Çeyreklik!G32+Çeyreklik!H32,"")</f>
        <v>358826000</v>
      </c>
      <c r="F32" s="2">
        <f>IF(AND(Çeyreklik!F32&lt;&gt;"",Çeyreklik!G32&lt;&gt;"",Çeyreklik!H32&lt;&gt;"",Çeyreklik!I32&lt;&gt;""),Çeyreklik!F32+Çeyreklik!G32+Çeyreklik!H32+Çeyreklik!I32,"")</f>
        <v>518543000</v>
      </c>
      <c r="G32" s="2">
        <f>IF(AND(Çeyreklik!G32&lt;&gt;"",Çeyreklik!H32&lt;&gt;"",Çeyreklik!I32&lt;&gt;"",Çeyreklik!J32&lt;&gt;""),Çeyreklik!G32+Çeyreklik!H32+Çeyreklik!I32+Çeyreklik!J32,"")</f>
        <v>731703000</v>
      </c>
      <c r="H32" s="2">
        <f>IF(AND(Çeyreklik!H32&lt;&gt;"",Çeyreklik!I32&lt;&gt;"",Çeyreklik!J32&lt;&gt;"",Çeyreklik!K32&lt;&gt;""),Çeyreklik!H32+Çeyreklik!I32+Çeyreklik!J32+Çeyreklik!K32,"")</f>
        <v>855960000</v>
      </c>
      <c r="I32" s="2">
        <f>IF(AND(Çeyreklik!I32&lt;&gt;"",Çeyreklik!J32&lt;&gt;"",Çeyreklik!K32&lt;&gt;"",Çeyreklik!L32&lt;&gt;""),Çeyreklik!I32+Çeyreklik!J32+Çeyreklik!K32+Çeyreklik!L32,"")</f>
        <v>1357230000</v>
      </c>
      <c r="J32" s="2">
        <f>IF(AND(Çeyreklik!J32&lt;&gt;"",Çeyreklik!K32&lt;&gt;"",Çeyreklik!L32&lt;&gt;"",Çeyreklik!M32&lt;&gt;""),Çeyreklik!J32+Çeyreklik!K32+Çeyreklik!L32+Çeyreklik!M32,"")</f>
        <v>913757000</v>
      </c>
      <c r="K32" s="2">
        <f>IF(AND(Çeyreklik!K32&lt;&gt;"",Çeyreklik!L32&lt;&gt;"",Çeyreklik!M32&lt;&gt;"",Çeyreklik!N32&lt;&gt;""),Çeyreklik!K32+Çeyreklik!L32+Çeyreklik!M32+Çeyreklik!N32,"")</f>
        <v>1738539000</v>
      </c>
      <c r="L32" s="2">
        <f>IF(AND(Çeyreklik!L32&lt;&gt;"",Çeyreklik!M32&lt;&gt;"",Çeyreklik!N32&lt;&gt;"",Çeyreklik!O32&lt;&gt;""),Çeyreklik!L32+Çeyreklik!M32+Çeyreklik!N32+Çeyreklik!O32,"")</f>
        <v>739939000</v>
      </c>
      <c r="M32" s="2">
        <f>IF(AND(Çeyreklik!M32&lt;&gt;"",Çeyreklik!N32&lt;&gt;"",Çeyreklik!O32&lt;&gt;"",Çeyreklik!P32&lt;&gt;""),Çeyreklik!M32+Çeyreklik!N32+Çeyreklik!O32+Çeyreklik!P32,"")</f>
        <v>1072196000</v>
      </c>
      <c r="N32" s="2">
        <f>IF(AND(Çeyreklik!N32&lt;&gt;"",Çeyreklik!O32&lt;&gt;"",Çeyreklik!P32&lt;&gt;"",Çeyreklik!Q32&lt;&gt;""),Çeyreklik!N32+Çeyreklik!O32+Çeyreklik!P32+Çeyreklik!Q32,"")</f>
        <v>34635000</v>
      </c>
      <c r="O32" s="2">
        <f>IF(AND(Çeyreklik!O32&lt;&gt;"",Çeyreklik!P32&lt;&gt;"",Çeyreklik!Q32&lt;&gt;"",Çeyreklik!R32&lt;&gt;""),Çeyreklik!O32+Çeyreklik!P32+Çeyreklik!Q32+Çeyreklik!R32,"")</f>
        <v>-1309028000</v>
      </c>
      <c r="P32" s="2">
        <f>IF(AND(Çeyreklik!P32&lt;&gt;"",Çeyreklik!Q32&lt;&gt;"",Çeyreklik!R32&lt;&gt;"",Çeyreklik!S32&lt;&gt;""),Çeyreklik!P32+Çeyreklik!Q32+Çeyreklik!R32+Çeyreklik!S32,"")</f>
        <v>-1590384000</v>
      </c>
      <c r="Q32" s="2">
        <f>IF(AND(Çeyreklik!Q32&lt;&gt;"",Çeyreklik!R32&lt;&gt;"",Çeyreklik!S32&lt;&gt;"",Çeyreklik!T32&lt;&gt;""),Çeyreklik!Q32+Çeyreklik!R32+Çeyreklik!S32+Çeyreklik!T32,"")</f>
        <v>-2911023809</v>
      </c>
      <c r="R32" s="2">
        <f>IF(AND(Çeyreklik!R32&lt;&gt;"",Çeyreklik!S32&lt;&gt;"",Çeyreklik!T32&lt;&gt;"",Çeyreklik!U32&lt;&gt;""),Çeyreklik!R32+Çeyreklik!S32+Çeyreklik!T32+Çeyreklik!U32,"")</f>
        <v>-2200302809</v>
      </c>
      <c r="S32" s="2">
        <f>IF(AND(Çeyreklik!S32&lt;&gt;"",Çeyreklik!T32&lt;&gt;"",Çeyreklik!U32&lt;&gt;"",Çeyreklik!V32&lt;&gt;""),Çeyreklik!S32+Çeyreklik!T32+Çeyreklik!U32+Çeyreklik!V32,"")</f>
        <v>-2119368809</v>
      </c>
      <c r="T32" s="2">
        <f>IF(AND(Çeyreklik!T32&lt;&gt;"",Çeyreklik!U32&lt;&gt;"",Çeyreklik!V32&lt;&gt;"",Çeyreklik!W32&lt;&gt;""),Çeyreklik!T32+Çeyreklik!U32+Çeyreklik!V32+Çeyreklik!W32,"")</f>
        <v>-1165605809</v>
      </c>
    </row>
    <row r="33" spans="1:20" x14ac:dyDescent="0.25">
      <c r="A33" t="str">
        <f>Çeyreklik!A33</f>
        <v xml:space="preserve">  Diğer Vergi Geliri (Gideri)</v>
      </c>
      <c r="B33" s="2">
        <f>IF(AND(Çeyreklik!B33&lt;&gt;"",Çeyreklik!C33&lt;&gt;"",Çeyreklik!D33&lt;&gt;"",Çeyreklik!E33&lt;&gt;""),Çeyreklik!B33+Çeyreklik!C33+Çeyreklik!D33+Çeyreklik!E33,"")</f>
        <v>0</v>
      </c>
      <c r="C33" s="2">
        <f>IF(AND(Çeyreklik!C33&lt;&gt;"",Çeyreklik!D33&lt;&gt;"",Çeyreklik!E33&lt;&gt;"",Çeyreklik!F33&lt;&gt;""),Çeyreklik!C33+Çeyreklik!D33+Çeyreklik!E33+Çeyreklik!F33,"")</f>
        <v>0</v>
      </c>
      <c r="D33" s="2">
        <f>IF(AND(Çeyreklik!D33&lt;&gt;"",Çeyreklik!E33&lt;&gt;"",Çeyreklik!F33&lt;&gt;"",Çeyreklik!G33&lt;&gt;""),Çeyreklik!D33+Çeyreklik!E33+Çeyreklik!F33+Çeyreklik!G33,"")</f>
        <v>0</v>
      </c>
      <c r="E33" s="2">
        <f>IF(AND(Çeyreklik!E33&lt;&gt;"",Çeyreklik!F33&lt;&gt;"",Çeyreklik!G33&lt;&gt;"",Çeyreklik!H33&lt;&gt;""),Çeyreklik!E33+Çeyreklik!F33+Çeyreklik!G33+Çeyreklik!H33,"")</f>
        <v>0</v>
      </c>
      <c r="F33" s="2">
        <f>IF(AND(Çeyreklik!F33&lt;&gt;"",Çeyreklik!G33&lt;&gt;"",Çeyreklik!H33&lt;&gt;"",Çeyreklik!I33&lt;&gt;""),Çeyreklik!F33+Çeyreklik!G33+Çeyreklik!H33+Çeyreklik!I33,"")</f>
        <v>0</v>
      </c>
      <c r="G33" s="2">
        <f>IF(AND(Çeyreklik!G33&lt;&gt;"",Çeyreklik!H33&lt;&gt;"",Çeyreklik!I33&lt;&gt;"",Çeyreklik!J33&lt;&gt;""),Çeyreklik!G33+Çeyreklik!H33+Çeyreklik!I33+Çeyreklik!J33,"")</f>
        <v>0</v>
      </c>
      <c r="H33" s="2">
        <f>IF(AND(Çeyreklik!H33&lt;&gt;"",Çeyreklik!I33&lt;&gt;"",Çeyreklik!J33&lt;&gt;"",Çeyreklik!K33&lt;&gt;""),Çeyreklik!H33+Çeyreklik!I33+Çeyreklik!J33+Çeyreklik!K33,"")</f>
        <v>0</v>
      </c>
      <c r="I33" s="2">
        <f>IF(AND(Çeyreklik!I33&lt;&gt;"",Çeyreklik!J33&lt;&gt;"",Çeyreklik!K33&lt;&gt;"",Çeyreklik!L33&lt;&gt;""),Çeyreklik!I33+Çeyreklik!J33+Çeyreklik!K33+Çeyreklik!L33,"")</f>
        <v>0</v>
      </c>
      <c r="J33" s="2">
        <f>IF(AND(Çeyreklik!J33&lt;&gt;"",Çeyreklik!K33&lt;&gt;"",Çeyreklik!L33&lt;&gt;"",Çeyreklik!M33&lt;&gt;""),Çeyreklik!J33+Çeyreklik!K33+Çeyreklik!L33+Çeyreklik!M33,"")</f>
        <v>0</v>
      </c>
      <c r="K33" s="2">
        <f>IF(AND(Çeyreklik!K33&lt;&gt;"",Çeyreklik!L33&lt;&gt;"",Çeyreklik!M33&lt;&gt;"",Çeyreklik!N33&lt;&gt;""),Çeyreklik!K33+Çeyreklik!L33+Çeyreklik!M33+Çeyreklik!N33,"")</f>
        <v>0</v>
      </c>
      <c r="L33" s="2">
        <f>IF(AND(Çeyreklik!L33&lt;&gt;"",Çeyreklik!M33&lt;&gt;"",Çeyreklik!N33&lt;&gt;"",Çeyreklik!O33&lt;&gt;""),Çeyreklik!L33+Çeyreklik!M33+Çeyreklik!N33+Çeyreklik!O33,"")</f>
        <v>0</v>
      </c>
      <c r="M33" s="2">
        <f>IF(AND(Çeyreklik!M33&lt;&gt;"",Çeyreklik!N33&lt;&gt;"",Çeyreklik!O33&lt;&gt;"",Çeyreklik!P33&lt;&gt;""),Çeyreklik!M33+Çeyreklik!N33+Çeyreklik!O33+Çeyreklik!P33,"")</f>
        <v>0</v>
      </c>
      <c r="N33" s="2">
        <f>IF(AND(Çeyreklik!N33&lt;&gt;"",Çeyreklik!O33&lt;&gt;"",Çeyreklik!P33&lt;&gt;"",Çeyreklik!Q33&lt;&gt;""),Çeyreklik!N33+Çeyreklik!O33+Çeyreklik!P33+Çeyreklik!Q33,"")</f>
        <v>0</v>
      </c>
      <c r="O33" s="2">
        <f>IF(AND(Çeyreklik!O33&lt;&gt;"",Çeyreklik!P33&lt;&gt;"",Çeyreklik!Q33&lt;&gt;"",Çeyreklik!R33&lt;&gt;""),Çeyreklik!O33+Çeyreklik!P33+Çeyreklik!Q33+Çeyreklik!R33,"")</f>
        <v>0</v>
      </c>
      <c r="P33" s="2">
        <f>IF(AND(Çeyreklik!P33&lt;&gt;"",Çeyreklik!Q33&lt;&gt;"",Çeyreklik!R33&lt;&gt;"",Çeyreklik!S33&lt;&gt;""),Çeyreklik!P33+Çeyreklik!Q33+Çeyreklik!R33+Çeyreklik!S33,"")</f>
        <v>0</v>
      </c>
      <c r="Q33" s="2">
        <f>IF(AND(Çeyreklik!Q33&lt;&gt;"",Çeyreklik!R33&lt;&gt;"",Çeyreklik!S33&lt;&gt;"",Çeyreklik!T33&lt;&gt;""),Çeyreklik!Q33+Çeyreklik!R33+Çeyreklik!S33+Çeyreklik!T33,"")</f>
        <v>0</v>
      </c>
      <c r="R33" s="2">
        <f>IF(AND(Çeyreklik!R33&lt;&gt;"",Çeyreklik!S33&lt;&gt;"",Çeyreklik!T33&lt;&gt;"",Çeyreklik!U33&lt;&gt;""),Çeyreklik!R33+Çeyreklik!S33+Çeyreklik!T33+Çeyreklik!U33,"")</f>
        <v>0</v>
      </c>
      <c r="S33" s="2">
        <f>IF(AND(Çeyreklik!S33&lt;&gt;"",Çeyreklik!T33&lt;&gt;"",Çeyreklik!U33&lt;&gt;"",Çeyreklik!V33&lt;&gt;""),Çeyreklik!S33+Çeyreklik!T33+Çeyreklik!U33+Çeyreklik!V33,"")</f>
        <v>0</v>
      </c>
      <c r="T33" s="2">
        <f>IF(AND(Çeyreklik!T33&lt;&gt;"",Çeyreklik!U33&lt;&gt;"",Çeyreklik!V33&lt;&gt;"",Çeyreklik!W33&lt;&gt;""),Çeyreklik!T33+Çeyreklik!U33+Çeyreklik!V33+Çeyreklik!W33,"")</f>
        <v>0</v>
      </c>
    </row>
    <row r="34" spans="1:20" x14ac:dyDescent="0.25">
      <c r="A34" t="str">
        <f>Çeyreklik!A34</f>
        <v>SÜRDÜRÜLEN FAALİYETLER DÖNEM KARI/ZARARI</v>
      </c>
      <c r="B34" s="2">
        <f>IF(AND(Çeyreklik!B34&lt;&gt;"",Çeyreklik!C34&lt;&gt;"",Çeyreklik!D34&lt;&gt;"",Çeyreklik!E34&lt;&gt;""),Çeyreklik!B34+Çeyreklik!C34+Çeyreklik!D34+Çeyreklik!E34,"")</f>
        <v>1805684000</v>
      </c>
      <c r="C34" s="2">
        <f>IF(AND(Çeyreklik!C34&lt;&gt;"",Çeyreklik!D34&lt;&gt;"",Çeyreklik!E34&lt;&gt;"",Çeyreklik!F34&lt;&gt;""),Çeyreklik!C34+Çeyreklik!D34+Çeyreklik!E34+Çeyreklik!F34,"")</f>
        <v>1513273000</v>
      </c>
      <c r="D34" s="2">
        <f>IF(AND(Çeyreklik!D34&lt;&gt;"",Çeyreklik!E34&lt;&gt;"",Çeyreklik!F34&lt;&gt;"",Çeyreklik!G34&lt;&gt;""),Çeyreklik!D34+Çeyreklik!E34+Çeyreklik!F34+Çeyreklik!G34,"")</f>
        <v>1220837000</v>
      </c>
      <c r="E34" s="2">
        <f>IF(AND(Çeyreklik!E34&lt;&gt;"",Çeyreklik!F34&lt;&gt;"",Çeyreklik!G34&lt;&gt;"",Çeyreklik!H34&lt;&gt;""),Çeyreklik!E34+Çeyreklik!F34+Çeyreklik!G34+Çeyreklik!H34,"")</f>
        <v>-162419000</v>
      </c>
      <c r="F34" s="2">
        <f>IF(AND(Çeyreklik!F34&lt;&gt;"",Çeyreklik!G34&lt;&gt;"",Çeyreklik!H34&lt;&gt;"",Çeyreklik!I34&lt;&gt;""),Çeyreklik!F34+Çeyreklik!G34+Çeyreklik!H34+Çeyreklik!I34,"")</f>
        <v>-986451000</v>
      </c>
      <c r="G34" s="2">
        <f>IF(AND(Çeyreklik!G34&lt;&gt;"",Çeyreklik!H34&lt;&gt;"",Çeyreklik!I34&lt;&gt;"",Çeyreklik!J34&lt;&gt;""),Çeyreklik!G34+Çeyreklik!H34+Çeyreklik!I34+Çeyreklik!J34,"")</f>
        <v>-1788149000</v>
      </c>
      <c r="H34" s="2">
        <f>IF(AND(Çeyreklik!H34&lt;&gt;"",Çeyreklik!I34&lt;&gt;"",Çeyreklik!J34&lt;&gt;"",Çeyreklik!K34&lt;&gt;""),Çeyreklik!H34+Çeyreklik!I34+Çeyreklik!J34+Çeyreklik!K34,"")</f>
        <v>-1921455000</v>
      </c>
      <c r="I34" s="2">
        <f>IF(AND(Çeyreklik!I34&lt;&gt;"",Çeyreklik!J34&lt;&gt;"",Çeyreklik!K34&lt;&gt;"",Çeyreklik!L34&lt;&gt;""),Çeyreklik!I34+Çeyreklik!J34+Çeyreklik!K34+Çeyreklik!L34,"")</f>
        <v>1429506000</v>
      </c>
      <c r="J34" s="2">
        <f>IF(AND(Çeyreklik!J34&lt;&gt;"",Çeyreklik!K34&lt;&gt;"",Çeyreklik!L34&lt;&gt;"",Çeyreklik!M34&lt;&gt;""),Çeyreklik!J34+Çeyreklik!K34+Çeyreklik!L34+Çeyreklik!M34,"")</f>
        <v>4460075000</v>
      </c>
      <c r="K34" s="2">
        <f>IF(AND(Çeyreklik!K34&lt;&gt;"",Çeyreklik!L34&lt;&gt;"",Çeyreklik!M34&lt;&gt;"",Çeyreklik!N34&lt;&gt;""),Çeyreklik!K34+Çeyreklik!L34+Çeyreklik!M34+Çeyreklik!N34,"")</f>
        <v>2995194000</v>
      </c>
      <c r="L34" s="2">
        <f>IF(AND(Çeyreklik!L34&lt;&gt;"",Çeyreklik!M34&lt;&gt;"",Çeyreklik!N34&lt;&gt;"",Çeyreklik!O34&lt;&gt;""),Çeyreklik!L34+Çeyreklik!M34+Çeyreklik!N34+Çeyreklik!O34,"")</f>
        <v>6484700000</v>
      </c>
      <c r="M34" s="2">
        <f>IF(AND(Çeyreklik!M34&lt;&gt;"",Çeyreklik!N34&lt;&gt;"",Çeyreklik!O34&lt;&gt;"",Çeyreklik!P34&lt;&gt;""),Çeyreklik!M34+Çeyreklik!N34+Çeyreklik!O34+Çeyreklik!P34,"")</f>
        <v>6096775000</v>
      </c>
      <c r="N34" s="2">
        <f>IF(AND(Çeyreklik!N34&lt;&gt;"",Çeyreklik!O34&lt;&gt;"",Çeyreklik!P34&lt;&gt;"",Çeyreklik!Q34&lt;&gt;""),Çeyreklik!N34+Çeyreklik!O34+Çeyreklik!P34+Çeyreklik!Q34,"")</f>
        <v>6823733000</v>
      </c>
      <c r="O34" s="2">
        <f>IF(AND(Çeyreklik!O34&lt;&gt;"",Çeyreklik!P34&lt;&gt;"",Çeyreklik!Q34&lt;&gt;"",Çeyreklik!R34&lt;&gt;""),Çeyreklik!O34+Çeyreklik!P34+Çeyreklik!Q34+Çeyreklik!R34,"")</f>
        <v>10851258000</v>
      </c>
      <c r="P34" s="2">
        <f>IF(AND(Çeyreklik!P34&lt;&gt;"",Çeyreklik!Q34&lt;&gt;"",Çeyreklik!R34&lt;&gt;"",Çeyreklik!S34&lt;&gt;""),Çeyreklik!P34+Çeyreklik!Q34+Çeyreklik!R34+Çeyreklik!S34,"")</f>
        <v>8548109000</v>
      </c>
      <c r="Q34" s="2">
        <f>IF(AND(Çeyreklik!Q34&lt;&gt;"",Çeyreklik!R34&lt;&gt;"",Çeyreklik!S34&lt;&gt;"",Çeyreklik!T34&lt;&gt;""),Çeyreklik!Q34+Çeyreklik!R34+Çeyreklik!S34+Çeyreklik!T34,"")</f>
        <v>10054568716</v>
      </c>
      <c r="R34" s="2">
        <f>IF(AND(Çeyreklik!R34&lt;&gt;"",Çeyreklik!S34&lt;&gt;"",Çeyreklik!T34&lt;&gt;"",Çeyreklik!U34&lt;&gt;""),Çeyreklik!R34+Çeyreklik!S34+Çeyreklik!T34+Çeyreklik!U34,"")</f>
        <v>9207142716</v>
      </c>
      <c r="S34" s="2">
        <f>IF(AND(Çeyreklik!S34&lt;&gt;"",Çeyreklik!T34&lt;&gt;"",Çeyreklik!U34&lt;&gt;"",Çeyreklik!V34&lt;&gt;""),Çeyreklik!S34+Çeyreklik!T34+Çeyreklik!U34+Çeyreklik!V34,"")</f>
        <v>8110226716</v>
      </c>
      <c r="T34" s="2">
        <f>IF(AND(Çeyreklik!T34&lt;&gt;"",Çeyreklik!U34&lt;&gt;"",Çeyreklik!V34&lt;&gt;"",Çeyreklik!W34&lt;&gt;""),Çeyreklik!T34+Çeyreklik!U34+Çeyreklik!V34+Çeyreklik!W34,"")</f>
        <v>8388865716</v>
      </c>
    </row>
    <row r="35" spans="1:20" x14ac:dyDescent="0.25">
      <c r="A35" t="str">
        <f>Çeyreklik!A35</f>
        <v>DURDURULAN FAALİYETLER</v>
      </c>
      <c r="B35" s="2">
        <f>IF(AND(Çeyreklik!B35&lt;&gt;"",Çeyreklik!C35&lt;&gt;"",Çeyreklik!D35&lt;&gt;"",Çeyreklik!E35&lt;&gt;""),Çeyreklik!B35+Çeyreklik!C35+Çeyreklik!D35+Çeyreklik!E35,"")</f>
        <v>0</v>
      </c>
      <c r="C35" s="2">
        <f>IF(AND(Çeyreklik!C35&lt;&gt;"",Çeyreklik!D35&lt;&gt;"",Çeyreklik!E35&lt;&gt;"",Çeyreklik!F35&lt;&gt;""),Çeyreklik!C35+Çeyreklik!D35+Çeyreklik!E35+Çeyreklik!F35,"")</f>
        <v>0</v>
      </c>
      <c r="D35" s="2">
        <f>IF(AND(Çeyreklik!D35&lt;&gt;"",Çeyreklik!E35&lt;&gt;"",Çeyreklik!F35&lt;&gt;"",Çeyreklik!G35&lt;&gt;""),Çeyreklik!D35+Çeyreklik!E35+Çeyreklik!F35+Çeyreklik!G35,"")</f>
        <v>0</v>
      </c>
      <c r="E35" s="2">
        <f>IF(AND(Çeyreklik!E35&lt;&gt;"",Çeyreklik!F35&lt;&gt;"",Çeyreklik!G35&lt;&gt;"",Çeyreklik!H35&lt;&gt;""),Çeyreklik!E35+Çeyreklik!F35+Çeyreklik!G35+Çeyreklik!H35,"")</f>
        <v>0</v>
      </c>
      <c r="F35" s="2">
        <f>IF(AND(Çeyreklik!F35&lt;&gt;"",Çeyreklik!G35&lt;&gt;"",Çeyreklik!H35&lt;&gt;"",Çeyreklik!I35&lt;&gt;""),Çeyreklik!F35+Çeyreklik!G35+Çeyreklik!H35+Çeyreklik!I35,"")</f>
        <v>0</v>
      </c>
      <c r="G35" s="2">
        <f>IF(AND(Çeyreklik!G35&lt;&gt;"",Çeyreklik!H35&lt;&gt;"",Çeyreklik!I35&lt;&gt;"",Çeyreklik!J35&lt;&gt;""),Çeyreklik!G35+Çeyreklik!H35+Çeyreklik!I35+Çeyreklik!J35,"")</f>
        <v>0</v>
      </c>
      <c r="H35" s="2">
        <f>IF(AND(Çeyreklik!H35&lt;&gt;"",Çeyreklik!I35&lt;&gt;"",Çeyreklik!J35&lt;&gt;"",Çeyreklik!K35&lt;&gt;""),Çeyreklik!H35+Çeyreklik!I35+Çeyreklik!J35+Çeyreklik!K35,"")</f>
        <v>0</v>
      </c>
      <c r="I35" s="2">
        <f>IF(AND(Çeyreklik!I35&lt;&gt;"",Çeyreklik!J35&lt;&gt;"",Çeyreklik!K35&lt;&gt;"",Çeyreklik!L35&lt;&gt;""),Çeyreklik!I35+Çeyreklik!J35+Çeyreklik!K35+Çeyreklik!L35,"")</f>
        <v>0</v>
      </c>
      <c r="J35" s="2">
        <f>IF(AND(Çeyreklik!J35&lt;&gt;"",Çeyreklik!K35&lt;&gt;"",Çeyreklik!L35&lt;&gt;"",Çeyreklik!M35&lt;&gt;""),Çeyreklik!J35+Çeyreklik!K35+Çeyreklik!L35+Çeyreklik!M35,"")</f>
        <v>0</v>
      </c>
      <c r="K35" s="2">
        <f>IF(AND(Çeyreklik!K35&lt;&gt;"",Çeyreklik!L35&lt;&gt;"",Çeyreklik!M35&lt;&gt;"",Çeyreklik!N35&lt;&gt;""),Çeyreklik!K35+Çeyreklik!L35+Çeyreklik!M35+Çeyreklik!N35,"")</f>
        <v>0</v>
      </c>
      <c r="L35" s="2">
        <f>IF(AND(Çeyreklik!L35&lt;&gt;"",Çeyreklik!M35&lt;&gt;"",Çeyreklik!N35&lt;&gt;"",Çeyreklik!O35&lt;&gt;""),Çeyreklik!L35+Çeyreklik!M35+Çeyreklik!N35+Çeyreklik!O35,"")</f>
        <v>0</v>
      </c>
      <c r="M35" s="2">
        <f>IF(AND(Çeyreklik!M35&lt;&gt;"",Çeyreklik!N35&lt;&gt;"",Çeyreklik!O35&lt;&gt;"",Çeyreklik!P35&lt;&gt;""),Çeyreklik!M35+Çeyreklik!N35+Çeyreklik!O35+Çeyreklik!P35,"")</f>
        <v>0</v>
      </c>
      <c r="N35" s="2">
        <f>IF(AND(Çeyreklik!N35&lt;&gt;"",Çeyreklik!O35&lt;&gt;"",Çeyreklik!P35&lt;&gt;"",Çeyreklik!Q35&lt;&gt;""),Çeyreklik!N35+Çeyreklik!O35+Çeyreklik!P35+Çeyreklik!Q35,"")</f>
        <v>0</v>
      </c>
      <c r="O35" s="2">
        <f>IF(AND(Çeyreklik!O35&lt;&gt;"",Çeyreklik!P35&lt;&gt;"",Çeyreklik!Q35&lt;&gt;"",Çeyreklik!R35&lt;&gt;""),Çeyreklik!O35+Çeyreklik!P35+Çeyreklik!Q35+Çeyreklik!R35,"")</f>
        <v>0</v>
      </c>
      <c r="P35" s="2">
        <f>IF(AND(Çeyreklik!P35&lt;&gt;"",Çeyreklik!Q35&lt;&gt;"",Çeyreklik!R35&lt;&gt;"",Çeyreklik!S35&lt;&gt;""),Çeyreklik!P35+Çeyreklik!Q35+Çeyreklik!R35+Çeyreklik!S35,"")</f>
        <v>0</v>
      </c>
      <c r="Q35" s="2">
        <f>IF(AND(Çeyreklik!Q35&lt;&gt;"",Çeyreklik!R35&lt;&gt;"",Çeyreklik!S35&lt;&gt;"",Çeyreklik!T35&lt;&gt;""),Çeyreklik!Q35+Çeyreklik!R35+Çeyreklik!S35+Çeyreklik!T35,"")</f>
        <v>0</v>
      </c>
      <c r="R35" s="2">
        <f>IF(AND(Çeyreklik!R35&lt;&gt;"",Çeyreklik!S35&lt;&gt;"",Çeyreklik!T35&lt;&gt;"",Çeyreklik!U35&lt;&gt;""),Çeyreklik!R35+Çeyreklik!S35+Çeyreklik!T35+Çeyreklik!U35,"")</f>
        <v>0</v>
      </c>
      <c r="S35" s="2">
        <f>IF(AND(Çeyreklik!S35&lt;&gt;"",Çeyreklik!T35&lt;&gt;"",Çeyreklik!U35&lt;&gt;"",Çeyreklik!V35&lt;&gt;""),Çeyreklik!S35+Çeyreklik!T35+Çeyreklik!U35+Çeyreklik!V35,"")</f>
        <v>0</v>
      </c>
      <c r="T35" s="2">
        <f>IF(AND(Çeyreklik!T35&lt;&gt;"",Çeyreklik!U35&lt;&gt;"",Çeyreklik!V35&lt;&gt;"",Çeyreklik!W35&lt;&gt;""),Çeyreklik!T35+Çeyreklik!U35+Çeyreklik!V35+Çeyreklik!W35,"")</f>
        <v>0</v>
      </c>
    </row>
    <row r="36" spans="1:20" x14ac:dyDescent="0.25">
      <c r="A36" t="str">
        <f>Çeyreklik!A36</f>
        <v>Durdurulan Faaliyetler Vergi Sonrası Dönem Karı (Zararı)</v>
      </c>
      <c r="B36" s="2">
        <f>IF(AND(Çeyreklik!B36&lt;&gt;"",Çeyreklik!C36&lt;&gt;"",Çeyreklik!D36&lt;&gt;"",Çeyreklik!E36&lt;&gt;""),Çeyreklik!B36+Çeyreklik!C36+Çeyreklik!D36+Çeyreklik!E36,"")</f>
        <v>0</v>
      </c>
      <c r="C36" s="2">
        <f>IF(AND(Çeyreklik!C36&lt;&gt;"",Çeyreklik!D36&lt;&gt;"",Çeyreklik!E36&lt;&gt;"",Çeyreklik!F36&lt;&gt;""),Çeyreklik!C36+Çeyreklik!D36+Çeyreklik!E36+Çeyreklik!F36,"")</f>
        <v>0</v>
      </c>
      <c r="D36" s="2">
        <f>IF(AND(Çeyreklik!D36&lt;&gt;"",Çeyreklik!E36&lt;&gt;"",Çeyreklik!F36&lt;&gt;"",Çeyreklik!G36&lt;&gt;""),Çeyreklik!D36+Çeyreklik!E36+Çeyreklik!F36+Çeyreklik!G36,"")</f>
        <v>0</v>
      </c>
      <c r="E36" s="2">
        <f>IF(AND(Çeyreklik!E36&lt;&gt;"",Çeyreklik!F36&lt;&gt;"",Çeyreklik!G36&lt;&gt;"",Çeyreklik!H36&lt;&gt;""),Çeyreklik!E36+Çeyreklik!F36+Çeyreklik!G36+Çeyreklik!H36,"")</f>
        <v>0</v>
      </c>
      <c r="F36" s="2">
        <f>IF(AND(Çeyreklik!F36&lt;&gt;"",Çeyreklik!G36&lt;&gt;"",Çeyreklik!H36&lt;&gt;"",Çeyreklik!I36&lt;&gt;""),Çeyreklik!F36+Çeyreklik!G36+Çeyreklik!H36+Çeyreklik!I36,"")</f>
        <v>0</v>
      </c>
      <c r="G36" s="2">
        <f>IF(AND(Çeyreklik!G36&lt;&gt;"",Çeyreklik!H36&lt;&gt;"",Çeyreklik!I36&lt;&gt;"",Çeyreklik!J36&lt;&gt;""),Çeyreklik!G36+Çeyreklik!H36+Çeyreklik!I36+Çeyreklik!J36,"")</f>
        <v>0</v>
      </c>
      <c r="H36" s="2">
        <f>IF(AND(Çeyreklik!H36&lt;&gt;"",Çeyreklik!I36&lt;&gt;"",Çeyreklik!J36&lt;&gt;"",Çeyreklik!K36&lt;&gt;""),Çeyreklik!H36+Çeyreklik!I36+Çeyreklik!J36+Çeyreklik!K36,"")</f>
        <v>0</v>
      </c>
      <c r="I36" s="2">
        <f>IF(AND(Çeyreklik!I36&lt;&gt;"",Çeyreklik!J36&lt;&gt;"",Çeyreklik!K36&lt;&gt;"",Çeyreklik!L36&lt;&gt;""),Çeyreklik!I36+Çeyreklik!J36+Çeyreklik!K36+Çeyreklik!L36,"")</f>
        <v>0</v>
      </c>
      <c r="J36" s="2">
        <f>IF(AND(Çeyreklik!J36&lt;&gt;"",Çeyreklik!K36&lt;&gt;"",Çeyreklik!L36&lt;&gt;"",Çeyreklik!M36&lt;&gt;""),Çeyreklik!J36+Çeyreklik!K36+Çeyreklik!L36+Çeyreklik!M36,"")</f>
        <v>0</v>
      </c>
      <c r="K36" s="2">
        <f>IF(AND(Çeyreklik!K36&lt;&gt;"",Çeyreklik!L36&lt;&gt;"",Çeyreklik!M36&lt;&gt;"",Çeyreklik!N36&lt;&gt;""),Çeyreklik!K36+Çeyreklik!L36+Çeyreklik!M36+Çeyreklik!N36,"")</f>
        <v>0</v>
      </c>
      <c r="L36" s="2">
        <f>IF(AND(Çeyreklik!L36&lt;&gt;"",Çeyreklik!M36&lt;&gt;"",Çeyreklik!N36&lt;&gt;"",Çeyreklik!O36&lt;&gt;""),Çeyreklik!L36+Çeyreklik!M36+Çeyreklik!N36+Çeyreklik!O36,"")</f>
        <v>0</v>
      </c>
      <c r="M36" s="2">
        <f>IF(AND(Çeyreklik!M36&lt;&gt;"",Çeyreklik!N36&lt;&gt;"",Çeyreklik!O36&lt;&gt;"",Çeyreklik!P36&lt;&gt;""),Çeyreklik!M36+Çeyreklik!N36+Çeyreklik!O36+Çeyreklik!P36,"")</f>
        <v>0</v>
      </c>
      <c r="N36" s="2">
        <f>IF(AND(Çeyreklik!N36&lt;&gt;"",Çeyreklik!O36&lt;&gt;"",Çeyreklik!P36&lt;&gt;"",Çeyreklik!Q36&lt;&gt;""),Çeyreklik!N36+Çeyreklik!O36+Çeyreklik!P36+Çeyreklik!Q36,"")</f>
        <v>0</v>
      </c>
      <c r="O36" s="2">
        <f>IF(AND(Çeyreklik!O36&lt;&gt;"",Çeyreklik!P36&lt;&gt;"",Çeyreklik!Q36&lt;&gt;"",Çeyreklik!R36&lt;&gt;""),Çeyreklik!O36+Çeyreklik!P36+Çeyreklik!Q36+Çeyreklik!R36,"")</f>
        <v>0</v>
      </c>
      <c r="P36" s="2">
        <f>IF(AND(Çeyreklik!P36&lt;&gt;"",Çeyreklik!Q36&lt;&gt;"",Çeyreklik!R36&lt;&gt;"",Çeyreklik!S36&lt;&gt;""),Çeyreklik!P36+Çeyreklik!Q36+Çeyreklik!R36+Çeyreklik!S36,"")</f>
        <v>0</v>
      </c>
      <c r="Q36" s="2">
        <f>IF(AND(Çeyreklik!Q36&lt;&gt;"",Çeyreklik!R36&lt;&gt;"",Çeyreklik!S36&lt;&gt;"",Çeyreklik!T36&lt;&gt;""),Çeyreklik!Q36+Çeyreklik!R36+Çeyreklik!S36+Çeyreklik!T36,"")</f>
        <v>0</v>
      </c>
      <c r="R36" s="2">
        <f>IF(AND(Çeyreklik!R36&lt;&gt;"",Çeyreklik!S36&lt;&gt;"",Çeyreklik!T36&lt;&gt;"",Çeyreklik!U36&lt;&gt;""),Çeyreklik!R36+Çeyreklik!S36+Çeyreklik!T36+Çeyreklik!U36,"")</f>
        <v>0</v>
      </c>
      <c r="S36" s="2">
        <f>IF(AND(Çeyreklik!S36&lt;&gt;"",Çeyreklik!T36&lt;&gt;"",Çeyreklik!U36&lt;&gt;"",Çeyreklik!V36&lt;&gt;""),Çeyreklik!S36+Çeyreklik!T36+Çeyreklik!U36+Çeyreklik!V36,"")</f>
        <v>0</v>
      </c>
      <c r="T36" s="2">
        <f>IF(AND(Çeyreklik!T36&lt;&gt;"",Çeyreklik!U36&lt;&gt;"",Çeyreklik!V36&lt;&gt;"",Çeyreklik!W36&lt;&gt;""),Çeyreklik!T36+Çeyreklik!U36+Çeyreklik!V36+Çeyreklik!W36,"")</f>
        <v>0</v>
      </c>
    </row>
    <row r="37" spans="1:20" x14ac:dyDescent="0.25">
      <c r="A37" t="str">
        <f>Çeyreklik!A37</f>
        <v>DÖNEM KARI (ZARARI)</v>
      </c>
      <c r="B37" s="2">
        <f>IF(AND(Çeyreklik!B37&lt;&gt;"",Çeyreklik!C37&lt;&gt;"",Çeyreklik!D37&lt;&gt;"",Çeyreklik!E37&lt;&gt;""),Çeyreklik!B37+Çeyreklik!C37+Çeyreklik!D37+Çeyreklik!E37,"")</f>
        <v>1805684000</v>
      </c>
      <c r="C37" s="2">
        <f>IF(AND(Çeyreklik!C37&lt;&gt;"",Çeyreklik!D37&lt;&gt;"",Çeyreklik!E37&lt;&gt;"",Çeyreklik!F37&lt;&gt;""),Çeyreklik!C37+Çeyreklik!D37+Çeyreklik!E37+Çeyreklik!F37,"")</f>
        <v>1513273000</v>
      </c>
      <c r="D37" s="2">
        <f>IF(AND(Çeyreklik!D37&lt;&gt;"",Çeyreklik!E37&lt;&gt;"",Çeyreklik!F37&lt;&gt;"",Çeyreklik!G37&lt;&gt;""),Çeyreklik!D37+Çeyreklik!E37+Çeyreklik!F37+Çeyreklik!G37,"")</f>
        <v>1220837000</v>
      </c>
      <c r="E37" s="2">
        <f>IF(AND(Çeyreklik!E37&lt;&gt;"",Çeyreklik!F37&lt;&gt;"",Çeyreklik!G37&lt;&gt;"",Çeyreklik!H37&lt;&gt;""),Çeyreklik!E37+Çeyreklik!F37+Çeyreklik!G37+Çeyreklik!H37,"")</f>
        <v>-162419000</v>
      </c>
      <c r="F37" s="2">
        <f>IF(AND(Çeyreklik!F37&lt;&gt;"",Çeyreklik!G37&lt;&gt;"",Çeyreklik!H37&lt;&gt;"",Çeyreklik!I37&lt;&gt;""),Çeyreklik!F37+Çeyreklik!G37+Çeyreklik!H37+Çeyreklik!I37,"")</f>
        <v>-986451000</v>
      </c>
      <c r="G37" s="2">
        <f>IF(AND(Çeyreklik!G37&lt;&gt;"",Çeyreklik!H37&lt;&gt;"",Çeyreklik!I37&lt;&gt;"",Çeyreklik!J37&lt;&gt;""),Çeyreklik!G37+Çeyreklik!H37+Çeyreklik!I37+Çeyreklik!J37,"")</f>
        <v>-1788149000</v>
      </c>
      <c r="H37" s="2">
        <f>IF(AND(Çeyreklik!H37&lt;&gt;"",Çeyreklik!I37&lt;&gt;"",Çeyreklik!J37&lt;&gt;"",Çeyreklik!K37&lt;&gt;""),Çeyreklik!H37+Çeyreklik!I37+Çeyreklik!J37+Çeyreklik!K37,"")</f>
        <v>-1921455000</v>
      </c>
      <c r="I37" s="2">
        <f>IF(AND(Çeyreklik!I37&lt;&gt;"",Çeyreklik!J37&lt;&gt;"",Çeyreklik!K37&lt;&gt;"",Çeyreklik!L37&lt;&gt;""),Çeyreklik!I37+Çeyreklik!J37+Çeyreklik!K37+Çeyreklik!L37,"")</f>
        <v>1429506000</v>
      </c>
      <c r="J37" s="2">
        <f>IF(AND(Çeyreklik!J37&lt;&gt;"",Çeyreklik!K37&lt;&gt;"",Çeyreklik!L37&lt;&gt;"",Çeyreklik!M37&lt;&gt;""),Çeyreklik!J37+Çeyreklik!K37+Çeyreklik!L37+Çeyreklik!M37,"")</f>
        <v>4460075000</v>
      </c>
      <c r="K37" s="2">
        <f>IF(AND(Çeyreklik!K37&lt;&gt;"",Çeyreklik!L37&lt;&gt;"",Çeyreklik!M37&lt;&gt;"",Çeyreklik!N37&lt;&gt;""),Çeyreklik!K37+Çeyreklik!L37+Çeyreklik!M37+Çeyreklik!N37,"")</f>
        <v>2995194000</v>
      </c>
      <c r="L37" s="2">
        <f>IF(AND(Çeyreklik!L37&lt;&gt;"",Çeyreklik!M37&lt;&gt;"",Çeyreklik!N37&lt;&gt;"",Çeyreklik!O37&lt;&gt;""),Çeyreklik!L37+Çeyreklik!M37+Çeyreklik!N37+Çeyreklik!O37,"")</f>
        <v>6484700000</v>
      </c>
      <c r="M37" s="2">
        <f>IF(AND(Çeyreklik!M37&lt;&gt;"",Çeyreklik!N37&lt;&gt;"",Çeyreklik!O37&lt;&gt;"",Çeyreklik!P37&lt;&gt;""),Çeyreklik!M37+Çeyreklik!N37+Çeyreklik!O37+Çeyreklik!P37,"")</f>
        <v>6096775000</v>
      </c>
      <c r="N37" s="2">
        <f>IF(AND(Çeyreklik!N37&lt;&gt;"",Çeyreklik!O37&lt;&gt;"",Çeyreklik!P37&lt;&gt;"",Çeyreklik!Q37&lt;&gt;""),Çeyreklik!N37+Çeyreklik!O37+Çeyreklik!P37+Çeyreklik!Q37,"")</f>
        <v>6823733000</v>
      </c>
      <c r="O37" s="2">
        <f>IF(AND(Çeyreklik!O37&lt;&gt;"",Çeyreklik!P37&lt;&gt;"",Çeyreklik!Q37&lt;&gt;"",Çeyreklik!R37&lt;&gt;""),Çeyreklik!O37+Çeyreklik!P37+Çeyreklik!Q37+Çeyreklik!R37,"")</f>
        <v>10851258000</v>
      </c>
      <c r="P37" s="2">
        <f>IF(AND(Çeyreklik!P37&lt;&gt;"",Çeyreklik!Q37&lt;&gt;"",Çeyreklik!R37&lt;&gt;"",Çeyreklik!S37&lt;&gt;""),Çeyreklik!P37+Çeyreklik!Q37+Çeyreklik!R37+Çeyreklik!S37,"")</f>
        <v>8548109000</v>
      </c>
      <c r="Q37" s="2">
        <f>IF(AND(Çeyreklik!Q37&lt;&gt;"",Çeyreklik!R37&lt;&gt;"",Çeyreklik!S37&lt;&gt;"",Çeyreklik!T37&lt;&gt;""),Çeyreklik!Q37+Çeyreklik!R37+Çeyreklik!S37+Çeyreklik!T37,"")</f>
        <v>10054568716</v>
      </c>
      <c r="R37" s="2">
        <f>IF(AND(Çeyreklik!R37&lt;&gt;"",Çeyreklik!S37&lt;&gt;"",Çeyreklik!T37&lt;&gt;"",Çeyreklik!U37&lt;&gt;""),Çeyreklik!R37+Çeyreklik!S37+Çeyreklik!T37+Çeyreklik!U37,"")</f>
        <v>9207142716</v>
      </c>
      <c r="S37" s="2">
        <f>IF(AND(Çeyreklik!S37&lt;&gt;"",Çeyreklik!T37&lt;&gt;"",Çeyreklik!U37&lt;&gt;"",Çeyreklik!V37&lt;&gt;""),Çeyreklik!S37+Çeyreklik!T37+Çeyreklik!U37+Çeyreklik!V37,"")</f>
        <v>8110226716</v>
      </c>
      <c r="T37" s="2">
        <f>IF(AND(Çeyreklik!T37&lt;&gt;"",Çeyreklik!U37&lt;&gt;"",Çeyreklik!V37&lt;&gt;"",Çeyreklik!W37&lt;&gt;""),Çeyreklik!T37+Çeyreklik!U37+Çeyreklik!V37+Çeyreklik!W37,"")</f>
        <v>8388865716</v>
      </c>
    </row>
    <row r="38" spans="1:20" x14ac:dyDescent="0.25">
      <c r="A38" t="str">
        <f>Çeyreklik!A38</f>
        <v>Dönem Kar/Zararının Dağılımı</v>
      </c>
      <c r="B38" s="2">
        <f>IF(AND(Çeyreklik!B38&lt;&gt;"",Çeyreklik!C38&lt;&gt;"",Çeyreklik!D38&lt;&gt;"",Çeyreklik!E38&lt;&gt;""),Çeyreklik!B38+Çeyreklik!C38+Çeyreklik!D38+Çeyreklik!E38,"")</f>
        <v>0</v>
      </c>
      <c r="C38" s="2">
        <f>IF(AND(Çeyreklik!C38&lt;&gt;"",Çeyreklik!D38&lt;&gt;"",Çeyreklik!E38&lt;&gt;"",Çeyreklik!F38&lt;&gt;""),Çeyreklik!C38+Çeyreklik!D38+Çeyreklik!E38+Çeyreklik!F38,"")</f>
        <v>0</v>
      </c>
      <c r="D38" s="2">
        <f>IF(AND(Çeyreklik!D38&lt;&gt;"",Çeyreklik!E38&lt;&gt;"",Çeyreklik!F38&lt;&gt;"",Çeyreklik!G38&lt;&gt;""),Çeyreklik!D38+Çeyreklik!E38+Çeyreklik!F38+Çeyreklik!G38,"")</f>
        <v>0</v>
      </c>
      <c r="E38" s="2">
        <f>IF(AND(Çeyreklik!E38&lt;&gt;"",Çeyreklik!F38&lt;&gt;"",Çeyreklik!G38&lt;&gt;"",Çeyreklik!H38&lt;&gt;""),Çeyreklik!E38+Çeyreklik!F38+Çeyreklik!G38+Çeyreklik!H38,"")</f>
        <v>0</v>
      </c>
      <c r="F38" s="2">
        <f>IF(AND(Çeyreklik!F38&lt;&gt;"",Çeyreklik!G38&lt;&gt;"",Çeyreklik!H38&lt;&gt;"",Çeyreklik!I38&lt;&gt;""),Çeyreklik!F38+Çeyreklik!G38+Çeyreklik!H38+Çeyreklik!I38,"")</f>
        <v>0</v>
      </c>
      <c r="G38" s="2">
        <f>IF(AND(Çeyreklik!G38&lt;&gt;"",Çeyreklik!H38&lt;&gt;"",Çeyreklik!I38&lt;&gt;"",Çeyreklik!J38&lt;&gt;""),Çeyreklik!G38+Çeyreklik!H38+Çeyreklik!I38+Çeyreklik!J38,"")</f>
        <v>0</v>
      </c>
      <c r="H38" s="2">
        <f>IF(AND(Çeyreklik!H38&lt;&gt;"",Çeyreklik!I38&lt;&gt;"",Çeyreklik!J38&lt;&gt;"",Çeyreklik!K38&lt;&gt;""),Çeyreklik!H38+Çeyreklik!I38+Çeyreklik!J38+Çeyreklik!K38,"")</f>
        <v>0</v>
      </c>
      <c r="I38" s="2">
        <f>IF(AND(Çeyreklik!I38&lt;&gt;"",Çeyreklik!J38&lt;&gt;"",Çeyreklik!K38&lt;&gt;"",Çeyreklik!L38&lt;&gt;""),Çeyreklik!I38+Çeyreklik!J38+Çeyreklik!K38+Çeyreklik!L38,"")</f>
        <v>0</v>
      </c>
      <c r="J38" s="2">
        <f>IF(AND(Çeyreklik!J38&lt;&gt;"",Çeyreklik!K38&lt;&gt;"",Çeyreklik!L38&lt;&gt;"",Çeyreklik!M38&lt;&gt;""),Çeyreklik!J38+Çeyreklik!K38+Çeyreklik!L38+Çeyreklik!M38,"")</f>
        <v>0</v>
      </c>
      <c r="K38" s="2">
        <f>IF(AND(Çeyreklik!K38&lt;&gt;"",Çeyreklik!L38&lt;&gt;"",Çeyreklik!M38&lt;&gt;"",Çeyreklik!N38&lt;&gt;""),Çeyreklik!K38+Çeyreklik!L38+Çeyreklik!M38+Çeyreklik!N38,"")</f>
        <v>0</v>
      </c>
      <c r="L38" s="2">
        <f>IF(AND(Çeyreklik!L38&lt;&gt;"",Çeyreklik!M38&lt;&gt;"",Çeyreklik!N38&lt;&gt;"",Çeyreklik!O38&lt;&gt;""),Çeyreklik!L38+Çeyreklik!M38+Çeyreklik!N38+Çeyreklik!O38,"")</f>
        <v>0</v>
      </c>
      <c r="M38" s="2">
        <f>IF(AND(Çeyreklik!M38&lt;&gt;"",Çeyreklik!N38&lt;&gt;"",Çeyreklik!O38&lt;&gt;"",Çeyreklik!P38&lt;&gt;""),Çeyreklik!M38+Çeyreklik!N38+Çeyreklik!O38+Çeyreklik!P38,"")</f>
        <v>0</v>
      </c>
      <c r="N38" s="2">
        <f>IF(AND(Çeyreklik!N38&lt;&gt;"",Çeyreklik!O38&lt;&gt;"",Çeyreklik!P38&lt;&gt;"",Çeyreklik!Q38&lt;&gt;""),Çeyreklik!N38+Çeyreklik!O38+Çeyreklik!P38+Çeyreklik!Q38,"")</f>
        <v>0</v>
      </c>
      <c r="O38" s="2">
        <f>IF(AND(Çeyreklik!O38&lt;&gt;"",Çeyreklik!P38&lt;&gt;"",Çeyreklik!Q38&lt;&gt;"",Çeyreklik!R38&lt;&gt;""),Çeyreklik!O38+Çeyreklik!P38+Çeyreklik!Q38+Çeyreklik!R38,"")</f>
        <v>0</v>
      </c>
      <c r="P38" s="2">
        <f>IF(AND(Çeyreklik!P38&lt;&gt;"",Çeyreklik!Q38&lt;&gt;"",Çeyreklik!R38&lt;&gt;"",Çeyreklik!S38&lt;&gt;""),Çeyreklik!P38+Çeyreklik!Q38+Çeyreklik!R38+Çeyreklik!S38,"")</f>
        <v>0</v>
      </c>
      <c r="Q38" s="2">
        <f>IF(AND(Çeyreklik!Q38&lt;&gt;"",Çeyreklik!R38&lt;&gt;"",Çeyreklik!S38&lt;&gt;"",Çeyreklik!T38&lt;&gt;""),Çeyreklik!Q38+Çeyreklik!R38+Çeyreklik!S38+Çeyreklik!T38,"")</f>
        <v>0</v>
      </c>
      <c r="R38" s="2">
        <f>IF(AND(Çeyreklik!R38&lt;&gt;"",Çeyreklik!S38&lt;&gt;"",Çeyreklik!T38&lt;&gt;"",Çeyreklik!U38&lt;&gt;""),Çeyreklik!R38+Çeyreklik!S38+Çeyreklik!T38+Çeyreklik!U38,"")</f>
        <v>0</v>
      </c>
      <c r="S38" s="2">
        <f>IF(AND(Çeyreklik!S38&lt;&gt;"",Çeyreklik!T38&lt;&gt;"",Çeyreklik!U38&lt;&gt;"",Çeyreklik!V38&lt;&gt;""),Çeyreklik!S38+Çeyreklik!T38+Çeyreklik!U38+Çeyreklik!V38,"")</f>
        <v>0</v>
      </c>
      <c r="T38" s="2">
        <f>IF(AND(Çeyreklik!T38&lt;&gt;"",Çeyreklik!U38&lt;&gt;"",Çeyreklik!V38&lt;&gt;"",Çeyreklik!W38&lt;&gt;""),Çeyreklik!T38+Çeyreklik!U38+Çeyreklik!V38+Çeyreklik!W38,"")</f>
        <v>0</v>
      </c>
    </row>
    <row r="39" spans="1:20" x14ac:dyDescent="0.25">
      <c r="A39" t="str">
        <f>Çeyreklik!A39</f>
        <v>Azınlık Payları</v>
      </c>
      <c r="B39" s="2">
        <f>IF(AND(Çeyreklik!B39&lt;&gt;"",Çeyreklik!C39&lt;&gt;"",Çeyreklik!D39&lt;&gt;"",Çeyreklik!E39&lt;&gt;""),Çeyreklik!B39+Çeyreklik!C39+Çeyreklik!D39+Çeyreklik!E39,"")</f>
        <v>194851000</v>
      </c>
      <c r="C39" s="2">
        <f>IF(AND(Çeyreklik!C39&lt;&gt;"",Çeyreklik!D39&lt;&gt;"",Çeyreklik!E39&lt;&gt;"",Çeyreklik!F39&lt;&gt;""),Çeyreklik!C39+Çeyreklik!D39+Çeyreklik!E39+Çeyreklik!F39,"")</f>
        <v>185833000</v>
      </c>
      <c r="D39" s="2">
        <f>IF(AND(Çeyreklik!D39&lt;&gt;"",Çeyreklik!E39&lt;&gt;"",Çeyreklik!F39&lt;&gt;"",Çeyreklik!G39&lt;&gt;""),Çeyreklik!D39+Çeyreklik!E39+Çeyreklik!F39+Çeyreklik!G39,"")</f>
        <v>166322000</v>
      </c>
      <c r="E39" s="2">
        <f>IF(AND(Çeyreklik!E39&lt;&gt;"",Çeyreklik!F39&lt;&gt;"",Çeyreklik!G39&lt;&gt;"",Çeyreklik!H39&lt;&gt;""),Çeyreklik!E39+Çeyreklik!F39+Çeyreklik!G39+Çeyreklik!H39,"")</f>
        <v>301913000</v>
      </c>
      <c r="F39" s="2">
        <f>IF(AND(Çeyreklik!F39&lt;&gt;"",Çeyreklik!G39&lt;&gt;"",Çeyreklik!H39&lt;&gt;"",Çeyreklik!I39&lt;&gt;""),Çeyreklik!F39+Çeyreklik!G39+Çeyreklik!H39+Çeyreklik!I39,"")</f>
        <v>379733000</v>
      </c>
      <c r="G39" s="2">
        <f>IF(AND(Çeyreklik!G39&lt;&gt;"",Çeyreklik!H39&lt;&gt;"",Çeyreklik!I39&lt;&gt;"",Çeyreklik!J39&lt;&gt;""),Çeyreklik!G39+Çeyreklik!H39+Çeyreklik!I39+Çeyreklik!J39,"")</f>
        <v>447720000</v>
      </c>
      <c r="H39" s="2">
        <f>IF(AND(Çeyreklik!H39&lt;&gt;"",Çeyreklik!I39&lt;&gt;"",Çeyreklik!J39&lt;&gt;"",Çeyreklik!K39&lt;&gt;""),Çeyreklik!H39+Çeyreklik!I39+Çeyreklik!J39+Çeyreklik!K39,"")</f>
        <v>533949000</v>
      </c>
      <c r="I39" s="2">
        <f>IF(AND(Çeyreklik!I39&lt;&gt;"",Çeyreklik!J39&lt;&gt;"",Çeyreklik!K39&lt;&gt;"",Çeyreklik!L39&lt;&gt;""),Çeyreklik!I39+Çeyreklik!J39+Çeyreklik!K39+Çeyreklik!L39,"")</f>
        <v>444713000</v>
      </c>
      <c r="J39" s="2">
        <f>IF(AND(Çeyreklik!J39&lt;&gt;"",Çeyreklik!K39&lt;&gt;"",Çeyreklik!L39&lt;&gt;"",Çeyreklik!M39&lt;&gt;""),Çeyreklik!J39+Çeyreklik!K39+Çeyreklik!L39+Çeyreklik!M39,"")</f>
        <v>591644000</v>
      </c>
      <c r="K39" s="2">
        <f>IF(AND(Çeyreklik!K39&lt;&gt;"",Çeyreklik!L39&lt;&gt;"",Çeyreklik!M39&lt;&gt;"",Çeyreklik!N39&lt;&gt;""),Çeyreklik!K39+Çeyreklik!L39+Çeyreklik!M39+Çeyreklik!N39,"")</f>
        <v>954721000</v>
      </c>
      <c r="L39" s="2">
        <f>IF(AND(Çeyreklik!L39&lt;&gt;"",Çeyreklik!M39&lt;&gt;"",Çeyreklik!N39&lt;&gt;"",Çeyreklik!O39&lt;&gt;""),Çeyreklik!L39+Çeyreklik!M39+Çeyreklik!N39+Çeyreklik!O39,"")</f>
        <v>1174746000</v>
      </c>
      <c r="M39" s="2">
        <f>IF(AND(Çeyreklik!M39&lt;&gt;"",Çeyreklik!N39&lt;&gt;"",Çeyreklik!O39&lt;&gt;"",Çeyreklik!P39&lt;&gt;""),Çeyreklik!M39+Çeyreklik!N39+Çeyreklik!O39+Çeyreklik!P39,"")</f>
        <v>1218392000</v>
      </c>
      <c r="N39" s="2">
        <f>IF(AND(Çeyreklik!N39&lt;&gt;"",Çeyreklik!O39&lt;&gt;"",Çeyreklik!P39&lt;&gt;"",Çeyreklik!Q39&lt;&gt;""),Çeyreklik!N39+Çeyreklik!O39+Çeyreklik!P39+Çeyreklik!Q39,"")</f>
        <v>1365149000</v>
      </c>
      <c r="O39" s="2">
        <f>IF(AND(Çeyreklik!O39&lt;&gt;"",Çeyreklik!P39&lt;&gt;"",Çeyreklik!Q39&lt;&gt;"",Çeyreklik!R39&lt;&gt;""),Çeyreklik!O39+Çeyreklik!P39+Çeyreklik!Q39+Çeyreklik!R39,"")</f>
        <v>1034207000</v>
      </c>
      <c r="P39" s="2">
        <f>IF(AND(Çeyreklik!P39&lt;&gt;"",Çeyreklik!Q39&lt;&gt;"",Çeyreklik!R39&lt;&gt;"",Çeyreklik!S39&lt;&gt;""),Çeyreklik!P39+Çeyreklik!Q39+Çeyreklik!R39+Çeyreklik!S39,"")</f>
        <v>790499000</v>
      </c>
      <c r="Q39" s="2">
        <f>IF(AND(Çeyreklik!Q39&lt;&gt;"",Çeyreklik!R39&lt;&gt;"",Çeyreklik!S39&lt;&gt;"",Çeyreklik!T39&lt;&gt;""),Çeyreklik!Q39+Çeyreklik!R39+Çeyreklik!S39+Çeyreklik!T39,"")</f>
        <v>772129491</v>
      </c>
      <c r="R39" s="2">
        <f>IF(AND(Çeyreklik!R39&lt;&gt;"",Çeyreklik!S39&lt;&gt;"",Çeyreklik!T39&lt;&gt;"",Çeyreklik!U39&lt;&gt;""),Çeyreklik!R39+Çeyreklik!S39+Çeyreklik!T39+Çeyreklik!U39,"")</f>
        <v>504469491</v>
      </c>
      <c r="S39" s="2">
        <f>IF(AND(Çeyreklik!S39&lt;&gt;"",Çeyreklik!T39&lt;&gt;"",Çeyreklik!U39&lt;&gt;"",Çeyreklik!V39&lt;&gt;""),Çeyreklik!S39+Çeyreklik!T39+Çeyreklik!U39+Çeyreklik!V39,"")</f>
        <v>422882491</v>
      </c>
      <c r="T39" s="2">
        <f>IF(AND(Çeyreklik!T39&lt;&gt;"",Çeyreklik!U39&lt;&gt;"",Çeyreklik!V39&lt;&gt;"",Çeyreklik!W39&lt;&gt;""),Çeyreklik!T39+Çeyreklik!U39+Çeyreklik!V39+Çeyreklik!W39,"")</f>
        <v>380880491</v>
      </c>
    </row>
    <row r="40" spans="1:20" x14ac:dyDescent="0.25">
      <c r="A40" t="str">
        <f>Çeyreklik!A40</f>
        <v>Ana Ortaklık Payları</v>
      </c>
      <c r="B40" s="2">
        <f>IF(AND(Çeyreklik!B40&lt;&gt;"",Çeyreklik!C40&lt;&gt;"",Çeyreklik!D40&lt;&gt;"",Çeyreklik!E40&lt;&gt;""),Çeyreklik!B40+Çeyreklik!C40+Çeyreklik!D40+Çeyreklik!E40,"")</f>
        <v>1610833000</v>
      </c>
      <c r="C40" s="2">
        <f>IF(AND(Çeyreklik!C40&lt;&gt;"",Çeyreklik!D40&lt;&gt;"",Çeyreklik!E40&lt;&gt;"",Çeyreklik!F40&lt;&gt;""),Çeyreklik!C40+Çeyreklik!D40+Çeyreklik!E40+Çeyreklik!F40,"")</f>
        <v>1327440000</v>
      </c>
      <c r="D40" s="2">
        <f>IF(AND(Çeyreklik!D40&lt;&gt;"",Çeyreklik!E40&lt;&gt;"",Çeyreklik!F40&lt;&gt;"",Çeyreklik!G40&lt;&gt;""),Çeyreklik!D40+Çeyreklik!E40+Çeyreklik!F40+Çeyreklik!G40,"")</f>
        <v>1054515000</v>
      </c>
      <c r="E40" s="2">
        <f>IF(AND(Çeyreklik!E40&lt;&gt;"",Çeyreklik!F40&lt;&gt;"",Çeyreklik!G40&lt;&gt;"",Çeyreklik!H40&lt;&gt;""),Çeyreklik!E40+Çeyreklik!F40+Çeyreklik!G40+Çeyreklik!H40,"")</f>
        <v>-464332000</v>
      </c>
      <c r="F40" s="2">
        <f>IF(AND(Çeyreklik!F40&lt;&gt;"",Çeyreklik!G40&lt;&gt;"",Çeyreklik!H40&lt;&gt;"",Çeyreklik!I40&lt;&gt;""),Çeyreklik!F40+Çeyreklik!G40+Çeyreklik!H40+Çeyreklik!I40,"")</f>
        <v>-1366184000</v>
      </c>
      <c r="G40" s="2">
        <f>IF(AND(Çeyreklik!G40&lt;&gt;"",Çeyreklik!H40&lt;&gt;"",Çeyreklik!I40&lt;&gt;"",Çeyreklik!J40&lt;&gt;""),Çeyreklik!G40+Çeyreklik!H40+Çeyreklik!I40+Çeyreklik!J40,"")</f>
        <v>-2235869000</v>
      </c>
      <c r="H40" s="2">
        <f>IF(AND(Çeyreklik!H40&lt;&gt;"",Çeyreklik!I40&lt;&gt;"",Çeyreklik!J40&lt;&gt;"",Çeyreklik!K40&lt;&gt;""),Çeyreklik!H40+Çeyreklik!I40+Çeyreklik!J40+Çeyreklik!K40,"")</f>
        <v>-2455404000</v>
      </c>
      <c r="I40" s="2">
        <f>IF(AND(Çeyreklik!I40&lt;&gt;"",Çeyreklik!J40&lt;&gt;"",Çeyreklik!K40&lt;&gt;"",Çeyreklik!L40&lt;&gt;""),Çeyreklik!I40+Çeyreklik!J40+Çeyreklik!K40+Çeyreklik!L40,"")</f>
        <v>984793000</v>
      </c>
      <c r="J40" s="2">
        <f>IF(AND(Çeyreklik!J40&lt;&gt;"",Çeyreklik!K40&lt;&gt;"",Çeyreklik!L40&lt;&gt;"",Çeyreklik!M40&lt;&gt;""),Çeyreklik!J40+Çeyreklik!K40+Çeyreklik!L40+Çeyreklik!M40,"")</f>
        <v>3868431000</v>
      </c>
      <c r="K40" s="2">
        <f>IF(AND(Çeyreklik!K40&lt;&gt;"",Çeyreklik!L40&lt;&gt;"",Çeyreklik!M40&lt;&gt;"",Çeyreklik!N40&lt;&gt;""),Çeyreklik!K40+Çeyreklik!L40+Çeyreklik!M40+Çeyreklik!N40,"")</f>
        <v>2040473000</v>
      </c>
      <c r="L40" s="2">
        <f>IF(AND(Çeyreklik!L40&lt;&gt;"",Çeyreklik!M40&lt;&gt;"",Çeyreklik!N40&lt;&gt;"",Çeyreklik!O40&lt;&gt;""),Çeyreklik!L40+Çeyreklik!M40+Çeyreklik!N40+Çeyreklik!O40,"")</f>
        <v>5309954000</v>
      </c>
      <c r="M40" s="2">
        <f>IF(AND(Çeyreklik!M40&lt;&gt;"",Çeyreklik!N40&lt;&gt;"",Çeyreklik!O40&lt;&gt;"",Çeyreklik!P40&lt;&gt;""),Çeyreklik!M40+Çeyreklik!N40+Çeyreklik!O40+Çeyreklik!P40,"")</f>
        <v>4878383000</v>
      </c>
      <c r="N40" s="2">
        <f>IF(AND(Çeyreklik!N40&lt;&gt;"",Çeyreklik!O40&lt;&gt;"",Çeyreklik!P40&lt;&gt;"",Çeyreklik!Q40&lt;&gt;""),Çeyreklik!N40+Çeyreklik!O40+Çeyreklik!P40+Çeyreklik!Q40,"")</f>
        <v>5458584000</v>
      </c>
      <c r="O40" s="2">
        <f>IF(AND(Çeyreklik!O40&lt;&gt;"",Çeyreklik!P40&lt;&gt;"",Çeyreklik!Q40&lt;&gt;"",Çeyreklik!R40&lt;&gt;""),Çeyreklik!O40+Çeyreklik!P40+Çeyreklik!Q40+Çeyreklik!R40,"")</f>
        <v>9817051000</v>
      </c>
      <c r="P40" s="2">
        <f>IF(AND(Çeyreklik!P40&lt;&gt;"",Çeyreklik!Q40&lt;&gt;"",Çeyreklik!R40&lt;&gt;"",Çeyreklik!S40&lt;&gt;""),Çeyreklik!P40+Çeyreklik!Q40+Çeyreklik!R40+Çeyreklik!S40,"")</f>
        <v>7757610000</v>
      </c>
      <c r="Q40" s="2">
        <f>IF(AND(Çeyreklik!Q40&lt;&gt;"",Çeyreklik!R40&lt;&gt;"",Çeyreklik!S40&lt;&gt;"",Çeyreklik!T40&lt;&gt;""),Çeyreklik!Q40+Çeyreklik!R40+Çeyreklik!S40+Çeyreklik!T40,"")</f>
        <v>9282439224</v>
      </c>
      <c r="R40" s="2">
        <f>IF(AND(Çeyreklik!R40&lt;&gt;"",Çeyreklik!S40&lt;&gt;"",Çeyreklik!T40&lt;&gt;"",Çeyreklik!U40&lt;&gt;""),Çeyreklik!R40+Çeyreklik!S40+Çeyreklik!T40+Çeyreklik!U40,"")</f>
        <v>8702673224</v>
      </c>
      <c r="S40" s="2">
        <f>IF(AND(Çeyreklik!S40&lt;&gt;"",Çeyreklik!T40&lt;&gt;"",Çeyreklik!U40&lt;&gt;"",Çeyreklik!V40&lt;&gt;""),Çeyreklik!S40+Çeyreklik!T40+Çeyreklik!U40+Çeyreklik!V40,"")</f>
        <v>7687344224</v>
      </c>
      <c r="T40" s="2">
        <f>IF(AND(Çeyreklik!T40&lt;&gt;"",Çeyreklik!U40&lt;&gt;"",Çeyreklik!V40&lt;&gt;"",Çeyreklik!W40&lt;&gt;""),Çeyreklik!T40+Çeyreklik!U40+Çeyreklik!V40+Çeyreklik!W40,"")</f>
        <v>8007985224</v>
      </c>
    </row>
    <row r="41" spans="1:20" x14ac:dyDescent="0.25">
      <c r="A41" t="str">
        <f>Çeyreklik!A41</f>
        <v>Hisse Başına Kazanç</v>
      </c>
      <c r="B41" s="2">
        <f>IF(AND(Çeyreklik!B41&lt;&gt;"",Çeyreklik!C41&lt;&gt;"",Çeyreklik!D41&lt;&gt;"",Çeyreklik!E41&lt;&gt;""),Çeyreklik!B41+Çeyreklik!C41+Çeyreklik!D41+Çeyreklik!E41,"")</f>
        <v>4</v>
      </c>
      <c r="C41" s="2">
        <f>IF(AND(Çeyreklik!C41&lt;&gt;"",Çeyreklik!D41&lt;&gt;"",Çeyreklik!E41&lt;&gt;"",Çeyreklik!F41&lt;&gt;""),Çeyreklik!C41+Çeyreklik!D41+Çeyreklik!E41+Çeyreklik!F41,"")</f>
        <v>4</v>
      </c>
      <c r="D41" s="2">
        <f>IF(AND(Çeyreklik!D41&lt;&gt;"",Çeyreklik!E41&lt;&gt;"",Çeyreklik!F41&lt;&gt;"",Çeyreklik!G41&lt;&gt;""),Çeyreklik!D41+Çeyreklik!E41+Çeyreklik!F41+Çeyreklik!G41,"")</f>
        <v>3</v>
      </c>
      <c r="E41" s="2">
        <f>IF(AND(Çeyreklik!E41&lt;&gt;"",Çeyreklik!F41&lt;&gt;"",Çeyreklik!G41&lt;&gt;"",Çeyreklik!H41&lt;&gt;""),Çeyreklik!E41+Çeyreklik!F41+Çeyreklik!G41+Çeyreklik!H41,"")</f>
        <v>-1</v>
      </c>
      <c r="F41" s="2">
        <f>IF(AND(Çeyreklik!F41&lt;&gt;"",Çeyreklik!G41&lt;&gt;"",Çeyreklik!H41&lt;&gt;"",Çeyreklik!I41&lt;&gt;""),Çeyreklik!F41+Çeyreklik!G41+Çeyreklik!H41+Çeyreklik!I41,"")</f>
        <v>-3</v>
      </c>
      <c r="G41" s="2">
        <f>IF(AND(Çeyreklik!G41&lt;&gt;"",Çeyreklik!H41&lt;&gt;"",Çeyreklik!I41&lt;&gt;"",Çeyreklik!J41&lt;&gt;""),Çeyreklik!G41+Çeyreklik!H41+Çeyreklik!I41+Çeyreklik!J41,"")</f>
        <v>-6</v>
      </c>
      <c r="H41" s="2">
        <f>IF(AND(Çeyreklik!H41&lt;&gt;"",Çeyreklik!I41&lt;&gt;"",Çeyreklik!J41&lt;&gt;"",Çeyreklik!K41&lt;&gt;""),Çeyreklik!H41+Çeyreklik!I41+Çeyreklik!J41+Çeyreklik!K41,"")</f>
        <v>-7</v>
      </c>
      <c r="I41" s="2">
        <f>IF(AND(Çeyreklik!I41&lt;&gt;"",Çeyreklik!J41&lt;&gt;"",Çeyreklik!K41&lt;&gt;"",Çeyreklik!L41&lt;&gt;""),Çeyreklik!I41+Çeyreklik!J41+Çeyreklik!K41+Çeyreklik!L41,"")</f>
        <v>3</v>
      </c>
      <c r="J41" s="2">
        <f>IF(AND(Çeyreklik!J41&lt;&gt;"",Çeyreklik!K41&lt;&gt;"",Çeyreklik!L41&lt;&gt;"",Çeyreklik!M41&lt;&gt;""),Çeyreklik!J41+Çeyreklik!K41+Çeyreklik!L41+Çeyreklik!M41,"")</f>
        <v>11</v>
      </c>
      <c r="K41" s="2">
        <f>IF(AND(Çeyreklik!K41&lt;&gt;"",Çeyreklik!L41&lt;&gt;"",Çeyreklik!M41&lt;&gt;"",Çeyreklik!N41&lt;&gt;""),Çeyreklik!K41+Çeyreklik!L41+Çeyreklik!M41+Çeyreklik!N41,"")</f>
        <v>6</v>
      </c>
      <c r="L41" s="2">
        <f>IF(AND(Çeyreklik!L41&lt;&gt;"",Çeyreklik!M41&lt;&gt;"",Çeyreklik!N41&lt;&gt;"",Çeyreklik!O41&lt;&gt;""),Çeyreklik!L41+Çeyreklik!M41+Çeyreklik!N41+Çeyreklik!O41,"")</f>
        <v>15</v>
      </c>
      <c r="M41" s="2">
        <f>IF(AND(Çeyreklik!M41&lt;&gt;"",Çeyreklik!N41&lt;&gt;"",Çeyreklik!O41&lt;&gt;"",Çeyreklik!P41&lt;&gt;""),Çeyreklik!M41+Çeyreklik!N41+Çeyreklik!O41+Çeyreklik!P41,"")</f>
        <v>13</v>
      </c>
      <c r="N41" s="2">
        <f>IF(AND(Çeyreklik!N41&lt;&gt;"",Çeyreklik!O41&lt;&gt;"",Çeyreklik!P41&lt;&gt;"",Çeyreklik!Q41&lt;&gt;""),Çeyreklik!N41+Çeyreklik!O41+Çeyreklik!P41+Çeyreklik!Q41,"")</f>
        <v>14</v>
      </c>
      <c r="O41" s="2">
        <f>IF(AND(Çeyreklik!O41&lt;&gt;"",Çeyreklik!P41&lt;&gt;"",Çeyreklik!Q41&lt;&gt;"",Çeyreklik!R41&lt;&gt;""),Çeyreklik!O41+Çeyreklik!P41+Çeyreklik!Q41+Çeyreklik!R41,"")</f>
        <v>26</v>
      </c>
      <c r="P41" s="2">
        <f>IF(AND(Çeyreklik!P41&lt;&gt;"",Çeyreklik!Q41&lt;&gt;"",Çeyreklik!R41&lt;&gt;"",Çeyreklik!S41&lt;&gt;""),Çeyreklik!P41+Çeyreklik!Q41+Çeyreklik!R41+Çeyreklik!S41,"")</f>
        <v>21</v>
      </c>
      <c r="Q41" s="2">
        <f>IF(AND(Çeyreklik!Q41&lt;&gt;"",Çeyreklik!R41&lt;&gt;"",Çeyreklik!S41&lt;&gt;"",Çeyreklik!T41&lt;&gt;""),Çeyreklik!Q41+Çeyreklik!R41+Çeyreklik!S41+Çeyreklik!T41,"")</f>
        <v>25</v>
      </c>
      <c r="R41" s="2">
        <f>IF(AND(Çeyreklik!R41&lt;&gt;"",Çeyreklik!S41&lt;&gt;"",Çeyreklik!T41&lt;&gt;"",Çeyreklik!U41&lt;&gt;""),Çeyreklik!R41+Çeyreklik!S41+Çeyreklik!T41+Çeyreklik!U41,"")</f>
        <v>24</v>
      </c>
      <c r="S41" s="2">
        <f>IF(AND(Çeyreklik!S41&lt;&gt;"",Çeyreklik!T41&lt;&gt;"",Çeyreklik!U41&lt;&gt;"",Çeyreklik!V41&lt;&gt;""),Çeyreklik!S41+Çeyreklik!T41+Çeyreklik!U41+Çeyreklik!V41,"")</f>
        <v>21</v>
      </c>
      <c r="T41" s="2">
        <f>IF(AND(Çeyreklik!T41&lt;&gt;"",Çeyreklik!U41&lt;&gt;"",Çeyreklik!V41&lt;&gt;"",Çeyreklik!W41&lt;&gt;""),Çeyreklik!T41+Çeyreklik!U41+Çeyreklik!V41+Çeyreklik!W41,"")</f>
        <v>21</v>
      </c>
    </row>
    <row r="42" spans="1:20" x14ac:dyDescent="0.25">
      <c r="A42" t="str">
        <f>Çeyreklik!A42</f>
        <v>Seyreltilmiş Hisse Başına Kazanç</v>
      </c>
      <c r="B42" s="2">
        <f>IF(AND(Çeyreklik!B42&lt;&gt;"",Çeyreklik!C42&lt;&gt;"",Çeyreklik!D42&lt;&gt;"",Çeyreklik!E42&lt;&gt;""),Çeyreklik!B42+Çeyreklik!C42+Çeyreklik!D42+Çeyreklik!E42,"")</f>
        <v>0</v>
      </c>
      <c r="C42" s="2">
        <f>IF(AND(Çeyreklik!C42&lt;&gt;"",Çeyreklik!D42&lt;&gt;"",Çeyreklik!E42&lt;&gt;"",Çeyreklik!F42&lt;&gt;""),Çeyreklik!C42+Çeyreklik!D42+Çeyreklik!E42+Çeyreklik!F42,"")</f>
        <v>0</v>
      </c>
      <c r="D42" s="2">
        <f>IF(AND(Çeyreklik!D42&lt;&gt;"",Çeyreklik!E42&lt;&gt;"",Çeyreklik!F42&lt;&gt;"",Çeyreklik!G42&lt;&gt;""),Çeyreklik!D42+Çeyreklik!E42+Çeyreklik!F42+Çeyreklik!G42,"")</f>
        <v>0</v>
      </c>
      <c r="E42" s="2">
        <f>IF(AND(Çeyreklik!E42&lt;&gt;"",Çeyreklik!F42&lt;&gt;"",Çeyreklik!G42&lt;&gt;"",Çeyreklik!H42&lt;&gt;""),Çeyreklik!E42+Çeyreklik!F42+Çeyreklik!G42+Çeyreklik!H42,"")</f>
        <v>0</v>
      </c>
      <c r="F42" s="2">
        <f>IF(AND(Çeyreklik!F42&lt;&gt;"",Çeyreklik!G42&lt;&gt;"",Çeyreklik!H42&lt;&gt;"",Çeyreklik!I42&lt;&gt;""),Çeyreklik!F42+Çeyreklik!G42+Çeyreklik!H42+Çeyreklik!I42,"")</f>
        <v>0</v>
      </c>
      <c r="G42" s="2">
        <f>IF(AND(Çeyreklik!G42&lt;&gt;"",Çeyreklik!H42&lt;&gt;"",Çeyreklik!I42&lt;&gt;"",Çeyreklik!J42&lt;&gt;""),Çeyreklik!G42+Çeyreklik!H42+Çeyreklik!I42+Çeyreklik!J42,"")</f>
        <v>0</v>
      </c>
      <c r="H42" s="2">
        <f>IF(AND(Çeyreklik!H42&lt;&gt;"",Çeyreklik!I42&lt;&gt;"",Çeyreklik!J42&lt;&gt;"",Çeyreklik!K42&lt;&gt;""),Çeyreklik!H42+Çeyreklik!I42+Çeyreklik!J42+Çeyreklik!K42,"")</f>
        <v>0</v>
      </c>
      <c r="I42" s="2">
        <f>IF(AND(Çeyreklik!I42&lt;&gt;"",Çeyreklik!J42&lt;&gt;"",Çeyreklik!K42&lt;&gt;"",Çeyreklik!L42&lt;&gt;""),Çeyreklik!I42+Çeyreklik!J42+Çeyreklik!K42+Çeyreklik!L42,"")</f>
        <v>0</v>
      </c>
      <c r="J42" s="2">
        <f>IF(AND(Çeyreklik!J42&lt;&gt;"",Çeyreklik!K42&lt;&gt;"",Çeyreklik!L42&lt;&gt;"",Çeyreklik!M42&lt;&gt;""),Çeyreklik!J42+Çeyreklik!K42+Çeyreklik!L42+Çeyreklik!M42,"")</f>
        <v>0</v>
      </c>
      <c r="K42" s="2">
        <f>IF(AND(Çeyreklik!K42&lt;&gt;"",Çeyreklik!L42&lt;&gt;"",Çeyreklik!M42&lt;&gt;"",Çeyreklik!N42&lt;&gt;""),Çeyreklik!K42+Çeyreklik!L42+Çeyreklik!M42+Çeyreklik!N42,"")</f>
        <v>0</v>
      </c>
      <c r="L42" s="2">
        <f>IF(AND(Çeyreklik!L42&lt;&gt;"",Çeyreklik!M42&lt;&gt;"",Çeyreklik!N42&lt;&gt;"",Çeyreklik!O42&lt;&gt;""),Çeyreklik!L42+Çeyreklik!M42+Çeyreklik!N42+Çeyreklik!O42,"")</f>
        <v>8</v>
      </c>
      <c r="M42" s="2">
        <f>IF(AND(Çeyreklik!M42&lt;&gt;"",Çeyreklik!N42&lt;&gt;"",Çeyreklik!O42&lt;&gt;"",Çeyreklik!P42&lt;&gt;""),Çeyreklik!M42+Çeyreklik!N42+Çeyreklik!O42+Çeyreklik!P42,"")</f>
        <v>13</v>
      </c>
      <c r="N42" s="2">
        <f>IF(AND(Çeyreklik!N42&lt;&gt;"",Çeyreklik!O42&lt;&gt;"",Çeyreklik!P42&lt;&gt;"",Çeyreklik!Q42&lt;&gt;""),Çeyreklik!N42+Çeyreklik!O42+Çeyreklik!P42+Çeyreklik!Q42,"")</f>
        <v>21</v>
      </c>
      <c r="O42" s="2">
        <f>IF(AND(Çeyreklik!O42&lt;&gt;"",Çeyreklik!P42&lt;&gt;"",Çeyreklik!Q42&lt;&gt;"",Çeyreklik!R42&lt;&gt;""),Çeyreklik!O42+Çeyreklik!P42+Çeyreklik!Q42+Çeyreklik!R42,"")</f>
        <v>26</v>
      </c>
      <c r="P42" s="2">
        <f>IF(AND(Çeyreklik!P42&lt;&gt;"",Çeyreklik!Q42&lt;&gt;"",Çeyreklik!R42&lt;&gt;"",Çeyreklik!S42&lt;&gt;""),Çeyreklik!P42+Çeyreklik!Q42+Çeyreklik!R42+Çeyreklik!S42,"")</f>
        <v>21</v>
      </c>
      <c r="Q42" s="2">
        <f>IF(AND(Çeyreklik!Q42&lt;&gt;"",Çeyreklik!R42&lt;&gt;"",Çeyreklik!S42&lt;&gt;"",Çeyreklik!T42&lt;&gt;""),Çeyreklik!Q42+Çeyreklik!R42+Çeyreklik!S42+Çeyreklik!T42,"")</f>
        <v>25</v>
      </c>
      <c r="R42" s="2">
        <f>IF(AND(Çeyreklik!R42&lt;&gt;"",Çeyreklik!S42&lt;&gt;"",Çeyreklik!T42&lt;&gt;"",Çeyreklik!U42&lt;&gt;""),Çeyreklik!R42+Çeyreklik!S42+Çeyreklik!T42+Çeyreklik!U42,"")</f>
        <v>24</v>
      </c>
      <c r="S42" s="2">
        <f>IF(AND(Çeyreklik!S42&lt;&gt;"",Çeyreklik!T42&lt;&gt;"",Çeyreklik!U42&lt;&gt;"",Çeyreklik!V42&lt;&gt;""),Çeyreklik!S42+Çeyreklik!T42+Çeyreklik!U42+Çeyreklik!V42,"")</f>
        <v>21</v>
      </c>
      <c r="T42" s="2">
        <f>IF(AND(Çeyreklik!T42&lt;&gt;"",Çeyreklik!U42&lt;&gt;"",Çeyreklik!V42&lt;&gt;"",Çeyreklik!W42&lt;&gt;""),Çeyreklik!T42+Çeyreklik!U42+Çeyreklik!V42+Çeyreklik!W42,"")</f>
        <v>21</v>
      </c>
    </row>
    <row r="43" spans="1:20" x14ac:dyDescent="0.25">
      <c r="A43" t="str">
        <f>Çeyreklik!A43</f>
        <v>Sürdürülen Faaliyetlerden Hisse Başına Kazanç</v>
      </c>
      <c r="B43" s="2">
        <f>IF(AND(Çeyreklik!B43&lt;&gt;"",Çeyreklik!C43&lt;&gt;"",Çeyreklik!D43&lt;&gt;"",Çeyreklik!E43&lt;&gt;""),Çeyreklik!B43+Çeyreklik!C43+Çeyreklik!D43+Çeyreklik!E43,"")</f>
        <v>0</v>
      </c>
      <c r="C43" s="2">
        <f>IF(AND(Çeyreklik!C43&lt;&gt;"",Çeyreklik!D43&lt;&gt;"",Çeyreklik!E43&lt;&gt;"",Çeyreklik!F43&lt;&gt;""),Çeyreklik!C43+Çeyreklik!D43+Çeyreklik!E43+Çeyreklik!F43,"")</f>
        <v>0</v>
      </c>
      <c r="D43" s="2">
        <f>IF(AND(Çeyreklik!D43&lt;&gt;"",Çeyreklik!E43&lt;&gt;"",Çeyreklik!F43&lt;&gt;"",Çeyreklik!G43&lt;&gt;""),Çeyreklik!D43+Çeyreklik!E43+Çeyreklik!F43+Çeyreklik!G43,"")</f>
        <v>0</v>
      </c>
      <c r="E43" s="2">
        <f>IF(AND(Çeyreklik!E43&lt;&gt;"",Çeyreklik!F43&lt;&gt;"",Çeyreklik!G43&lt;&gt;"",Çeyreklik!H43&lt;&gt;""),Çeyreklik!E43+Çeyreklik!F43+Çeyreklik!G43+Çeyreklik!H43,"")</f>
        <v>0</v>
      </c>
      <c r="F43" s="2">
        <f>IF(AND(Çeyreklik!F43&lt;&gt;"",Çeyreklik!G43&lt;&gt;"",Çeyreklik!H43&lt;&gt;"",Çeyreklik!I43&lt;&gt;""),Çeyreklik!F43+Çeyreklik!G43+Çeyreklik!H43+Çeyreklik!I43,"")</f>
        <v>0</v>
      </c>
      <c r="G43" s="2">
        <f>IF(AND(Çeyreklik!G43&lt;&gt;"",Çeyreklik!H43&lt;&gt;"",Çeyreklik!I43&lt;&gt;"",Çeyreklik!J43&lt;&gt;""),Çeyreklik!G43+Çeyreklik!H43+Çeyreklik!I43+Çeyreklik!J43,"")</f>
        <v>0</v>
      </c>
      <c r="H43" s="2">
        <f>IF(AND(Çeyreklik!H43&lt;&gt;"",Çeyreklik!I43&lt;&gt;"",Çeyreklik!J43&lt;&gt;"",Çeyreklik!K43&lt;&gt;""),Çeyreklik!H43+Çeyreklik!I43+Çeyreklik!J43+Çeyreklik!K43,"")</f>
        <v>0</v>
      </c>
      <c r="I43" s="2">
        <f>IF(AND(Çeyreklik!I43&lt;&gt;"",Çeyreklik!J43&lt;&gt;"",Çeyreklik!K43&lt;&gt;"",Çeyreklik!L43&lt;&gt;""),Çeyreklik!I43+Çeyreklik!J43+Çeyreklik!K43+Çeyreklik!L43,"")</f>
        <v>0</v>
      </c>
      <c r="J43" s="2">
        <f>IF(AND(Çeyreklik!J43&lt;&gt;"",Çeyreklik!K43&lt;&gt;"",Çeyreklik!L43&lt;&gt;"",Çeyreklik!M43&lt;&gt;""),Çeyreklik!J43+Çeyreklik!K43+Çeyreklik!L43+Çeyreklik!M43,"")</f>
        <v>0</v>
      </c>
      <c r="K43" s="2">
        <f>IF(AND(Çeyreklik!K43&lt;&gt;"",Çeyreklik!L43&lt;&gt;"",Çeyreklik!M43&lt;&gt;"",Çeyreklik!N43&lt;&gt;""),Çeyreklik!K43+Çeyreklik!L43+Çeyreklik!M43+Çeyreklik!N43,"")</f>
        <v>0</v>
      </c>
      <c r="L43" s="2">
        <f>IF(AND(Çeyreklik!L43&lt;&gt;"",Çeyreklik!M43&lt;&gt;"",Çeyreklik!N43&lt;&gt;"",Çeyreklik!O43&lt;&gt;""),Çeyreklik!L43+Çeyreklik!M43+Çeyreklik!N43+Çeyreklik!O43,"")</f>
        <v>8</v>
      </c>
      <c r="M43" s="2">
        <f>IF(AND(Çeyreklik!M43&lt;&gt;"",Çeyreklik!N43&lt;&gt;"",Çeyreklik!O43&lt;&gt;"",Çeyreklik!P43&lt;&gt;""),Çeyreklik!M43+Çeyreklik!N43+Çeyreklik!O43+Çeyreklik!P43,"")</f>
        <v>13</v>
      </c>
      <c r="N43" s="2">
        <f>IF(AND(Çeyreklik!N43&lt;&gt;"",Çeyreklik!O43&lt;&gt;"",Çeyreklik!P43&lt;&gt;"",Çeyreklik!Q43&lt;&gt;""),Çeyreklik!N43+Çeyreklik!O43+Çeyreklik!P43+Çeyreklik!Q43,"")</f>
        <v>21</v>
      </c>
      <c r="O43" s="2">
        <f>IF(AND(Çeyreklik!O43&lt;&gt;"",Çeyreklik!P43&lt;&gt;"",Çeyreklik!Q43&lt;&gt;"",Çeyreklik!R43&lt;&gt;""),Çeyreklik!O43+Çeyreklik!P43+Çeyreklik!Q43+Çeyreklik!R43,"")</f>
        <v>26</v>
      </c>
      <c r="P43" s="2">
        <f>IF(AND(Çeyreklik!P43&lt;&gt;"",Çeyreklik!Q43&lt;&gt;"",Çeyreklik!R43&lt;&gt;"",Çeyreklik!S43&lt;&gt;""),Çeyreklik!P43+Çeyreklik!Q43+Çeyreklik!R43+Çeyreklik!S43,"")</f>
        <v>21</v>
      </c>
      <c r="Q43" s="2">
        <f>IF(AND(Çeyreklik!Q43&lt;&gt;"",Çeyreklik!R43&lt;&gt;"",Çeyreklik!S43&lt;&gt;"",Çeyreklik!T43&lt;&gt;""),Çeyreklik!Q43+Çeyreklik!R43+Çeyreklik!S43+Çeyreklik!T43,"")</f>
        <v>25</v>
      </c>
      <c r="R43" s="2">
        <f>IF(AND(Çeyreklik!R43&lt;&gt;"",Çeyreklik!S43&lt;&gt;"",Çeyreklik!T43&lt;&gt;"",Çeyreklik!U43&lt;&gt;""),Çeyreklik!R43+Çeyreklik!S43+Çeyreklik!T43+Çeyreklik!U43,"")</f>
        <v>24</v>
      </c>
      <c r="S43" s="2">
        <f>IF(AND(Çeyreklik!S43&lt;&gt;"",Çeyreklik!T43&lt;&gt;"",Çeyreklik!U43&lt;&gt;"",Çeyreklik!V43&lt;&gt;""),Çeyreklik!S43+Çeyreklik!T43+Çeyreklik!U43+Çeyreklik!V43,"")</f>
        <v>21</v>
      </c>
      <c r="T43" s="2">
        <f>IF(AND(Çeyreklik!T43&lt;&gt;"",Çeyreklik!U43&lt;&gt;"",Çeyreklik!V43&lt;&gt;"",Çeyreklik!W43&lt;&gt;""),Çeyreklik!T43+Çeyreklik!U43+Çeyreklik!V43+Çeyreklik!W43,"")</f>
        <v>21</v>
      </c>
    </row>
    <row r="44" spans="1:20" x14ac:dyDescent="0.25">
      <c r="A44" t="str">
        <f>Çeyreklik!A44</f>
        <v>Sürdürülen Faaliyetlerden Seyreltilmiş Hisse Başına Kazanç</v>
      </c>
      <c r="B44" s="2">
        <f>IF(AND(Çeyreklik!B44&lt;&gt;"",Çeyreklik!C44&lt;&gt;"",Çeyreklik!D44&lt;&gt;"",Çeyreklik!E44&lt;&gt;""),Çeyreklik!B44+Çeyreklik!C44+Çeyreklik!D44+Çeyreklik!E44,"")</f>
        <v>0</v>
      </c>
      <c r="C44" s="2">
        <f>IF(AND(Çeyreklik!C44&lt;&gt;"",Çeyreklik!D44&lt;&gt;"",Çeyreklik!E44&lt;&gt;"",Çeyreklik!F44&lt;&gt;""),Çeyreklik!C44+Çeyreklik!D44+Çeyreklik!E44+Çeyreklik!F44,"")</f>
        <v>0</v>
      </c>
      <c r="D44" s="2">
        <f>IF(AND(Çeyreklik!D44&lt;&gt;"",Çeyreklik!E44&lt;&gt;"",Çeyreklik!F44&lt;&gt;"",Çeyreklik!G44&lt;&gt;""),Çeyreklik!D44+Çeyreklik!E44+Çeyreklik!F44+Çeyreklik!G44,"")</f>
        <v>0</v>
      </c>
      <c r="E44" s="2">
        <f>IF(AND(Çeyreklik!E44&lt;&gt;"",Çeyreklik!F44&lt;&gt;"",Çeyreklik!G44&lt;&gt;"",Çeyreklik!H44&lt;&gt;""),Çeyreklik!E44+Çeyreklik!F44+Çeyreklik!G44+Çeyreklik!H44,"")</f>
        <v>0</v>
      </c>
      <c r="F44" s="2">
        <f>IF(AND(Çeyreklik!F44&lt;&gt;"",Çeyreklik!G44&lt;&gt;"",Çeyreklik!H44&lt;&gt;"",Çeyreklik!I44&lt;&gt;""),Çeyreklik!F44+Çeyreklik!G44+Çeyreklik!H44+Çeyreklik!I44,"")</f>
        <v>0</v>
      </c>
      <c r="G44" s="2">
        <f>IF(AND(Çeyreklik!G44&lt;&gt;"",Çeyreklik!H44&lt;&gt;"",Çeyreklik!I44&lt;&gt;"",Çeyreklik!J44&lt;&gt;""),Çeyreklik!G44+Çeyreklik!H44+Çeyreklik!I44+Çeyreklik!J44,"")</f>
        <v>0</v>
      </c>
      <c r="H44" s="2">
        <f>IF(AND(Çeyreklik!H44&lt;&gt;"",Çeyreklik!I44&lt;&gt;"",Çeyreklik!J44&lt;&gt;"",Çeyreklik!K44&lt;&gt;""),Çeyreklik!H44+Çeyreklik!I44+Çeyreklik!J44+Çeyreklik!K44,"")</f>
        <v>0</v>
      </c>
      <c r="I44" s="2">
        <f>IF(AND(Çeyreklik!I44&lt;&gt;"",Çeyreklik!J44&lt;&gt;"",Çeyreklik!K44&lt;&gt;"",Çeyreklik!L44&lt;&gt;""),Çeyreklik!I44+Çeyreklik!J44+Çeyreklik!K44+Çeyreklik!L44,"")</f>
        <v>0</v>
      </c>
      <c r="J44" s="2">
        <f>IF(AND(Çeyreklik!J44&lt;&gt;"",Çeyreklik!K44&lt;&gt;"",Çeyreklik!L44&lt;&gt;"",Çeyreklik!M44&lt;&gt;""),Çeyreklik!J44+Çeyreklik!K44+Çeyreklik!L44+Çeyreklik!M44,"")</f>
        <v>0</v>
      </c>
      <c r="K44" s="2">
        <f>IF(AND(Çeyreklik!K44&lt;&gt;"",Çeyreklik!L44&lt;&gt;"",Çeyreklik!M44&lt;&gt;"",Çeyreklik!N44&lt;&gt;""),Çeyreklik!K44+Çeyreklik!L44+Çeyreklik!M44+Çeyreklik!N44,"")</f>
        <v>0</v>
      </c>
      <c r="L44" s="2">
        <f>IF(AND(Çeyreklik!L44&lt;&gt;"",Çeyreklik!M44&lt;&gt;"",Çeyreklik!N44&lt;&gt;"",Çeyreklik!O44&lt;&gt;""),Çeyreklik!L44+Çeyreklik!M44+Çeyreklik!N44+Çeyreklik!O44,"")</f>
        <v>8</v>
      </c>
      <c r="M44" s="2">
        <f>IF(AND(Çeyreklik!M44&lt;&gt;"",Çeyreklik!N44&lt;&gt;"",Çeyreklik!O44&lt;&gt;"",Çeyreklik!P44&lt;&gt;""),Çeyreklik!M44+Çeyreklik!N44+Çeyreklik!O44+Çeyreklik!P44,"")</f>
        <v>13</v>
      </c>
      <c r="N44" s="2">
        <f>IF(AND(Çeyreklik!N44&lt;&gt;"",Çeyreklik!O44&lt;&gt;"",Çeyreklik!P44&lt;&gt;"",Çeyreklik!Q44&lt;&gt;""),Çeyreklik!N44+Çeyreklik!O44+Çeyreklik!P44+Çeyreklik!Q44,"")</f>
        <v>21</v>
      </c>
      <c r="O44" s="2">
        <f>IF(AND(Çeyreklik!O44&lt;&gt;"",Çeyreklik!P44&lt;&gt;"",Çeyreklik!Q44&lt;&gt;"",Çeyreklik!R44&lt;&gt;""),Çeyreklik!O44+Çeyreklik!P44+Çeyreklik!Q44+Çeyreklik!R44,"")</f>
        <v>26</v>
      </c>
      <c r="P44" s="2">
        <f>IF(AND(Çeyreklik!P44&lt;&gt;"",Çeyreklik!Q44&lt;&gt;"",Çeyreklik!R44&lt;&gt;"",Çeyreklik!S44&lt;&gt;""),Çeyreklik!P44+Çeyreklik!Q44+Çeyreklik!R44+Çeyreklik!S44,"")</f>
        <v>21</v>
      </c>
      <c r="Q44" s="2">
        <f>IF(AND(Çeyreklik!Q44&lt;&gt;"",Çeyreklik!R44&lt;&gt;"",Çeyreklik!S44&lt;&gt;"",Çeyreklik!T44&lt;&gt;""),Çeyreklik!Q44+Çeyreklik!R44+Çeyreklik!S44+Çeyreklik!T44,"")</f>
        <v>25</v>
      </c>
      <c r="R44" s="2">
        <f>IF(AND(Çeyreklik!R44&lt;&gt;"",Çeyreklik!S44&lt;&gt;"",Çeyreklik!T44&lt;&gt;"",Çeyreklik!U44&lt;&gt;""),Çeyreklik!R44+Çeyreklik!S44+Çeyreklik!T44+Çeyreklik!U44,"")</f>
        <v>24</v>
      </c>
      <c r="S44" s="2">
        <f>IF(AND(Çeyreklik!S44&lt;&gt;"",Çeyreklik!T44&lt;&gt;"",Çeyreklik!U44&lt;&gt;"",Çeyreklik!V44&lt;&gt;""),Çeyreklik!S44+Çeyreklik!T44+Çeyreklik!U44+Çeyreklik!V44,"")</f>
        <v>21</v>
      </c>
      <c r="T44" s="2">
        <f>IF(AND(Çeyreklik!T44&lt;&gt;"",Çeyreklik!U44&lt;&gt;"",Çeyreklik!V44&lt;&gt;"",Çeyreklik!W44&lt;&gt;""),Çeyreklik!T44+Çeyreklik!U44+Çeyreklik!V44+Çeyreklik!W44,"")</f>
        <v>21</v>
      </c>
    </row>
    <row r="45" spans="1:20" x14ac:dyDescent="0.25">
      <c r="A45" t="str">
        <f>Çeyreklik!A45</f>
        <v>Amortisman Giderleri</v>
      </c>
      <c r="B45" s="2">
        <f>IF(AND(Çeyreklik!B45&lt;&gt;"",Çeyreklik!C45&lt;&gt;"",Çeyreklik!D45&lt;&gt;"",Çeyreklik!E45&lt;&gt;""),Çeyreklik!B45+Çeyreklik!C45+Çeyreklik!D45+Çeyreklik!E45,"")</f>
        <v>208251000</v>
      </c>
      <c r="C45" s="2">
        <f>IF(AND(Çeyreklik!C45&lt;&gt;"",Çeyreklik!D45&lt;&gt;"",Çeyreklik!E45&lt;&gt;"",Çeyreklik!F45&lt;&gt;""),Çeyreklik!C45+Çeyreklik!D45+Çeyreklik!E45+Çeyreklik!F45,"")</f>
        <v>218619000</v>
      </c>
      <c r="D45" s="2">
        <f>IF(AND(Çeyreklik!D45&lt;&gt;"",Çeyreklik!E45&lt;&gt;"",Çeyreklik!F45&lt;&gt;"",Çeyreklik!G45&lt;&gt;""),Çeyreklik!D45+Çeyreklik!E45+Çeyreklik!F45+Çeyreklik!G45,"")</f>
        <v>221970000</v>
      </c>
      <c r="E45" s="2">
        <f>IF(AND(Çeyreklik!E45&lt;&gt;"",Çeyreklik!F45&lt;&gt;"",Çeyreklik!G45&lt;&gt;"",Çeyreklik!H45&lt;&gt;""),Çeyreklik!E45+Çeyreklik!F45+Çeyreklik!G45+Çeyreklik!H45,"")</f>
        <v>230009000</v>
      </c>
      <c r="F45" s="2">
        <f>IF(AND(Çeyreklik!F45&lt;&gt;"",Çeyreklik!G45&lt;&gt;"",Çeyreklik!H45&lt;&gt;"",Çeyreklik!I45&lt;&gt;""),Çeyreklik!F45+Çeyreklik!G45+Çeyreklik!H45+Çeyreklik!I45,"")</f>
        <v>255102000</v>
      </c>
      <c r="G45" s="2">
        <f>IF(AND(Çeyreklik!G45&lt;&gt;"",Çeyreklik!H45&lt;&gt;"",Çeyreklik!I45&lt;&gt;"",Çeyreklik!J45&lt;&gt;""),Çeyreklik!G45+Çeyreklik!H45+Çeyreklik!I45+Çeyreklik!J45,"")</f>
        <v>282453000</v>
      </c>
      <c r="H45" s="2">
        <f>IF(AND(Çeyreklik!H45&lt;&gt;"",Çeyreklik!I45&lt;&gt;"",Çeyreklik!J45&lt;&gt;"",Çeyreklik!K45&lt;&gt;""),Çeyreklik!H45+Çeyreklik!I45+Çeyreklik!J45+Çeyreklik!K45,"")</f>
        <v>311929000</v>
      </c>
      <c r="I45" s="2">
        <f>IF(AND(Çeyreklik!I45&lt;&gt;"",Çeyreklik!J45&lt;&gt;"",Çeyreklik!K45&lt;&gt;"",Çeyreklik!L45&lt;&gt;""),Çeyreklik!I45+Çeyreklik!J45+Çeyreklik!K45+Çeyreklik!L45,"")</f>
        <v>1167767000</v>
      </c>
      <c r="J45" s="2">
        <f>IF(AND(Çeyreklik!J45&lt;&gt;"",Çeyreklik!K45&lt;&gt;"",Çeyreklik!L45&lt;&gt;"",Çeyreklik!M45&lt;&gt;""),Çeyreklik!J45+Çeyreklik!K45+Çeyreklik!L45+Çeyreklik!M45,"")</f>
        <v>1450538000</v>
      </c>
      <c r="K45" s="2">
        <f>IF(AND(Çeyreklik!K45&lt;&gt;"",Çeyreklik!L45&lt;&gt;"",Çeyreklik!M45&lt;&gt;"",Çeyreklik!N45&lt;&gt;""),Çeyreklik!K45+Çeyreklik!L45+Çeyreklik!M45+Çeyreklik!N45,"")</f>
        <v>1782729000</v>
      </c>
      <c r="L45" s="2">
        <f>IF(AND(Çeyreklik!L45&lt;&gt;"",Çeyreklik!M45&lt;&gt;"",Çeyreklik!N45&lt;&gt;"",Çeyreklik!O45&lt;&gt;""),Çeyreklik!L45+Çeyreklik!M45+Çeyreklik!N45+Çeyreklik!O45,"")</f>
        <v>2147592000</v>
      </c>
      <c r="M45" s="2">
        <f>IF(AND(Çeyreklik!M45&lt;&gt;"",Çeyreklik!N45&lt;&gt;"",Çeyreklik!O45&lt;&gt;"",Çeyreklik!P45&lt;&gt;""),Çeyreklik!M45+Çeyreklik!N45+Çeyreklik!O45+Çeyreklik!P45,"")</f>
        <v>1709601000</v>
      </c>
      <c r="N45" s="2">
        <f>IF(AND(Çeyreklik!N45&lt;&gt;"",Çeyreklik!O45&lt;&gt;"",Çeyreklik!P45&lt;&gt;"",Çeyreklik!Q45&lt;&gt;""),Çeyreklik!N45+Çeyreklik!O45+Çeyreklik!P45+Çeyreklik!Q45,"")</f>
        <v>1869419000</v>
      </c>
      <c r="O45" s="2">
        <f>IF(AND(Çeyreklik!O45&lt;&gt;"",Çeyreklik!P45&lt;&gt;"",Çeyreklik!Q45&lt;&gt;"",Çeyreklik!R45&lt;&gt;""),Çeyreklik!O45+Çeyreklik!P45+Çeyreklik!Q45+Çeyreklik!R45,"")</f>
        <v>1980175000</v>
      </c>
      <c r="P45" s="2">
        <f>IF(AND(Çeyreklik!P45&lt;&gt;"",Çeyreklik!Q45&lt;&gt;"",Çeyreklik!R45&lt;&gt;"",Çeyreklik!S45&lt;&gt;""),Çeyreklik!P45+Çeyreklik!Q45+Çeyreklik!R45+Çeyreklik!S45,"")</f>
        <v>2111247000</v>
      </c>
      <c r="Q45" s="2">
        <f>IF(AND(Çeyreklik!Q45&lt;&gt;"",Çeyreklik!R45&lt;&gt;"",Çeyreklik!S45&lt;&gt;"",Çeyreklik!T45&lt;&gt;""),Çeyreklik!Q45+Çeyreklik!R45+Çeyreklik!S45+Çeyreklik!T45,"")</f>
        <v>2283603688</v>
      </c>
      <c r="R45" s="2">
        <f>IF(AND(Çeyreklik!R45&lt;&gt;"",Çeyreklik!S45&lt;&gt;"",Çeyreklik!T45&lt;&gt;"",Çeyreklik!U45&lt;&gt;""),Çeyreklik!R45+Çeyreklik!S45+Çeyreklik!T45+Çeyreklik!U45,"")</f>
        <v>2283938688</v>
      </c>
      <c r="S45" s="2">
        <f>IF(AND(Çeyreklik!S45&lt;&gt;"",Çeyreklik!T45&lt;&gt;"",Çeyreklik!U45&lt;&gt;"",Çeyreklik!V45&lt;&gt;""),Çeyreklik!S45+Çeyreklik!T45+Çeyreklik!U45+Çeyreklik!V45,"")</f>
        <v>2302508688</v>
      </c>
      <c r="T45" s="2">
        <f>IF(AND(Çeyreklik!T45&lt;&gt;"",Çeyreklik!U45&lt;&gt;"",Çeyreklik!V45&lt;&gt;"",Çeyreklik!W45&lt;&gt;""),Çeyreklik!T45+Çeyreklik!U45+Çeyreklik!V45+Çeyreklik!W45,"")</f>
        <v>2422707688</v>
      </c>
    </row>
    <row r="46" spans="1:20" x14ac:dyDescent="0.25">
      <c r="A46" t="str">
        <f>Çeyreklik!A46</f>
        <v>Kıdem Tazminatı</v>
      </c>
      <c r="B46" s="2">
        <f>IF(AND(Çeyreklik!B46&lt;&gt;"",Çeyreklik!C46&lt;&gt;"",Çeyreklik!D46&lt;&gt;"",Çeyreklik!E46&lt;&gt;""),Çeyreklik!B46+Çeyreklik!C46+Çeyreklik!D46+Çeyreklik!E46,"")</f>
        <v>53044000</v>
      </c>
      <c r="C46" s="2">
        <f>IF(AND(Çeyreklik!C46&lt;&gt;"",Çeyreklik!D46&lt;&gt;"",Çeyreklik!E46&lt;&gt;"",Çeyreklik!F46&lt;&gt;""),Çeyreklik!C46+Çeyreklik!D46+Çeyreklik!E46+Çeyreklik!F46,"")</f>
        <v>65367000</v>
      </c>
      <c r="D46" s="2">
        <f>IF(AND(Çeyreklik!D46&lt;&gt;"",Çeyreklik!E46&lt;&gt;"",Çeyreklik!F46&lt;&gt;"",Çeyreklik!G46&lt;&gt;""),Çeyreklik!D46+Çeyreklik!E46+Çeyreklik!F46+Çeyreklik!G46,"")</f>
        <v>63955000</v>
      </c>
      <c r="E46" s="2">
        <f>IF(AND(Çeyreklik!E46&lt;&gt;"",Çeyreklik!F46&lt;&gt;"",Çeyreklik!G46&lt;&gt;"",Çeyreklik!H46&lt;&gt;""),Çeyreklik!E46+Çeyreklik!F46+Çeyreklik!G46+Çeyreklik!H46,"")</f>
        <v>102268000</v>
      </c>
      <c r="F46" s="2">
        <f>IF(AND(Çeyreklik!F46&lt;&gt;"",Çeyreklik!G46&lt;&gt;"",Çeyreklik!H46&lt;&gt;"",Çeyreklik!I46&lt;&gt;""),Çeyreklik!F46+Çeyreklik!G46+Çeyreklik!H46+Çeyreklik!I46,"")</f>
        <v>140348000</v>
      </c>
      <c r="G46" s="2">
        <f>IF(AND(Çeyreklik!G46&lt;&gt;"",Çeyreklik!H46&lt;&gt;"",Çeyreklik!I46&lt;&gt;"",Çeyreklik!J46&lt;&gt;""),Çeyreklik!G46+Çeyreklik!H46+Çeyreklik!I46+Çeyreklik!J46,"")</f>
        <v>53719000</v>
      </c>
      <c r="H46" s="2">
        <f>IF(AND(Çeyreklik!H46&lt;&gt;"",Çeyreklik!I46&lt;&gt;"",Çeyreklik!J46&lt;&gt;"",Çeyreklik!K46&lt;&gt;""),Çeyreklik!H46+Çeyreklik!I46+Çeyreklik!J46+Çeyreklik!K46,"")</f>
        <v>256695000</v>
      </c>
      <c r="I46" s="2">
        <f>IF(AND(Çeyreklik!I46&lt;&gt;"",Çeyreklik!J46&lt;&gt;"",Çeyreklik!K46&lt;&gt;"",Çeyreklik!L46&lt;&gt;""),Çeyreklik!I46+Çeyreklik!J46+Çeyreklik!K46+Çeyreklik!L46,"")</f>
        <v>164628000</v>
      </c>
      <c r="J46" s="2">
        <f>IF(AND(Çeyreklik!J46&lt;&gt;"",Çeyreklik!K46&lt;&gt;"",Çeyreklik!L46&lt;&gt;"",Çeyreklik!M46&lt;&gt;""),Çeyreklik!J46+Çeyreklik!K46+Çeyreklik!L46+Çeyreklik!M46,"")</f>
        <v>164544000</v>
      </c>
      <c r="K46" s="2">
        <f>IF(AND(Çeyreklik!K46&lt;&gt;"",Çeyreklik!L46&lt;&gt;"",Çeyreklik!M46&lt;&gt;"",Çeyreklik!N46&lt;&gt;""),Çeyreklik!K46+Çeyreklik!L46+Çeyreklik!M46+Çeyreklik!N46,"")</f>
        <v>356374000</v>
      </c>
      <c r="L46" s="2">
        <f>IF(AND(Çeyreklik!L46&lt;&gt;"",Çeyreklik!M46&lt;&gt;"",Çeyreklik!N46&lt;&gt;"",Çeyreklik!O46&lt;&gt;""),Çeyreklik!L46+Çeyreklik!M46+Çeyreklik!N46+Çeyreklik!O46,"")</f>
        <v>251977000</v>
      </c>
      <c r="M46" s="2">
        <f>IF(AND(Çeyreklik!M46&lt;&gt;"",Çeyreklik!N46&lt;&gt;"",Çeyreklik!O46&lt;&gt;"",Çeyreklik!P46&lt;&gt;""),Çeyreklik!M46+Çeyreklik!N46+Çeyreklik!O46+Çeyreklik!P46,"")</f>
        <v>221861000</v>
      </c>
      <c r="N46" s="2">
        <f>IF(AND(Çeyreklik!N46&lt;&gt;"",Çeyreklik!O46&lt;&gt;"",Çeyreklik!P46&lt;&gt;"",Çeyreklik!Q46&lt;&gt;""),Çeyreklik!N46+Çeyreklik!O46+Çeyreklik!P46+Çeyreklik!Q46,"")</f>
        <v>332555000</v>
      </c>
      <c r="O46" s="2">
        <f>IF(AND(Çeyreklik!O46&lt;&gt;"",Çeyreklik!P46&lt;&gt;"",Çeyreklik!Q46&lt;&gt;"",Çeyreklik!R46&lt;&gt;""),Çeyreklik!O46+Çeyreklik!P46+Çeyreklik!Q46+Çeyreklik!R46,"")</f>
        <v>331434000</v>
      </c>
      <c r="P46" s="2">
        <f>IF(AND(Çeyreklik!P46&lt;&gt;"",Çeyreklik!Q46&lt;&gt;"",Çeyreklik!R46&lt;&gt;"",Çeyreklik!S46&lt;&gt;""),Çeyreklik!P46+Çeyreklik!Q46+Çeyreklik!R46+Çeyreklik!S46,"")</f>
        <v>343098000</v>
      </c>
      <c r="Q46" s="2">
        <f>IF(AND(Çeyreklik!Q46&lt;&gt;"",Çeyreklik!R46&lt;&gt;"",Çeyreklik!S46&lt;&gt;"",Çeyreklik!T46&lt;&gt;""),Çeyreklik!Q46+Çeyreklik!R46+Çeyreklik!S46+Çeyreklik!T46,"")</f>
        <v>234953450</v>
      </c>
      <c r="R46" s="2">
        <f>IF(AND(Çeyreklik!R46&lt;&gt;"",Çeyreklik!S46&lt;&gt;"",Çeyreklik!T46&lt;&gt;"",Çeyreklik!U46&lt;&gt;""),Çeyreklik!R46+Çeyreklik!S46+Çeyreklik!T46+Çeyreklik!U46,"")</f>
        <v>230287450</v>
      </c>
      <c r="S46" s="2">
        <f>IF(AND(Çeyreklik!S46&lt;&gt;"",Çeyreklik!T46&lt;&gt;"",Çeyreklik!U46&lt;&gt;"",Çeyreklik!V46&lt;&gt;""),Çeyreklik!S46+Çeyreklik!T46+Çeyreklik!U46+Çeyreklik!V46,"")</f>
        <v>277298450</v>
      </c>
      <c r="T46" s="2">
        <f>IF(AND(Çeyreklik!T46&lt;&gt;"",Çeyreklik!U46&lt;&gt;"",Çeyreklik!V46&lt;&gt;"",Çeyreklik!W46&lt;&gt;""),Çeyreklik!T46+Çeyreklik!U46+Çeyreklik!V46+Çeyreklik!W46,"")</f>
        <v>318329450</v>
      </c>
    </row>
    <row r="47" spans="1:20" x14ac:dyDescent="0.25">
      <c r="A47" t="str">
        <f>Çeyreklik!A47</f>
        <v>Finansman Giderleri</v>
      </c>
      <c r="B47" s="2">
        <f>IF(AND(Çeyreklik!B47&lt;&gt;"",Çeyreklik!C47&lt;&gt;"",Çeyreklik!D47&lt;&gt;"",Çeyreklik!E47&lt;&gt;""),Çeyreklik!B47+Çeyreklik!C47+Çeyreklik!D47+Çeyreklik!E47,"")</f>
        <v>-3530535000</v>
      </c>
      <c r="C47" s="2">
        <f>IF(AND(Çeyreklik!C47&lt;&gt;"",Çeyreklik!D47&lt;&gt;"",Çeyreklik!E47&lt;&gt;"",Çeyreklik!F47&lt;&gt;""),Çeyreklik!C47+Çeyreklik!D47+Çeyreklik!E47+Çeyreklik!F47,"")</f>
        <v>-3733972000</v>
      </c>
      <c r="D47" s="2">
        <f>IF(AND(Çeyreklik!D47&lt;&gt;"",Çeyreklik!E47&lt;&gt;"",Çeyreklik!F47&lt;&gt;"",Çeyreklik!G47&lt;&gt;""),Çeyreklik!D47+Çeyreklik!E47+Çeyreklik!F47+Çeyreklik!G47,"")</f>
        <v>-2853508000</v>
      </c>
      <c r="E47" s="2">
        <f>IF(AND(Çeyreklik!E47&lt;&gt;"",Çeyreklik!F47&lt;&gt;"",Çeyreklik!G47&lt;&gt;"",Çeyreklik!H47&lt;&gt;""),Çeyreklik!E47+Çeyreklik!F47+Çeyreklik!G47+Çeyreklik!H47,"")</f>
        <v>-8910373000</v>
      </c>
      <c r="F47" s="2">
        <f>IF(AND(Çeyreklik!F47&lt;&gt;"",Çeyreklik!G47&lt;&gt;"",Çeyreklik!H47&lt;&gt;"",Çeyreklik!I47&lt;&gt;""),Çeyreklik!F47+Çeyreklik!G47+Çeyreklik!H47+Çeyreklik!I47,"")</f>
        <v>-9547490000</v>
      </c>
      <c r="G47" s="2">
        <f>IF(AND(Çeyreklik!G47&lt;&gt;"",Çeyreklik!H47&lt;&gt;"",Çeyreklik!I47&lt;&gt;"",Çeyreklik!J47&lt;&gt;""),Çeyreklik!G47+Çeyreklik!H47+Çeyreklik!I47+Çeyreklik!J47,"")</f>
        <v>-11164951000</v>
      </c>
      <c r="H47" s="2">
        <f>IF(AND(Çeyreklik!H47&lt;&gt;"",Çeyreklik!I47&lt;&gt;"",Çeyreklik!J47&lt;&gt;"",Çeyreklik!K47&lt;&gt;""),Çeyreklik!H47+Çeyreklik!I47+Çeyreklik!J47+Çeyreklik!K47,"")</f>
        <v>-13008923000</v>
      </c>
      <c r="I47" s="2">
        <f>IF(AND(Çeyreklik!I47&lt;&gt;"",Çeyreklik!J47&lt;&gt;"",Çeyreklik!K47&lt;&gt;"",Çeyreklik!L47&lt;&gt;""),Çeyreklik!I47+Çeyreklik!J47+Çeyreklik!K47+Çeyreklik!L47,"")</f>
        <v>-10588785000</v>
      </c>
      <c r="J47" s="2">
        <f>IF(AND(Çeyreklik!J47&lt;&gt;"",Çeyreklik!K47&lt;&gt;"",Çeyreklik!L47&lt;&gt;"",Çeyreklik!M47&lt;&gt;""),Çeyreklik!J47+Çeyreklik!K47+Çeyreklik!L47+Çeyreklik!M47,"")</f>
        <v>-9744378000</v>
      </c>
      <c r="K47" s="2">
        <f>IF(AND(Çeyreklik!K47&lt;&gt;"",Çeyreklik!L47&lt;&gt;"",Çeyreklik!M47&lt;&gt;"",Çeyreklik!N47&lt;&gt;""),Çeyreklik!K47+Çeyreklik!L47+Çeyreklik!M47+Çeyreklik!N47,"")</f>
        <v>-20762363000</v>
      </c>
      <c r="L47" s="2">
        <f>IF(AND(Çeyreklik!L47&lt;&gt;"",Çeyreklik!M47&lt;&gt;"",Çeyreklik!N47&lt;&gt;"",Çeyreklik!O47&lt;&gt;""),Çeyreklik!L47+Çeyreklik!M47+Çeyreklik!N47+Çeyreklik!O47,"")</f>
        <v>-17830090000</v>
      </c>
      <c r="M47" s="2">
        <f>IF(AND(Çeyreklik!M47&lt;&gt;"",Çeyreklik!N47&lt;&gt;"",Çeyreklik!O47&lt;&gt;"",Çeyreklik!P47&lt;&gt;""),Çeyreklik!M47+Çeyreklik!N47+Çeyreklik!O47+Çeyreklik!P47,"")</f>
        <v>-19836152000</v>
      </c>
      <c r="N47" s="2">
        <f>IF(AND(Çeyreklik!N47&lt;&gt;"",Çeyreklik!O47&lt;&gt;"",Çeyreklik!P47&lt;&gt;"",Çeyreklik!Q47&lt;&gt;""),Çeyreklik!N47+Çeyreklik!O47+Çeyreklik!P47+Çeyreklik!Q47,"")</f>
        <v>-21278301000</v>
      </c>
      <c r="O47" s="2">
        <f>IF(AND(Çeyreklik!O47&lt;&gt;"",Çeyreklik!P47&lt;&gt;"",Çeyreklik!Q47&lt;&gt;"",Çeyreklik!R47&lt;&gt;""),Çeyreklik!O47+Çeyreklik!P47+Çeyreklik!Q47+Çeyreklik!R47,"")</f>
        <v>-10025735000</v>
      </c>
      <c r="P47" s="2">
        <f>IF(AND(Çeyreklik!P47&lt;&gt;"",Çeyreklik!Q47&lt;&gt;"",Çeyreklik!R47&lt;&gt;"",Çeyreklik!S47&lt;&gt;""),Çeyreklik!P47+Çeyreklik!Q47+Çeyreklik!R47+Çeyreklik!S47,"")</f>
        <v>-14992498000</v>
      </c>
      <c r="Q47" s="2">
        <f>IF(AND(Çeyreklik!Q47&lt;&gt;"",Çeyreklik!R47&lt;&gt;"",Çeyreklik!S47&lt;&gt;"",Çeyreklik!T47&lt;&gt;""),Çeyreklik!Q47+Çeyreklik!R47+Çeyreklik!S47+Çeyreklik!T47,"")</f>
        <v>-11813639664</v>
      </c>
      <c r="R47" s="2">
        <f>IF(AND(Çeyreklik!R47&lt;&gt;"",Çeyreklik!S47&lt;&gt;"",Çeyreklik!T47&lt;&gt;"",Çeyreklik!U47&lt;&gt;""),Çeyreklik!R47+Çeyreklik!S47+Çeyreklik!T47+Çeyreklik!U47,"")</f>
        <v>-13922874664</v>
      </c>
      <c r="S47" s="2">
        <f>IF(AND(Çeyreklik!S47&lt;&gt;"",Çeyreklik!T47&lt;&gt;"",Çeyreklik!U47&lt;&gt;"",Çeyreklik!V47&lt;&gt;""),Çeyreklik!S47+Çeyreklik!T47+Çeyreklik!U47+Çeyreklik!V47,"")</f>
        <v>-17083636664</v>
      </c>
      <c r="T47" s="2">
        <f>IF(AND(Çeyreklik!T47&lt;&gt;"",Çeyreklik!U47&lt;&gt;"",Çeyreklik!V47&lt;&gt;"",Çeyreklik!W47&lt;&gt;""),Çeyreklik!T47+Çeyreklik!U47+Çeyreklik!V47+Çeyreklik!W47,"")</f>
        <v>-17998899664</v>
      </c>
    </row>
    <row r="48" spans="1:20" x14ac:dyDescent="0.25">
      <c r="A48" t="str">
        <f>Çeyreklik!A48</f>
        <v>Yurtiçi Satışlar</v>
      </c>
      <c r="B48" s="2">
        <f>IF(AND(Çeyreklik!B48&lt;&gt;"",Çeyreklik!C48&lt;&gt;"",Çeyreklik!D48&lt;&gt;"",Çeyreklik!E48&lt;&gt;""),Çeyreklik!B48+Çeyreklik!C48+Çeyreklik!D48+Çeyreklik!E48,"")</f>
        <v>10901805000</v>
      </c>
      <c r="C48" s="2">
        <f>IF(AND(Çeyreklik!C48&lt;&gt;"",Çeyreklik!D48&lt;&gt;"",Çeyreklik!E48&lt;&gt;"",Çeyreklik!F48&lt;&gt;""),Çeyreklik!C48+Çeyreklik!D48+Çeyreklik!E48+Çeyreklik!F48,"")</f>
        <v>11427597000</v>
      </c>
      <c r="D48" s="2">
        <f>IF(AND(Çeyreklik!D48&lt;&gt;"",Çeyreklik!E48&lt;&gt;"",Çeyreklik!F48&lt;&gt;"",Çeyreklik!G48&lt;&gt;""),Çeyreklik!D48+Çeyreklik!E48+Çeyreklik!F48+Çeyreklik!G48,"")</f>
        <v>12109345000</v>
      </c>
      <c r="E48" s="2">
        <f>IF(AND(Çeyreklik!E48&lt;&gt;"",Çeyreklik!F48&lt;&gt;"",Çeyreklik!G48&lt;&gt;"",Çeyreklik!H48&lt;&gt;""),Çeyreklik!E48+Çeyreklik!F48+Çeyreklik!G48+Çeyreklik!H48,"")</f>
        <v>13361997000</v>
      </c>
      <c r="F48" s="2">
        <f>IF(AND(Çeyreklik!F48&lt;&gt;"",Çeyreklik!G48&lt;&gt;"",Çeyreklik!H48&lt;&gt;"",Çeyreklik!I48&lt;&gt;""),Çeyreklik!F48+Çeyreklik!G48+Çeyreklik!H48+Çeyreklik!I48,"")</f>
        <v>16871247000</v>
      </c>
      <c r="G48" s="2">
        <f>IF(AND(Çeyreklik!G48&lt;&gt;"",Çeyreklik!H48&lt;&gt;"",Çeyreklik!I48&lt;&gt;"",Çeyreklik!J48&lt;&gt;""),Çeyreklik!G48+Çeyreklik!H48+Çeyreklik!I48+Çeyreklik!J48,"")</f>
        <v>20222556000</v>
      </c>
      <c r="H48" s="2">
        <f>IF(AND(Çeyreklik!H48&lt;&gt;"",Çeyreklik!I48&lt;&gt;"",Çeyreklik!J48&lt;&gt;"",Çeyreklik!K48&lt;&gt;""),Çeyreklik!H48+Çeyreklik!I48+Çeyreklik!J48+Çeyreklik!K48,"")</f>
        <v>25242358000</v>
      </c>
      <c r="I48" s="2">
        <f>IF(AND(Çeyreklik!I48&lt;&gt;"",Çeyreklik!J48&lt;&gt;"",Çeyreklik!K48&lt;&gt;"",Çeyreklik!L48&lt;&gt;""),Çeyreklik!I48+Çeyreklik!J48+Çeyreklik!K48+Çeyreklik!L48,"")</f>
        <v>57369966000</v>
      </c>
      <c r="J48" s="2">
        <f>IF(AND(Çeyreklik!J48&lt;&gt;"",Çeyreklik!K48&lt;&gt;"",Çeyreklik!L48&lt;&gt;"",Çeyreklik!M48&lt;&gt;""),Çeyreklik!J48+Çeyreklik!K48+Çeyreklik!L48+Çeyreklik!M48,"")</f>
        <v>70849856000</v>
      </c>
      <c r="K48" s="2">
        <f>IF(AND(Çeyreklik!K48&lt;&gt;"",Çeyreklik!L48&lt;&gt;"",Çeyreklik!M48&lt;&gt;"",Çeyreklik!N48&lt;&gt;""),Çeyreklik!K48+Çeyreklik!L48+Çeyreklik!M48+Çeyreklik!N48,"")</f>
        <v>84379941000</v>
      </c>
      <c r="L48" s="2">
        <f>IF(AND(Çeyreklik!L48&lt;&gt;"",Çeyreklik!M48&lt;&gt;"",Çeyreklik!N48&lt;&gt;"",Çeyreklik!O48&lt;&gt;""),Çeyreklik!L48+Çeyreklik!M48+Çeyreklik!N48+Çeyreklik!O48,"")</f>
        <v>100159055000</v>
      </c>
      <c r="M48" s="2">
        <f>IF(AND(Çeyreklik!M48&lt;&gt;"",Çeyreklik!N48&lt;&gt;"",Çeyreklik!O48&lt;&gt;"",Çeyreklik!P48&lt;&gt;""),Çeyreklik!M48+Çeyreklik!N48+Çeyreklik!O48+Çeyreklik!P48,"")</f>
        <v>92193212000</v>
      </c>
      <c r="N48" s="2">
        <f>IF(AND(Çeyreklik!N48&lt;&gt;"",Çeyreklik!O48&lt;&gt;"",Çeyreklik!P48&lt;&gt;"",Çeyreklik!Q48&lt;&gt;""),Çeyreklik!N48+Çeyreklik!O48+Çeyreklik!P48+Çeyreklik!Q48,"")</f>
        <v>97293468000</v>
      </c>
      <c r="O48" s="2">
        <f>IF(AND(Çeyreklik!O48&lt;&gt;"",Çeyreklik!P48&lt;&gt;"",Çeyreklik!Q48&lt;&gt;"",Çeyreklik!R48&lt;&gt;""),Çeyreklik!O48+Çeyreklik!P48+Çeyreklik!Q48+Çeyreklik!R48,"")</f>
        <v>86629768000</v>
      </c>
      <c r="P48" s="2">
        <f>IF(AND(Çeyreklik!P48&lt;&gt;"",Çeyreklik!Q48&lt;&gt;"",Çeyreklik!R48&lt;&gt;"",Çeyreklik!S48&lt;&gt;""),Çeyreklik!P48+Çeyreklik!Q48+Çeyreklik!R48+Çeyreklik!S48,"")</f>
        <v>99402473000</v>
      </c>
      <c r="Q48" s="2">
        <f>IF(AND(Çeyreklik!Q48&lt;&gt;"",Çeyreklik!R48&lt;&gt;"",Çeyreklik!S48&lt;&gt;"",Çeyreklik!T48&lt;&gt;""),Çeyreklik!Q48+Çeyreklik!R48+Çeyreklik!S48+Çeyreklik!T48,"")</f>
        <v>95564187106</v>
      </c>
      <c r="R48" s="2">
        <f>IF(AND(Çeyreklik!R48&lt;&gt;"",Çeyreklik!S48&lt;&gt;"",Çeyreklik!T48&lt;&gt;"",Çeyreklik!U48&lt;&gt;""),Çeyreklik!R48+Çeyreklik!S48+Çeyreklik!T48+Çeyreklik!U48,"")</f>
        <v>95934987106</v>
      </c>
      <c r="S48" s="2">
        <f>IF(AND(Çeyreklik!S48&lt;&gt;"",Çeyreklik!T48&lt;&gt;"",Çeyreklik!U48&lt;&gt;"",Çeyreklik!V48&lt;&gt;""),Çeyreklik!S48+Çeyreklik!T48+Çeyreklik!U48+Çeyreklik!V48,"")</f>
        <v>98572068106</v>
      </c>
      <c r="T48" s="2">
        <f>IF(AND(Çeyreklik!T48&lt;&gt;"",Çeyreklik!U48&lt;&gt;"",Çeyreklik!V48&lt;&gt;"",Çeyreklik!W48&lt;&gt;""),Çeyreklik!T48+Çeyreklik!U48+Çeyreklik!V48+Çeyreklik!W48,"")</f>
        <v>99471984106</v>
      </c>
    </row>
    <row r="49" spans="1:20" x14ac:dyDescent="0.25">
      <c r="A49" t="str">
        <f>Çeyreklik!A49</f>
        <v>Yurtdışı Satışlar</v>
      </c>
      <c r="B49" s="2">
        <f>IF(AND(Çeyreklik!B49&lt;&gt;"",Çeyreklik!C49&lt;&gt;"",Çeyreklik!D49&lt;&gt;"",Çeyreklik!E49&lt;&gt;""),Çeyreklik!B49+Çeyreklik!C49+Çeyreklik!D49+Çeyreklik!E49,"")</f>
        <v>2212701000</v>
      </c>
      <c r="C49" s="2">
        <f>IF(AND(Çeyreklik!C49&lt;&gt;"",Çeyreklik!D49&lt;&gt;"",Çeyreklik!E49&lt;&gt;"",Çeyreklik!F49&lt;&gt;""),Çeyreklik!C49+Çeyreklik!D49+Çeyreklik!E49+Çeyreklik!F49,"")</f>
        <v>2313029000</v>
      </c>
      <c r="D49" s="2">
        <f>IF(AND(Çeyreklik!D49&lt;&gt;"",Çeyreklik!E49&lt;&gt;"",Çeyreklik!F49&lt;&gt;"",Çeyreklik!G49&lt;&gt;""),Çeyreklik!D49+Çeyreklik!E49+Çeyreklik!F49+Çeyreklik!G49,"")</f>
        <v>2351444000</v>
      </c>
      <c r="E49" s="2">
        <f>IF(AND(Çeyreklik!E49&lt;&gt;"",Çeyreklik!F49&lt;&gt;"",Çeyreklik!G49&lt;&gt;"",Çeyreklik!H49&lt;&gt;""),Çeyreklik!E49+Çeyreklik!F49+Çeyreklik!G49+Çeyreklik!H49,"")</f>
        <v>2837277000</v>
      </c>
      <c r="F49" s="2">
        <f>IF(AND(Çeyreklik!F49&lt;&gt;"",Çeyreklik!G49&lt;&gt;"",Çeyreklik!H49&lt;&gt;"",Çeyreklik!I49&lt;&gt;""),Çeyreklik!F49+Çeyreklik!G49+Çeyreklik!H49+Çeyreklik!I49,"")</f>
        <v>3499246000</v>
      </c>
      <c r="G49" s="2">
        <f>IF(AND(Çeyreklik!G49&lt;&gt;"",Çeyreklik!H49&lt;&gt;"",Çeyreklik!I49&lt;&gt;"",Çeyreklik!J49&lt;&gt;""),Çeyreklik!G49+Çeyreklik!H49+Çeyreklik!I49+Çeyreklik!J49,"")</f>
        <v>4435829000</v>
      </c>
      <c r="H49" s="2">
        <f>IF(AND(Çeyreklik!H49&lt;&gt;"",Çeyreklik!I49&lt;&gt;"",Çeyreklik!J49&lt;&gt;"",Çeyreklik!K49&lt;&gt;""),Çeyreklik!H49+Çeyreklik!I49+Çeyreklik!J49+Çeyreklik!K49,"")</f>
        <v>5223745000</v>
      </c>
      <c r="I49" s="2">
        <f>IF(AND(Çeyreklik!I49&lt;&gt;"",Çeyreklik!J49&lt;&gt;"",Çeyreklik!K49&lt;&gt;"",Çeyreklik!L49&lt;&gt;""),Çeyreklik!I49+Çeyreklik!J49+Çeyreklik!K49+Çeyreklik!L49,"")</f>
        <v>11136504000</v>
      </c>
      <c r="J49" s="2">
        <f>IF(AND(Çeyreklik!J49&lt;&gt;"",Çeyreklik!K49&lt;&gt;"",Çeyreklik!L49&lt;&gt;"",Çeyreklik!M49&lt;&gt;""),Çeyreklik!J49+Çeyreklik!K49+Çeyreklik!L49+Çeyreklik!M49,"")</f>
        <v>12977257000</v>
      </c>
      <c r="K49" s="2">
        <f>IF(AND(Çeyreklik!K49&lt;&gt;"",Çeyreklik!L49&lt;&gt;"",Çeyreklik!M49&lt;&gt;"",Çeyreklik!N49&lt;&gt;""),Çeyreklik!K49+Çeyreklik!L49+Çeyreklik!M49+Çeyreklik!N49,"")</f>
        <v>15156898000</v>
      </c>
      <c r="L49" s="2">
        <f>IF(AND(Çeyreklik!L49&lt;&gt;"",Çeyreklik!M49&lt;&gt;"",Çeyreklik!N49&lt;&gt;"",Çeyreklik!O49&lt;&gt;""),Çeyreklik!L49+Çeyreklik!M49+Çeyreklik!N49+Çeyreklik!O49,"")</f>
        <v>17880942000</v>
      </c>
      <c r="M49" s="2">
        <f>IF(AND(Çeyreklik!M49&lt;&gt;"",Çeyreklik!N49&lt;&gt;"",Çeyreklik!O49&lt;&gt;"",Çeyreklik!P49&lt;&gt;""),Çeyreklik!M49+Çeyreklik!N49+Çeyreklik!O49+Çeyreklik!P49,"")</f>
        <v>15975816000</v>
      </c>
      <c r="N49" s="2">
        <f>IF(AND(Çeyreklik!N49&lt;&gt;"",Çeyreklik!O49&lt;&gt;"",Çeyreklik!P49&lt;&gt;"",Çeyreklik!Q49&lt;&gt;""),Çeyreklik!N49+Çeyreklik!O49+Çeyreklik!P49+Çeyreklik!Q49,"")</f>
        <v>17505992000</v>
      </c>
      <c r="O49" s="2">
        <f>IF(AND(Çeyreklik!O49&lt;&gt;"",Çeyreklik!P49&lt;&gt;"",Çeyreklik!Q49&lt;&gt;"",Çeyreklik!R49&lt;&gt;""),Çeyreklik!O49+Çeyreklik!P49+Çeyreklik!Q49+Çeyreklik!R49,"")</f>
        <v>24398010000</v>
      </c>
      <c r="P49" s="2">
        <f>IF(AND(Çeyreklik!P49&lt;&gt;"",Çeyreklik!Q49&lt;&gt;"",Çeyreklik!R49&lt;&gt;"",Çeyreklik!S49&lt;&gt;""),Çeyreklik!P49+Çeyreklik!Q49+Çeyreklik!R49+Çeyreklik!S49,"")</f>
        <v>18863484000</v>
      </c>
      <c r="Q49" s="2">
        <f>IF(AND(Çeyreklik!Q49&lt;&gt;"",Çeyreklik!R49&lt;&gt;"",Çeyreklik!S49&lt;&gt;"",Çeyreklik!T49&lt;&gt;""),Çeyreklik!Q49+Çeyreklik!R49+Çeyreklik!S49+Çeyreklik!T49,"")</f>
        <v>19576192130</v>
      </c>
      <c r="R49" s="2">
        <f>IF(AND(Çeyreklik!R49&lt;&gt;"",Çeyreklik!S49&lt;&gt;"",Çeyreklik!T49&lt;&gt;"",Çeyreklik!U49&lt;&gt;""),Çeyreklik!R49+Çeyreklik!S49+Çeyreklik!T49+Çeyreklik!U49,"")</f>
        <v>18933263130</v>
      </c>
      <c r="S49" s="2">
        <f>IF(AND(Çeyreklik!S49&lt;&gt;"",Çeyreklik!T49&lt;&gt;"",Çeyreklik!U49&lt;&gt;"",Çeyreklik!V49&lt;&gt;""),Çeyreklik!S49+Çeyreklik!T49+Çeyreklik!U49+Çeyreklik!V49,"")</f>
        <v>18837180130</v>
      </c>
      <c r="T49" s="2">
        <f>IF(AND(Çeyreklik!T49&lt;&gt;"",Çeyreklik!U49&lt;&gt;"",Çeyreklik!V49&lt;&gt;"",Çeyreklik!W49&lt;&gt;""),Çeyreklik!T49+Çeyreklik!U49+Çeyreklik!V49+Çeyreklik!W49,"")</f>
        <v>20506738130</v>
      </c>
    </row>
    <row r="50" spans="1:20" x14ac:dyDescent="0.25">
      <c r="A50" t="str">
        <f>Çeyreklik!A50</f>
        <v>Net Yabancı Para Pozisyonu</v>
      </c>
      <c r="B50" s="2">
        <f>IF(AND(Çeyreklik!B50&lt;&gt;"",Çeyreklik!C50&lt;&gt;"",Çeyreklik!D50&lt;&gt;"",Çeyreklik!E50&lt;&gt;""),Çeyreklik!B50+Çeyreklik!C50+Çeyreklik!D50+Çeyreklik!E50,"")</f>
        <v>666771000</v>
      </c>
      <c r="C50" s="2">
        <f>IF(AND(Çeyreklik!C50&lt;&gt;"",Çeyreklik!D50&lt;&gt;"",Çeyreklik!E50&lt;&gt;"",Çeyreklik!F50&lt;&gt;""),Çeyreklik!C50+Çeyreklik!D50+Çeyreklik!E50+Çeyreklik!F50,"")</f>
        <v>255782000</v>
      </c>
      <c r="D50" s="2">
        <f>IF(AND(Çeyreklik!D50&lt;&gt;"",Çeyreklik!E50&lt;&gt;"",Çeyreklik!F50&lt;&gt;"",Çeyreklik!G50&lt;&gt;""),Çeyreklik!D50+Çeyreklik!E50+Çeyreklik!F50+Çeyreklik!G50,"")</f>
        <v>-5166473000</v>
      </c>
      <c r="E50" s="2">
        <f>IF(AND(Çeyreklik!E50&lt;&gt;"",Çeyreklik!F50&lt;&gt;"",Çeyreklik!G50&lt;&gt;"",Çeyreklik!H50&lt;&gt;""),Çeyreklik!E50+Çeyreklik!F50+Çeyreklik!G50+Çeyreklik!H50,"")</f>
        <v>-7062499000</v>
      </c>
      <c r="F50" s="2">
        <f>IF(AND(Çeyreklik!F50&lt;&gt;"",Çeyreklik!G50&lt;&gt;"",Çeyreklik!H50&lt;&gt;"",Çeyreklik!I50&lt;&gt;""),Çeyreklik!F50+Çeyreklik!G50+Çeyreklik!H50+Çeyreklik!I50,"")</f>
        <v>-16285290000</v>
      </c>
      <c r="G50" s="2">
        <f>IF(AND(Çeyreklik!G50&lt;&gt;"",Çeyreklik!H50&lt;&gt;"",Çeyreklik!I50&lt;&gt;"",Çeyreklik!J50&lt;&gt;""),Çeyreklik!G50+Çeyreklik!H50+Çeyreklik!I50+Çeyreklik!J50,"")</f>
        <v>-18195079000</v>
      </c>
      <c r="H50" s="2">
        <f>IF(AND(Çeyreklik!H50&lt;&gt;"",Çeyreklik!I50&lt;&gt;"",Çeyreklik!J50&lt;&gt;"",Çeyreklik!K50&lt;&gt;""),Çeyreklik!H50+Çeyreklik!I50+Çeyreklik!J50+Çeyreklik!K50,"")</f>
        <v>-14439498000</v>
      </c>
      <c r="I50" s="2">
        <f>IF(AND(Çeyreklik!I50&lt;&gt;"",Çeyreklik!J50&lt;&gt;"",Çeyreklik!K50&lt;&gt;"",Çeyreklik!L50&lt;&gt;""),Çeyreklik!I50+Çeyreklik!J50+Çeyreklik!K50+Çeyreklik!L50,"")</f>
        <v>-20096479000</v>
      </c>
      <c r="J50" s="2">
        <f>IF(AND(Çeyreklik!J50&lt;&gt;"",Çeyreklik!K50&lt;&gt;"",Çeyreklik!L50&lt;&gt;"",Çeyreklik!M50&lt;&gt;""),Çeyreklik!J50+Çeyreklik!K50+Çeyreklik!L50+Çeyreklik!M50,"")</f>
        <v>-24857524000</v>
      </c>
      <c r="K50" s="2">
        <f>IF(AND(Çeyreklik!K50&lt;&gt;"",Çeyreklik!L50&lt;&gt;"",Çeyreklik!M50&lt;&gt;"",Çeyreklik!N50&lt;&gt;""),Çeyreklik!K50+Çeyreklik!L50+Çeyreklik!M50+Çeyreklik!N50,"")</f>
        <v>-24466904000</v>
      </c>
      <c r="L50" s="2">
        <f>IF(AND(Çeyreklik!L50&lt;&gt;"",Çeyreklik!M50&lt;&gt;"",Çeyreklik!N50&lt;&gt;"",Çeyreklik!O50&lt;&gt;""),Çeyreklik!L50+Çeyreklik!M50+Çeyreklik!N50+Çeyreklik!O50,"")</f>
        <v>-22340362000</v>
      </c>
      <c r="M50" s="2">
        <f>IF(AND(Çeyreklik!M50&lt;&gt;"",Çeyreklik!N50&lt;&gt;"",Çeyreklik!O50&lt;&gt;"",Çeyreklik!P50&lt;&gt;""),Çeyreklik!M50+Çeyreklik!N50+Çeyreklik!O50+Çeyreklik!P50,"")</f>
        <v>-20251575000</v>
      </c>
      <c r="N50" s="2">
        <f>IF(AND(Çeyreklik!N50&lt;&gt;"",Çeyreklik!O50&lt;&gt;"",Çeyreklik!P50&lt;&gt;"",Çeyreklik!Q50&lt;&gt;""),Çeyreklik!N50+Çeyreklik!O50+Çeyreklik!P50+Çeyreklik!Q50,"")</f>
        <v>-23654580000</v>
      </c>
      <c r="O50" s="2">
        <f>IF(AND(Çeyreklik!O50&lt;&gt;"",Çeyreklik!P50&lt;&gt;"",Çeyreklik!Q50&lt;&gt;"",Çeyreklik!R50&lt;&gt;""),Çeyreklik!O50+Çeyreklik!P50+Çeyreklik!Q50+Çeyreklik!R50,"")</f>
        <v>-23442365000</v>
      </c>
      <c r="P50" s="2">
        <f>IF(AND(Çeyreklik!P50&lt;&gt;"",Çeyreklik!Q50&lt;&gt;"",Çeyreklik!R50&lt;&gt;"",Çeyreklik!S50&lt;&gt;""),Çeyreklik!P50+Çeyreklik!Q50+Çeyreklik!R50+Çeyreklik!S50,"")</f>
        <v>-27002855000</v>
      </c>
      <c r="Q50" s="2">
        <f>IF(AND(Çeyreklik!Q50&lt;&gt;"",Çeyreklik!R50&lt;&gt;"",Çeyreklik!S50&lt;&gt;"",Çeyreklik!T50&lt;&gt;""),Çeyreklik!Q50+Çeyreklik!R50+Çeyreklik!S50+Çeyreklik!T50,"")</f>
        <v>-22696948007</v>
      </c>
      <c r="R50" s="2">
        <f>IF(AND(Çeyreklik!R50&lt;&gt;"",Çeyreklik!S50&lt;&gt;"",Çeyreklik!T50&lt;&gt;"",Çeyreklik!U50&lt;&gt;""),Çeyreklik!R50+Çeyreklik!S50+Çeyreklik!T50+Çeyreklik!U50,"")</f>
        <v>-31858790007</v>
      </c>
      <c r="S50" s="2">
        <f>IF(AND(Çeyreklik!S50&lt;&gt;"",Çeyreklik!T50&lt;&gt;"",Çeyreklik!U50&lt;&gt;"",Çeyreklik!V50&lt;&gt;""),Çeyreklik!S50+Çeyreklik!T50+Çeyreklik!U50+Çeyreklik!V50,"")</f>
        <v>-38044620007</v>
      </c>
      <c r="T50" s="2">
        <f>IF(AND(Çeyreklik!T50&lt;&gt;"",Çeyreklik!U50&lt;&gt;"",Çeyreklik!V50&lt;&gt;"",Çeyreklik!W50&lt;&gt;""),Çeyreklik!T50+Çeyreklik!U50+Çeyreklik!V50+Çeyreklik!W50,"")</f>
        <v>-38128190007</v>
      </c>
    </row>
    <row r="51" spans="1:20" x14ac:dyDescent="0.25">
      <c r="A51" t="str">
        <f>Çeyreklik!A51</f>
        <v>Parasal net yabancı para varlık/(yükümlülük) pozisyonu</v>
      </c>
      <c r="B51" s="2">
        <f>IF(AND(Çeyreklik!B51&lt;&gt;"",Çeyreklik!C51&lt;&gt;"",Çeyreklik!D51&lt;&gt;"",Çeyreklik!E51&lt;&gt;""),Çeyreklik!B51+Çeyreklik!C51+Çeyreklik!D51+Çeyreklik!E51,"")</f>
        <v>648751000</v>
      </c>
      <c r="C51" s="2">
        <f>IF(AND(Çeyreklik!C51&lt;&gt;"",Çeyreklik!D51&lt;&gt;"",Çeyreklik!E51&lt;&gt;"",Çeyreklik!F51&lt;&gt;""),Çeyreklik!C51+Çeyreklik!D51+Çeyreklik!E51+Çeyreklik!F51,"")</f>
        <v>235703000</v>
      </c>
      <c r="D51" s="2">
        <f>IF(AND(Çeyreklik!D51&lt;&gt;"",Çeyreklik!E51&lt;&gt;"",Çeyreklik!F51&lt;&gt;"",Çeyreklik!G51&lt;&gt;""),Çeyreklik!D51+Çeyreklik!E51+Çeyreklik!F51+Çeyreklik!G51,"")</f>
        <v>-5296627000</v>
      </c>
      <c r="E51" s="2">
        <f>IF(AND(Çeyreklik!E51&lt;&gt;"",Çeyreklik!F51&lt;&gt;"",Çeyreklik!G51&lt;&gt;"",Çeyreklik!H51&lt;&gt;""),Çeyreklik!E51+Çeyreklik!F51+Çeyreklik!G51+Çeyreklik!H51,"")</f>
        <v>-7261010000</v>
      </c>
      <c r="F51" s="2">
        <f>IF(AND(Çeyreklik!F51&lt;&gt;"",Çeyreklik!G51&lt;&gt;"",Çeyreklik!H51&lt;&gt;"",Çeyreklik!I51&lt;&gt;""),Çeyreklik!F51+Çeyreklik!G51+Çeyreklik!H51+Çeyreklik!I51,"")</f>
        <v>-16747028000</v>
      </c>
      <c r="G51" s="2">
        <f>IF(AND(Çeyreklik!G51&lt;&gt;"",Çeyreklik!H51&lt;&gt;"",Çeyreklik!I51&lt;&gt;"",Çeyreklik!J51&lt;&gt;""),Çeyreklik!G51+Çeyreklik!H51+Çeyreklik!I51+Çeyreklik!J51,"")</f>
        <v>-18616522000</v>
      </c>
      <c r="H51" s="2">
        <f>IF(AND(Çeyreklik!H51&lt;&gt;"",Çeyreklik!I51&lt;&gt;"",Çeyreklik!J51&lt;&gt;"",Çeyreklik!K51&lt;&gt;""),Çeyreklik!H51+Çeyreklik!I51+Çeyreklik!J51+Çeyreklik!K51,"")</f>
        <v>-14826698000</v>
      </c>
      <c r="I51" s="2">
        <f>IF(AND(Çeyreklik!I51&lt;&gt;"",Çeyreklik!J51&lt;&gt;"",Çeyreklik!K51&lt;&gt;"",Çeyreklik!L51&lt;&gt;""),Çeyreklik!I51+Çeyreklik!J51+Çeyreklik!K51+Çeyreklik!L51,"")</f>
        <v>-20878853000</v>
      </c>
      <c r="J51" s="2">
        <f>IF(AND(Çeyreklik!J51&lt;&gt;"",Çeyreklik!K51&lt;&gt;"",Çeyreklik!L51&lt;&gt;"",Çeyreklik!M51&lt;&gt;""),Çeyreklik!J51+Çeyreklik!K51+Çeyreklik!L51+Çeyreklik!M51,"")</f>
        <v>-25745428000</v>
      </c>
      <c r="K51" s="2">
        <f>IF(AND(Çeyreklik!K51&lt;&gt;"",Çeyreklik!L51&lt;&gt;"",Çeyreklik!M51&lt;&gt;"",Çeyreklik!N51&lt;&gt;""),Çeyreklik!K51+Çeyreklik!L51+Çeyreklik!M51+Çeyreklik!N51,"")</f>
        <v>-25365229000</v>
      </c>
      <c r="L51" s="2">
        <f>IF(AND(Çeyreklik!L51&lt;&gt;"",Çeyreklik!M51&lt;&gt;"",Çeyreklik!N51&lt;&gt;"",Çeyreklik!O51&lt;&gt;""),Çeyreklik!L51+Çeyreklik!M51+Çeyreklik!N51+Çeyreklik!O51,"")</f>
        <v>-23039802000</v>
      </c>
      <c r="M51" s="2">
        <f>IF(AND(Çeyreklik!M51&lt;&gt;"",Çeyreklik!N51&lt;&gt;"",Çeyreklik!O51&lt;&gt;"",Çeyreklik!P51&lt;&gt;""),Çeyreklik!M51+Çeyreklik!N51+Çeyreklik!O51+Çeyreklik!P51,"")</f>
        <v>-20590561000</v>
      </c>
      <c r="N51" s="2">
        <f>IF(AND(Çeyreklik!N51&lt;&gt;"",Çeyreklik!O51&lt;&gt;"",Çeyreklik!P51&lt;&gt;"",Çeyreklik!Q51&lt;&gt;""),Çeyreklik!N51+Çeyreklik!O51+Çeyreklik!P51+Çeyreklik!Q51,"")</f>
        <v>-23630208000</v>
      </c>
      <c r="O51" s="2">
        <f>IF(AND(Çeyreklik!O51&lt;&gt;"",Çeyreklik!P51&lt;&gt;"",Çeyreklik!Q51&lt;&gt;"",Çeyreklik!R51&lt;&gt;""),Çeyreklik!O51+Çeyreklik!P51+Çeyreklik!Q51+Çeyreklik!R51,"")</f>
        <v>-23507205000</v>
      </c>
      <c r="P51" s="2">
        <f>IF(AND(Çeyreklik!P51&lt;&gt;"",Çeyreklik!Q51&lt;&gt;"",Çeyreklik!R51&lt;&gt;"",Çeyreklik!S51&lt;&gt;""),Çeyreklik!P51+Çeyreklik!Q51+Çeyreklik!R51+Çeyreklik!S51,"")</f>
        <v>-27487615000</v>
      </c>
      <c r="Q51" s="2">
        <f>IF(AND(Çeyreklik!Q51&lt;&gt;"",Çeyreklik!R51&lt;&gt;"",Çeyreklik!S51&lt;&gt;"",Çeyreklik!T51&lt;&gt;""),Çeyreklik!Q51+Çeyreklik!R51+Çeyreklik!S51+Çeyreklik!T51,"")</f>
        <v>-24554077299</v>
      </c>
      <c r="R51" s="2">
        <f>IF(AND(Çeyreklik!R51&lt;&gt;"",Çeyreklik!S51&lt;&gt;"",Çeyreklik!T51&lt;&gt;"",Çeyreklik!U51&lt;&gt;""),Çeyreklik!R51+Çeyreklik!S51+Çeyreklik!T51+Çeyreklik!U51,"")</f>
        <v>-35020942299</v>
      </c>
      <c r="S51" s="2">
        <f>IF(AND(Çeyreklik!S51&lt;&gt;"",Çeyreklik!T51&lt;&gt;"",Çeyreklik!U51&lt;&gt;"",Çeyreklik!V51&lt;&gt;""),Çeyreklik!S51+Çeyreklik!T51+Çeyreklik!U51+Çeyreklik!V51,"")</f>
        <v>-40116455299</v>
      </c>
      <c r="T51" s="2">
        <f>IF(AND(Çeyreklik!T51&lt;&gt;"",Çeyreklik!U51&lt;&gt;"",Çeyreklik!V51&lt;&gt;"",Çeyreklik!W51&lt;&gt;""),Çeyreklik!T51+Çeyreklik!U51+Çeyreklik!V51+Çeyreklik!W51,"")</f>
        <v>-40045321299</v>
      </c>
    </row>
    <row r="52" spans="1:20" x14ac:dyDescent="0.25">
      <c r="A52" t="str">
        <f>Çeyreklik!A52</f>
        <v>Net YPP (Hedge Dahil)</v>
      </c>
      <c r="B52" s="2">
        <f>IF(AND(Çeyreklik!B52&lt;&gt;"",Çeyreklik!C52&lt;&gt;"",Çeyreklik!D52&lt;&gt;"",Çeyreklik!E52&lt;&gt;""),Çeyreklik!B52+Çeyreklik!C52+Çeyreklik!D52+Çeyreklik!E52,"")</f>
        <v>-170416000</v>
      </c>
      <c r="C52" s="2">
        <f>IF(AND(Çeyreklik!C52&lt;&gt;"",Çeyreklik!D52&lt;&gt;"",Çeyreklik!E52&lt;&gt;"",Çeyreklik!F52&lt;&gt;""),Çeyreklik!C52+Çeyreklik!D52+Çeyreklik!E52+Çeyreklik!F52,"")</f>
        <v>390901000</v>
      </c>
      <c r="D52" s="2">
        <f>IF(AND(Çeyreklik!D52&lt;&gt;"",Çeyreklik!E52&lt;&gt;"",Çeyreklik!F52&lt;&gt;"",Çeyreklik!G52&lt;&gt;""),Çeyreklik!D52+Çeyreklik!E52+Çeyreklik!F52+Çeyreklik!G52,"")</f>
        <v>-5031354000</v>
      </c>
      <c r="E52" s="2">
        <f>IF(AND(Çeyreklik!E52&lt;&gt;"",Çeyreklik!F52&lt;&gt;"",Çeyreklik!G52&lt;&gt;"",Çeyreklik!H52&lt;&gt;""),Çeyreklik!E52+Çeyreklik!F52+Çeyreklik!G52+Çeyreklik!H52,"")</f>
        <v>-6983294000</v>
      </c>
      <c r="F52" s="2">
        <f>IF(AND(Çeyreklik!F52&lt;&gt;"",Çeyreklik!G52&lt;&gt;"",Çeyreklik!H52&lt;&gt;"",Çeyreklik!I52&lt;&gt;""),Çeyreklik!F52+Çeyreklik!G52+Çeyreklik!H52+Çeyreklik!I52,"")</f>
        <v>-13763260000</v>
      </c>
      <c r="G52" s="2">
        <f>IF(AND(Çeyreklik!G52&lt;&gt;"",Çeyreklik!H52&lt;&gt;"",Çeyreklik!I52&lt;&gt;"",Çeyreklik!J52&lt;&gt;""),Çeyreklik!G52+Çeyreklik!H52+Çeyreklik!I52+Çeyreklik!J52,"")</f>
        <v>-13726703000</v>
      </c>
      <c r="H52" s="2">
        <f>IF(AND(Çeyreklik!H52&lt;&gt;"",Çeyreklik!I52&lt;&gt;"",Çeyreklik!J52&lt;&gt;"",Çeyreklik!K52&lt;&gt;""),Çeyreklik!H52+Çeyreklik!I52+Çeyreklik!J52+Çeyreklik!K52,"")</f>
        <v>-9017976000</v>
      </c>
      <c r="I52" s="2">
        <f>IF(AND(Çeyreklik!I52&lt;&gt;"",Çeyreklik!J52&lt;&gt;"",Çeyreklik!K52&lt;&gt;"",Çeyreklik!L52&lt;&gt;""),Çeyreklik!I52+Çeyreklik!J52+Çeyreklik!K52+Çeyreklik!L52,"")</f>
        <v>-10963355000</v>
      </c>
      <c r="J52" s="2">
        <f>IF(AND(Çeyreklik!J52&lt;&gt;"",Çeyreklik!K52&lt;&gt;"",Çeyreklik!L52&lt;&gt;"",Çeyreklik!M52&lt;&gt;""),Çeyreklik!J52+Çeyreklik!K52+Çeyreklik!L52+Çeyreklik!M52,"")</f>
        <v>-11627274000</v>
      </c>
      <c r="K52" s="2">
        <f>IF(AND(Çeyreklik!K52&lt;&gt;"",Çeyreklik!L52&lt;&gt;"",Çeyreklik!M52&lt;&gt;"",Çeyreklik!N52&lt;&gt;""),Çeyreklik!K52+Çeyreklik!L52+Çeyreklik!M52+Çeyreklik!N52,"")</f>
        <v>-12223905000</v>
      </c>
      <c r="L52" s="2">
        <f>IF(AND(Çeyreklik!L52&lt;&gt;"",Çeyreklik!M52&lt;&gt;"",Çeyreklik!N52&lt;&gt;"",Çeyreklik!O52&lt;&gt;""),Çeyreklik!L52+Çeyreklik!M52+Çeyreklik!N52+Çeyreklik!O52,"")</f>
        <v>-8635314000</v>
      </c>
      <c r="M52" s="2">
        <f>IF(AND(Çeyreklik!M52&lt;&gt;"",Çeyreklik!N52&lt;&gt;"",Çeyreklik!O52&lt;&gt;"",Çeyreklik!P52&lt;&gt;""),Çeyreklik!M52+Çeyreklik!N52+Çeyreklik!O52+Çeyreklik!P52,"")</f>
        <v>-6147931000</v>
      </c>
      <c r="N52" s="2">
        <f>IF(AND(Çeyreklik!N52&lt;&gt;"",Çeyreklik!O52&lt;&gt;"",Çeyreklik!P52&lt;&gt;"",Çeyreklik!Q52&lt;&gt;""),Çeyreklik!N52+Çeyreklik!O52+Çeyreklik!P52+Çeyreklik!Q52,"")</f>
        <v>-5278831000</v>
      </c>
      <c r="O52" s="2">
        <f>IF(AND(Çeyreklik!O52&lt;&gt;"",Çeyreklik!P52&lt;&gt;"",Çeyreklik!Q52&lt;&gt;"",Çeyreklik!R52&lt;&gt;""),Çeyreklik!O52+Çeyreklik!P52+Çeyreklik!Q52+Çeyreklik!R52,"")</f>
        <v>-8016371000</v>
      </c>
      <c r="P52" s="2">
        <f>IF(AND(Çeyreklik!P52&lt;&gt;"",Çeyreklik!Q52&lt;&gt;"",Çeyreklik!R52&lt;&gt;"",Çeyreklik!S52&lt;&gt;""),Çeyreklik!P52+Çeyreklik!Q52+Çeyreklik!R52+Çeyreklik!S52,"")</f>
        <v>-8928386000</v>
      </c>
      <c r="Q52" s="2">
        <f>IF(AND(Çeyreklik!Q52&lt;&gt;"",Çeyreklik!R52&lt;&gt;"",Çeyreklik!S52&lt;&gt;"",Çeyreklik!T52&lt;&gt;""),Çeyreklik!Q52+Çeyreklik!R52+Çeyreklik!S52+Çeyreklik!T52,"")</f>
        <v>-5255878527</v>
      </c>
      <c r="R52" s="2">
        <f>IF(AND(Çeyreklik!R52&lt;&gt;"",Çeyreklik!S52&lt;&gt;"",Çeyreklik!T52&lt;&gt;"",Çeyreklik!U52&lt;&gt;""),Çeyreklik!R52+Çeyreklik!S52+Çeyreklik!T52+Çeyreklik!U52,"")</f>
        <v>-9796480527</v>
      </c>
      <c r="S52" s="2">
        <f>IF(AND(Çeyreklik!S52&lt;&gt;"",Çeyreklik!T52&lt;&gt;"",Çeyreklik!U52&lt;&gt;"",Çeyreklik!V52&lt;&gt;""),Çeyreklik!S52+Çeyreklik!T52+Çeyreklik!U52+Çeyreklik!V52,"")</f>
        <v>-7617310527</v>
      </c>
      <c r="T52" s="2">
        <f>IF(AND(Çeyreklik!T52&lt;&gt;"",Çeyreklik!U52&lt;&gt;"",Çeyreklik!V52&lt;&gt;"",Çeyreklik!W52&lt;&gt;""),Çeyreklik!T52+Çeyreklik!U52+Çeyreklik!V52+Çeyreklik!W52,"")</f>
        <v>-11770758527</v>
      </c>
    </row>
    <row r="53" spans="1:20" x14ac:dyDescent="0.25">
      <c r="A53" t="str">
        <f>Çeyreklik!A53</f>
        <v xml:space="preserve"> İşletme Faaliyetlerinden Kaynaklanan Net Nakit</v>
      </c>
      <c r="B53" s="2">
        <f>IF(AND(Çeyreklik!B53&lt;&gt;"",Çeyreklik!C53&lt;&gt;"",Çeyreklik!D53&lt;&gt;"",Çeyreklik!E53&lt;&gt;""),Çeyreklik!B53+Çeyreklik!C53+Çeyreklik!D53+Çeyreklik!E53,"")</f>
        <v>354832000</v>
      </c>
      <c r="C53" s="2">
        <f>IF(AND(Çeyreklik!C53&lt;&gt;"",Çeyreklik!D53&lt;&gt;"",Çeyreklik!E53&lt;&gt;"",Çeyreklik!F53&lt;&gt;""),Çeyreklik!C53+Çeyreklik!D53+Çeyreklik!E53+Çeyreklik!F53,"")</f>
        <v>584218000</v>
      </c>
      <c r="D53" s="2">
        <f>IF(AND(Çeyreklik!D53&lt;&gt;"",Çeyreklik!E53&lt;&gt;"",Çeyreklik!F53&lt;&gt;"",Çeyreklik!G53&lt;&gt;""),Çeyreklik!D53+Çeyreklik!E53+Çeyreklik!F53+Çeyreklik!G53,"")</f>
        <v>646677000</v>
      </c>
      <c r="E53" s="2">
        <f>IF(AND(Çeyreklik!E53&lt;&gt;"",Çeyreklik!F53&lt;&gt;"",Çeyreklik!G53&lt;&gt;"",Çeyreklik!H53&lt;&gt;""),Çeyreklik!E53+Çeyreklik!F53+Çeyreklik!G53+Çeyreklik!H53,"")</f>
        <v>27339000</v>
      </c>
      <c r="F53" s="2">
        <f>IF(AND(Çeyreklik!F53&lt;&gt;"",Çeyreklik!G53&lt;&gt;"",Çeyreklik!H53&lt;&gt;"",Çeyreklik!I53&lt;&gt;""),Çeyreklik!F53+Çeyreklik!G53+Çeyreklik!H53+Çeyreklik!I53,"")</f>
        <v>585440000</v>
      </c>
      <c r="G53" s="2">
        <f>IF(AND(Çeyreklik!G53&lt;&gt;"",Çeyreklik!H53&lt;&gt;"",Çeyreklik!I53&lt;&gt;"",Çeyreklik!J53&lt;&gt;""),Çeyreklik!G53+Çeyreklik!H53+Çeyreklik!I53+Çeyreklik!J53,"")</f>
        <v>695433000</v>
      </c>
      <c r="H53" s="2">
        <f>IF(AND(Çeyreklik!H53&lt;&gt;"",Çeyreklik!I53&lt;&gt;"",Çeyreklik!J53&lt;&gt;"",Çeyreklik!K53&lt;&gt;""),Çeyreklik!H53+Çeyreklik!I53+Çeyreklik!J53+Çeyreklik!K53,"")</f>
        <v>280870000</v>
      </c>
      <c r="I53" s="2">
        <f>IF(AND(Çeyreklik!I53&lt;&gt;"",Çeyreklik!J53&lt;&gt;"",Çeyreklik!K53&lt;&gt;"",Çeyreklik!L53&lt;&gt;""),Çeyreklik!I53+Çeyreklik!J53+Çeyreklik!K53+Çeyreklik!L53,"")</f>
        <v>4021785000</v>
      </c>
      <c r="J53" s="2">
        <f>IF(AND(Çeyreklik!J53&lt;&gt;"",Çeyreklik!K53&lt;&gt;"",Çeyreklik!L53&lt;&gt;"",Çeyreklik!M53&lt;&gt;""),Çeyreklik!J53+Çeyreklik!K53+Çeyreklik!L53+Çeyreklik!M53,"")</f>
        <v>3850079000</v>
      </c>
      <c r="K53" s="2">
        <f>IF(AND(Çeyreklik!K53&lt;&gt;"",Çeyreklik!L53&lt;&gt;"",Çeyreklik!M53&lt;&gt;"",Çeyreklik!N53&lt;&gt;""),Çeyreklik!K53+Çeyreklik!L53+Çeyreklik!M53+Çeyreklik!N53,"")</f>
        <v>6158085000</v>
      </c>
      <c r="L53" s="2">
        <f>IF(AND(Çeyreklik!L53&lt;&gt;"",Çeyreklik!M53&lt;&gt;"",Çeyreklik!N53&lt;&gt;"",Çeyreklik!O53&lt;&gt;""),Çeyreklik!L53+Çeyreklik!M53+Çeyreklik!N53+Çeyreklik!O53,"")</f>
        <v>9317799000</v>
      </c>
      <c r="M53" s="2">
        <f>IF(AND(Çeyreklik!M53&lt;&gt;"",Çeyreklik!N53&lt;&gt;"",Çeyreklik!O53&lt;&gt;"",Çeyreklik!P53&lt;&gt;""),Çeyreklik!M53+Çeyreklik!N53+Çeyreklik!O53+Çeyreklik!P53,"")</f>
        <v>10613347000</v>
      </c>
      <c r="N53" s="2">
        <f>IF(AND(Çeyreklik!N53&lt;&gt;"",Çeyreklik!O53&lt;&gt;"",Çeyreklik!P53&lt;&gt;"",Çeyreklik!Q53&lt;&gt;""),Çeyreklik!N53+Çeyreklik!O53+Çeyreklik!P53+Çeyreklik!Q53,"")</f>
        <v>9163188000</v>
      </c>
      <c r="O53" s="2">
        <f>IF(AND(Çeyreklik!O53&lt;&gt;"",Çeyreklik!P53&lt;&gt;"",Çeyreklik!Q53&lt;&gt;"",Çeyreklik!R53&lt;&gt;""),Çeyreklik!O53+Çeyreklik!P53+Çeyreklik!Q53+Çeyreklik!R53,"")</f>
        <v>10741258000</v>
      </c>
      <c r="P53" s="2">
        <f>IF(AND(Çeyreklik!P53&lt;&gt;"",Çeyreklik!Q53&lt;&gt;"",Çeyreklik!R53&lt;&gt;"",Çeyreklik!S53&lt;&gt;""),Çeyreklik!P53+Çeyreklik!Q53+Çeyreklik!R53+Çeyreklik!S53,"")</f>
        <v>6420667000</v>
      </c>
      <c r="Q53" s="2">
        <f>IF(AND(Çeyreklik!Q53&lt;&gt;"",Çeyreklik!R53&lt;&gt;"",Çeyreklik!S53&lt;&gt;"",Çeyreklik!T53&lt;&gt;""),Çeyreklik!Q53+Çeyreklik!R53+Çeyreklik!S53+Çeyreklik!T53,"")</f>
        <v>7259933530</v>
      </c>
      <c r="R53" s="2">
        <f>IF(AND(Çeyreklik!R53&lt;&gt;"",Çeyreklik!S53&lt;&gt;"",Çeyreklik!T53&lt;&gt;"",Çeyreklik!U53&lt;&gt;""),Çeyreklik!R53+Çeyreklik!S53+Çeyreklik!T53+Çeyreklik!U53,"")</f>
        <v>2780075530</v>
      </c>
      <c r="S53" s="2">
        <f>IF(AND(Çeyreklik!S53&lt;&gt;"",Çeyreklik!T53&lt;&gt;"",Çeyreklik!U53&lt;&gt;"",Çeyreklik!V53&lt;&gt;""),Çeyreklik!S53+Çeyreklik!T53+Çeyreklik!U53+Çeyreklik!V53,"")</f>
        <v>-224270470</v>
      </c>
      <c r="T53" s="2">
        <f>IF(AND(Çeyreklik!T53&lt;&gt;"",Çeyreklik!U53&lt;&gt;"",Çeyreklik!V53&lt;&gt;"",Çeyreklik!W53&lt;&gt;""),Çeyreklik!T53+Çeyreklik!U53+Çeyreklik!V53+Çeyreklik!W53,"")</f>
        <v>3227909530</v>
      </c>
    </row>
    <row r="54" spans="1:20" x14ac:dyDescent="0.25">
      <c r="A54" t="str">
        <f>Çeyreklik!A54</f>
        <v xml:space="preserve"> Düzeltme Öncesi Kar</v>
      </c>
      <c r="B54" s="2">
        <f>IF(AND(Çeyreklik!B54&lt;&gt;"",Çeyreklik!C54&lt;&gt;"",Çeyreklik!D54&lt;&gt;"",Çeyreklik!E54&lt;&gt;""),Çeyreklik!B54+Çeyreklik!C54+Çeyreklik!D54+Çeyreklik!E54,"")</f>
        <v>1805684000</v>
      </c>
      <c r="C54" s="2">
        <f>IF(AND(Çeyreklik!C54&lt;&gt;"",Çeyreklik!D54&lt;&gt;"",Çeyreklik!E54&lt;&gt;"",Çeyreklik!F54&lt;&gt;""),Çeyreklik!C54+Çeyreklik!D54+Çeyreklik!E54+Çeyreklik!F54,"")</f>
        <v>1513273000</v>
      </c>
      <c r="D54" s="2">
        <f>IF(AND(Çeyreklik!D54&lt;&gt;"",Çeyreklik!E54&lt;&gt;"",Çeyreklik!F54&lt;&gt;"",Çeyreklik!G54&lt;&gt;""),Çeyreklik!D54+Çeyreklik!E54+Çeyreklik!F54+Çeyreklik!G54,"")</f>
        <v>1220837000</v>
      </c>
      <c r="E54" s="2">
        <f>IF(AND(Çeyreklik!E54&lt;&gt;"",Çeyreklik!F54&lt;&gt;"",Çeyreklik!G54&lt;&gt;"",Çeyreklik!H54&lt;&gt;""),Çeyreklik!E54+Çeyreklik!F54+Çeyreklik!G54+Çeyreklik!H54,"")</f>
        <v>-162419000</v>
      </c>
      <c r="F54" s="2">
        <f>IF(AND(Çeyreklik!F54&lt;&gt;"",Çeyreklik!G54&lt;&gt;"",Çeyreklik!H54&lt;&gt;"",Çeyreklik!I54&lt;&gt;""),Çeyreklik!F54+Çeyreklik!G54+Çeyreklik!H54+Çeyreklik!I54,"")</f>
        <v>-986451000</v>
      </c>
      <c r="G54" s="2">
        <f>IF(AND(Çeyreklik!G54&lt;&gt;"",Çeyreklik!H54&lt;&gt;"",Çeyreklik!I54&lt;&gt;"",Çeyreklik!J54&lt;&gt;""),Çeyreklik!G54+Çeyreklik!H54+Çeyreklik!I54+Çeyreklik!J54,"")</f>
        <v>-1788149000</v>
      </c>
      <c r="H54" s="2">
        <f>IF(AND(Çeyreklik!H54&lt;&gt;"",Çeyreklik!I54&lt;&gt;"",Çeyreklik!J54&lt;&gt;"",Çeyreklik!K54&lt;&gt;""),Çeyreklik!H54+Çeyreklik!I54+Çeyreklik!J54+Çeyreklik!K54,"")</f>
        <v>-1921455000</v>
      </c>
      <c r="I54" s="2">
        <f>IF(AND(Çeyreklik!I54&lt;&gt;"",Çeyreklik!J54&lt;&gt;"",Çeyreklik!K54&lt;&gt;"",Çeyreklik!L54&lt;&gt;""),Çeyreklik!I54+Çeyreklik!J54+Çeyreklik!K54+Çeyreklik!L54,"")</f>
        <v>1429506000</v>
      </c>
      <c r="J54" s="2">
        <f>IF(AND(Çeyreklik!J54&lt;&gt;"",Çeyreklik!K54&lt;&gt;"",Çeyreklik!L54&lt;&gt;"",Çeyreklik!M54&lt;&gt;""),Çeyreklik!J54+Çeyreklik!K54+Çeyreklik!L54+Çeyreklik!M54,"")</f>
        <v>4250776000</v>
      </c>
      <c r="K54" s="2">
        <f>IF(AND(Çeyreklik!K54&lt;&gt;"",Çeyreklik!L54&lt;&gt;"",Çeyreklik!M54&lt;&gt;"",Çeyreklik!N54&lt;&gt;""),Çeyreklik!K54+Çeyreklik!L54+Çeyreklik!M54+Çeyreklik!N54,"")</f>
        <v>2939510000</v>
      </c>
      <c r="L54" s="2">
        <f>IF(AND(Çeyreklik!L54&lt;&gt;"",Çeyreklik!M54&lt;&gt;"",Çeyreklik!N54&lt;&gt;"",Çeyreklik!O54&lt;&gt;""),Çeyreklik!L54+Çeyreklik!M54+Çeyreklik!N54+Çeyreklik!O54,"")</f>
        <v>6484700000</v>
      </c>
      <c r="M54" s="2">
        <f>IF(AND(Çeyreklik!M54&lt;&gt;"",Çeyreklik!N54&lt;&gt;"",Çeyreklik!O54&lt;&gt;"",Çeyreklik!P54&lt;&gt;""),Çeyreklik!M54+Çeyreklik!N54+Çeyreklik!O54+Çeyreklik!P54,"")</f>
        <v>6096775000</v>
      </c>
      <c r="N54" s="2">
        <f>IF(AND(Çeyreklik!N54&lt;&gt;"",Çeyreklik!O54&lt;&gt;"",Çeyreklik!P54&lt;&gt;"",Çeyreklik!Q54&lt;&gt;""),Çeyreklik!N54+Çeyreklik!O54+Çeyreklik!P54+Çeyreklik!Q54,"")</f>
        <v>7033032000</v>
      </c>
      <c r="O54" s="2">
        <f>IF(AND(Çeyreklik!O54&lt;&gt;"",Çeyreklik!P54&lt;&gt;"",Çeyreklik!Q54&lt;&gt;"",Çeyreklik!R54&lt;&gt;""),Çeyreklik!O54+Çeyreklik!P54+Çeyreklik!Q54+Çeyreklik!R54,"")</f>
        <v>10906942000</v>
      </c>
      <c r="P54" s="2">
        <f>IF(AND(Çeyreklik!P54&lt;&gt;"",Çeyreklik!Q54&lt;&gt;"",Çeyreklik!R54&lt;&gt;"",Çeyreklik!S54&lt;&gt;""),Çeyreklik!P54+Çeyreklik!Q54+Çeyreklik!R54+Çeyreklik!S54,"")</f>
        <v>8548109000</v>
      </c>
      <c r="Q54" s="2">
        <f>IF(AND(Çeyreklik!Q54&lt;&gt;"",Çeyreklik!R54&lt;&gt;"",Çeyreklik!S54&lt;&gt;"",Çeyreklik!T54&lt;&gt;""),Çeyreklik!Q54+Çeyreklik!R54+Çeyreklik!S54+Çeyreklik!T54,"")</f>
        <v>10054568716</v>
      </c>
      <c r="R54" s="2">
        <f>IF(AND(Çeyreklik!R54&lt;&gt;"",Çeyreklik!S54&lt;&gt;"",Çeyreklik!T54&lt;&gt;"",Çeyreklik!U54&lt;&gt;""),Çeyreklik!R54+Çeyreklik!S54+Çeyreklik!T54+Çeyreklik!U54,"")</f>
        <v>9207142716</v>
      </c>
      <c r="S54" s="2">
        <f>IF(AND(Çeyreklik!S54&lt;&gt;"",Çeyreklik!T54&lt;&gt;"",Çeyreklik!U54&lt;&gt;"",Çeyreklik!V54&lt;&gt;""),Çeyreklik!S54+Çeyreklik!T54+Çeyreklik!U54+Çeyreklik!V54,"")</f>
        <v>8110226716</v>
      </c>
      <c r="T54" s="2">
        <f>IF(AND(Çeyreklik!T54&lt;&gt;"",Çeyreklik!U54&lt;&gt;"",Çeyreklik!V54&lt;&gt;"",Çeyreklik!W54&lt;&gt;""),Çeyreklik!T54+Çeyreklik!U54+Çeyreklik!V54+Çeyreklik!W54,"")</f>
        <v>8388865716</v>
      </c>
    </row>
    <row r="55" spans="1:20" x14ac:dyDescent="0.25">
      <c r="A55" t="str">
        <f>Çeyreklik!A55</f>
        <v xml:space="preserve"> Düzeltmeler:</v>
      </c>
      <c r="B55" s="2">
        <f>IF(AND(Çeyreklik!B55&lt;&gt;"",Çeyreklik!C55&lt;&gt;"",Çeyreklik!D55&lt;&gt;"",Çeyreklik!E55&lt;&gt;""),Çeyreklik!B55+Çeyreklik!C55+Çeyreklik!D55+Çeyreklik!E55,"")</f>
        <v>406395000</v>
      </c>
      <c r="C55" s="2">
        <f>IF(AND(Çeyreklik!C55&lt;&gt;"",Çeyreklik!D55&lt;&gt;"",Çeyreklik!E55&lt;&gt;"",Çeyreklik!F55&lt;&gt;""),Çeyreklik!C55+Çeyreklik!D55+Çeyreklik!E55+Çeyreklik!F55,"")</f>
        <v>859553000</v>
      </c>
      <c r="D55" s="2">
        <f>IF(AND(Çeyreklik!D55&lt;&gt;"",Çeyreklik!E55&lt;&gt;"",Çeyreklik!F55&lt;&gt;"",Çeyreklik!G55&lt;&gt;""),Çeyreklik!D55+Çeyreklik!E55+Çeyreklik!F55+Çeyreklik!G55,"")</f>
        <v>945603000</v>
      </c>
      <c r="E55" s="2">
        <f>IF(AND(Çeyreklik!E55&lt;&gt;"",Çeyreklik!F55&lt;&gt;"",Çeyreklik!G55&lt;&gt;"",Çeyreklik!H55&lt;&gt;""),Çeyreklik!E55+Çeyreklik!F55+Çeyreklik!G55+Çeyreklik!H55,"")</f>
        <v>3145238000</v>
      </c>
      <c r="F55" s="2">
        <f>IF(AND(Çeyreklik!F55&lt;&gt;"",Çeyreklik!G55&lt;&gt;"",Çeyreklik!H55&lt;&gt;"",Çeyreklik!I55&lt;&gt;""),Çeyreklik!F55+Çeyreklik!G55+Çeyreklik!H55+Çeyreklik!I55,"")</f>
        <v>5055001000</v>
      </c>
      <c r="G55" s="2">
        <f>IF(AND(Çeyreklik!G55&lt;&gt;"",Çeyreklik!H55&lt;&gt;"",Çeyreklik!I55&lt;&gt;"",Çeyreklik!J55&lt;&gt;""),Çeyreklik!G55+Çeyreklik!H55+Çeyreklik!I55+Çeyreklik!J55,"")</f>
        <v>6720636000</v>
      </c>
      <c r="H55" s="2">
        <f>IF(AND(Çeyreklik!H55&lt;&gt;"",Çeyreklik!I55&lt;&gt;"",Çeyreklik!J55&lt;&gt;"",Çeyreklik!K55&lt;&gt;""),Çeyreklik!H55+Çeyreklik!I55+Çeyreklik!J55+Çeyreklik!K55,"")</f>
        <v>8183729000</v>
      </c>
      <c r="I55" s="2">
        <f>IF(AND(Çeyreklik!I55&lt;&gt;"",Çeyreklik!J55&lt;&gt;"",Çeyreklik!K55&lt;&gt;"",Çeyreklik!L55&lt;&gt;""),Çeyreklik!I55+Çeyreklik!J55+Çeyreklik!K55+Çeyreklik!L55,"")</f>
        <v>9162595000</v>
      </c>
      <c r="J55" s="2">
        <f>IF(AND(Çeyreklik!J55&lt;&gt;"",Çeyreklik!K55&lt;&gt;"",Çeyreklik!L55&lt;&gt;"",Çeyreklik!M55&lt;&gt;""),Çeyreklik!J55+Çeyreklik!K55+Çeyreklik!L55+Çeyreklik!M55,"")</f>
        <v>10162444000</v>
      </c>
      <c r="K55" s="2">
        <f>IF(AND(Çeyreklik!K55&lt;&gt;"",Çeyreklik!L55&lt;&gt;"",Çeyreklik!M55&lt;&gt;"",Çeyreklik!N55&lt;&gt;""),Çeyreklik!K55+Çeyreklik!L55+Çeyreklik!M55+Çeyreklik!N55,"")</f>
        <v>15636305000</v>
      </c>
      <c r="L55" s="2">
        <f>IF(AND(Çeyreklik!L55&lt;&gt;"",Çeyreklik!M55&lt;&gt;"",Çeyreklik!N55&lt;&gt;"",Çeyreklik!O55&lt;&gt;""),Çeyreklik!L55+Çeyreklik!M55+Çeyreklik!N55+Çeyreklik!O55,"")</f>
        <v>14602370000</v>
      </c>
      <c r="M55" s="2">
        <f>IF(AND(Çeyreklik!M55&lt;&gt;"",Çeyreklik!N55&lt;&gt;"",Çeyreklik!O55&lt;&gt;"",Çeyreklik!P55&lt;&gt;""),Çeyreklik!M55+Çeyreklik!N55+Çeyreklik!O55+Çeyreklik!P55,"")</f>
        <v>13663174000</v>
      </c>
      <c r="N55" s="2">
        <f>IF(AND(Çeyreklik!N55&lt;&gt;"",Çeyreklik!O55&lt;&gt;"",Çeyreklik!P55&lt;&gt;"",Çeyreklik!Q55&lt;&gt;""),Çeyreklik!N55+Çeyreklik!O55+Çeyreklik!P55+Çeyreklik!Q55,"")</f>
        <v>14852561000</v>
      </c>
      <c r="O55" s="2">
        <f>IF(AND(Çeyreklik!O55&lt;&gt;"",Çeyreklik!P55&lt;&gt;"",Çeyreklik!Q55&lt;&gt;"",Çeyreklik!R55&lt;&gt;""),Çeyreklik!O55+Çeyreklik!P55+Çeyreklik!Q55+Çeyreklik!R55,"")</f>
        <v>9681827000</v>
      </c>
      <c r="P55" s="2">
        <f>IF(AND(Çeyreklik!P55&lt;&gt;"",Çeyreklik!Q55&lt;&gt;"",Çeyreklik!R55&lt;&gt;"",Çeyreklik!S55&lt;&gt;""),Çeyreklik!P55+Çeyreklik!Q55+Çeyreklik!R55+Çeyreklik!S55,"")</f>
        <v>12876537000</v>
      </c>
      <c r="Q55" s="2">
        <f>IF(AND(Çeyreklik!Q55&lt;&gt;"",Çeyreklik!R55&lt;&gt;"",Çeyreklik!S55&lt;&gt;"",Çeyreklik!T55&lt;&gt;""),Çeyreklik!Q55+Çeyreklik!R55+Çeyreklik!S55+Çeyreklik!T55,"")</f>
        <v>12807179972</v>
      </c>
      <c r="R55" s="2">
        <f>IF(AND(Çeyreklik!R55&lt;&gt;"",Çeyreklik!S55&lt;&gt;"",Çeyreklik!T55&lt;&gt;"",Çeyreklik!U55&lt;&gt;""),Çeyreklik!R55+Çeyreklik!S55+Çeyreklik!T55+Çeyreklik!U55,"")</f>
        <v>13431303972</v>
      </c>
      <c r="S55" s="2">
        <f>IF(AND(Çeyreklik!S55&lt;&gt;"",Çeyreklik!T55&lt;&gt;"",Çeyreklik!U55&lt;&gt;"",Çeyreklik!V55&lt;&gt;""),Çeyreklik!S55+Çeyreklik!T55+Çeyreklik!U55+Çeyreklik!V55,"")</f>
        <v>14797893972</v>
      </c>
      <c r="T55" s="2">
        <f>IF(AND(Çeyreklik!T55&lt;&gt;"",Çeyreklik!U55&lt;&gt;"",Çeyreklik!V55&lt;&gt;"",Çeyreklik!W55&lt;&gt;""),Çeyreklik!T55+Çeyreklik!U55+Çeyreklik!V55+Çeyreklik!W55,"")</f>
        <v>15054347972</v>
      </c>
    </row>
    <row r="56" spans="1:20" x14ac:dyDescent="0.25">
      <c r="A56" t="str">
        <f>Çeyreklik!A56</f>
        <v xml:space="preserve">  Amortisman &amp; İtfa Payları</v>
      </c>
      <c r="B56" s="2">
        <f>IF(AND(Çeyreklik!B56&lt;&gt;"",Çeyreklik!C56&lt;&gt;"",Çeyreklik!D56&lt;&gt;"",Çeyreklik!E56&lt;&gt;""),Çeyreklik!B56+Çeyreklik!C56+Çeyreklik!D56+Çeyreklik!E56,"")</f>
        <v>208251000</v>
      </c>
      <c r="C56" s="2">
        <f>IF(AND(Çeyreklik!C56&lt;&gt;"",Çeyreklik!D56&lt;&gt;"",Çeyreklik!E56&lt;&gt;"",Çeyreklik!F56&lt;&gt;""),Çeyreklik!C56+Çeyreklik!D56+Çeyreklik!E56+Çeyreklik!F56,"")</f>
        <v>218619000</v>
      </c>
      <c r="D56" s="2">
        <f>IF(AND(Çeyreklik!D56&lt;&gt;"",Çeyreklik!E56&lt;&gt;"",Çeyreklik!F56&lt;&gt;"",Çeyreklik!G56&lt;&gt;""),Çeyreklik!D56+Çeyreklik!E56+Çeyreklik!F56+Çeyreklik!G56,"")</f>
        <v>221970000</v>
      </c>
      <c r="E56" s="2">
        <f>IF(AND(Çeyreklik!E56&lt;&gt;"",Çeyreklik!F56&lt;&gt;"",Çeyreklik!G56&lt;&gt;"",Çeyreklik!H56&lt;&gt;""),Çeyreklik!E56+Çeyreklik!F56+Çeyreklik!G56+Çeyreklik!H56,"")</f>
        <v>230009000</v>
      </c>
      <c r="F56" s="2">
        <f>IF(AND(Çeyreklik!F56&lt;&gt;"",Çeyreklik!G56&lt;&gt;"",Çeyreklik!H56&lt;&gt;"",Çeyreklik!I56&lt;&gt;""),Çeyreklik!F56+Çeyreklik!G56+Çeyreklik!H56+Çeyreklik!I56,"")</f>
        <v>255102000</v>
      </c>
      <c r="G56" s="2">
        <f>IF(AND(Çeyreklik!G56&lt;&gt;"",Çeyreklik!H56&lt;&gt;"",Çeyreklik!I56&lt;&gt;"",Çeyreklik!J56&lt;&gt;""),Çeyreklik!G56+Çeyreklik!H56+Çeyreklik!I56+Çeyreklik!J56,"")</f>
        <v>282453000</v>
      </c>
      <c r="H56" s="2">
        <f>IF(AND(Çeyreklik!H56&lt;&gt;"",Çeyreklik!I56&lt;&gt;"",Çeyreklik!J56&lt;&gt;"",Çeyreklik!K56&lt;&gt;""),Çeyreklik!H56+Çeyreklik!I56+Çeyreklik!J56+Çeyreklik!K56,"")</f>
        <v>311929000</v>
      </c>
      <c r="I56" s="2">
        <f>IF(AND(Çeyreklik!I56&lt;&gt;"",Çeyreklik!J56&lt;&gt;"",Çeyreklik!K56&lt;&gt;"",Çeyreklik!L56&lt;&gt;""),Çeyreklik!I56+Çeyreklik!J56+Çeyreklik!K56+Çeyreklik!L56,"")</f>
        <v>1167767000</v>
      </c>
      <c r="J56" s="2">
        <f>IF(AND(Çeyreklik!J56&lt;&gt;"",Çeyreklik!K56&lt;&gt;"",Çeyreklik!L56&lt;&gt;"",Çeyreklik!M56&lt;&gt;""),Çeyreklik!J56+Çeyreklik!K56+Çeyreklik!L56+Çeyreklik!M56,"")</f>
        <v>1450538000</v>
      </c>
      <c r="K56" s="2">
        <f>IF(AND(Çeyreklik!K56&lt;&gt;"",Çeyreklik!L56&lt;&gt;"",Çeyreklik!M56&lt;&gt;"",Çeyreklik!N56&lt;&gt;""),Çeyreklik!K56+Çeyreklik!L56+Çeyreklik!M56+Çeyreklik!N56,"")</f>
        <v>1782729000</v>
      </c>
      <c r="L56" s="2">
        <f>IF(AND(Çeyreklik!L56&lt;&gt;"",Çeyreklik!M56&lt;&gt;"",Çeyreklik!N56&lt;&gt;"",Çeyreklik!O56&lt;&gt;""),Çeyreklik!L56+Çeyreklik!M56+Çeyreklik!N56+Çeyreklik!O56,"")</f>
        <v>2147592000</v>
      </c>
      <c r="M56" s="2">
        <f>IF(AND(Çeyreklik!M56&lt;&gt;"",Çeyreklik!N56&lt;&gt;"",Çeyreklik!O56&lt;&gt;"",Çeyreklik!P56&lt;&gt;""),Çeyreklik!M56+Çeyreklik!N56+Çeyreklik!O56+Çeyreklik!P56,"")</f>
        <v>1709601000</v>
      </c>
      <c r="N56" s="2">
        <f>IF(AND(Çeyreklik!N56&lt;&gt;"",Çeyreklik!O56&lt;&gt;"",Çeyreklik!P56&lt;&gt;"",Çeyreklik!Q56&lt;&gt;""),Çeyreklik!N56+Çeyreklik!O56+Çeyreklik!P56+Çeyreklik!Q56,"")</f>
        <v>1869419000</v>
      </c>
      <c r="O56" s="2">
        <f>IF(AND(Çeyreklik!O56&lt;&gt;"",Çeyreklik!P56&lt;&gt;"",Çeyreklik!Q56&lt;&gt;"",Çeyreklik!R56&lt;&gt;""),Çeyreklik!O56+Çeyreklik!P56+Çeyreklik!Q56+Çeyreklik!R56,"")</f>
        <v>1980175000</v>
      </c>
      <c r="P56" s="2">
        <f>IF(AND(Çeyreklik!P56&lt;&gt;"",Çeyreklik!Q56&lt;&gt;"",Çeyreklik!R56&lt;&gt;"",Çeyreklik!S56&lt;&gt;""),Çeyreklik!P56+Çeyreklik!Q56+Çeyreklik!R56+Çeyreklik!S56,"")</f>
        <v>2111247000</v>
      </c>
      <c r="Q56" s="2">
        <f>IF(AND(Çeyreklik!Q56&lt;&gt;"",Çeyreklik!R56&lt;&gt;"",Çeyreklik!S56&lt;&gt;"",Çeyreklik!T56&lt;&gt;""),Çeyreklik!Q56+Çeyreklik!R56+Çeyreklik!S56+Çeyreklik!T56,"")</f>
        <v>2283603688</v>
      </c>
      <c r="R56" s="2">
        <f>IF(AND(Çeyreklik!R56&lt;&gt;"",Çeyreklik!S56&lt;&gt;"",Çeyreklik!T56&lt;&gt;"",Çeyreklik!U56&lt;&gt;""),Çeyreklik!R56+Çeyreklik!S56+Çeyreklik!T56+Çeyreklik!U56,"")</f>
        <v>2283938688</v>
      </c>
      <c r="S56" s="2">
        <f>IF(AND(Çeyreklik!S56&lt;&gt;"",Çeyreklik!T56&lt;&gt;"",Çeyreklik!U56&lt;&gt;"",Çeyreklik!V56&lt;&gt;""),Çeyreklik!S56+Çeyreklik!T56+Çeyreklik!U56+Çeyreklik!V56,"")</f>
        <v>2302508688</v>
      </c>
      <c r="T56" s="2">
        <f>IF(AND(Çeyreklik!T56&lt;&gt;"",Çeyreklik!U56&lt;&gt;"",Çeyreklik!V56&lt;&gt;"",Çeyreklik!W56&lt;&gt;""),Çeyreklik!T56+Çeyreklik!U56+Çeyreklik!V56+Çeyreklik!W56,"")</f>
        <v>2422707688</v>
      </c>
    </row>
    <row r="57" spans="1:20" x14ac:dyDescent="0.25">
      <c r="A57" t="str">
        <f>Çeyreklik!A57</f>
        <v xml:space="preserve">  Karşılıklardaki Değişim</v>
      </c>
      <c r="B57" s="2">
        <f>IF(AND(Çeyreklik!B57&lt;&gt;"",Çeyreklik!C57&lt;&gt;"",Çeyreklik!D57&lt;&gt;"",Çeyreklik!E57&lt;&gt;""),Çeyreklik!B57+Çeyreklik!C57+Çeyreklik!D57+Çeyreklik!E57,"")</f>
        <v>163648000</v>
      </c>
      <c r="C57" s="2">
        <f>IF(AND(Çeyreklik!C57&lt;&gt;"",Çeyreklik!D57&lt;&gt;"",Çeyreklik!E57&lt;&gt;"",Çeyreklik!F57&lt;&gt;""),Çeyreklik!C57+Çeyreklik!D57+Çeyreklik!E57+Çeyreklik!F57,"")</f>
        <v>260551000</v>
      </c>
      <c r="D57" s="2">
        <f>IF(AND(Çeyreklik!D57&lt;&gt;"",Çeyreklik!E57&lt;&gt;"",Çeyreklik!F57&lt;&gt;"",Çeyreklik!G57&lt;&gt;""),Çeyreklik!D57+Çeyreklik!E57+Çeyreklik!F57+Çeyreklik!G57,"")</f>
        <v>211229000</v>
      </c>
      <c r="E57" s="2">
        <f>IF(AND(Çeyreklik!E57&lt;&gt;"",Çeyreklik!F57&lt;&gt;"",Çeyreklik!G57&lt;&gt;"",Çeyreklik!H57&lt;&gt;""),Çeyreklik!E57+Çeyreklik!F57+Çeyreklik!G57+Çeyreklik!H57,"")</f>
        <v>317939000</v>
      </c>
      <c r="F57" s="2">
        <f>IF(AND(Çeyreklik!F57&lt;&gt;"",Çeyreklik!G57&lt;&gt;"",Çeyreklik!H57&lt;&gt;"",Çeyreklik!I57&lt;&gt;""),Çeyreklik!F57+Çeyreklik!G57+Çeyreklik!H57+Çeyreklik!I57,"")</f>
        <v>528666000</v>
      </c>
      <c r="G57" s="2">
        <f>IF(AND(Çeyreklik!G57&lt;&gt;"",Çeyreklik!H57&lt;&gt;"",Çeyreklik!I57&lt;&gt;"",Çeyreklik!J57&lt;&gt;""),Çeyreklik!G57+Çeyreklik!H57+Çeyreklik!I57+Çeyreklik!J57,"")</f>
        <v>476614000</v>
      </c>
      <c r="H57" s="2">
        <f>IF(AND(Çeyreklik!H57&lt;&gt;"",Çeyreklik!I57&lt;&gt;"",Çeyreklik!J57&lt;&gt;"",Çeyreklik!K57&lt;&gt;""),Çeyreklik!H57+Çeyreklik!I57+Çeyreklik!J57+Çeyreklik!K57,"")</f>
        <v>638639000</v>
      </c>
      <c r="I57" s="2">
        <f>IF(AND(Çeyreklik!I57&lt;&gt;"",Çeyreklik!J57&lt;&gt;"",Çeyreklik!K57&lt;&gt;"",Çeyreklik!L57&lt;&gt;""),Çeyreklik!I57+Çeyreklik!J57+Çeyreklik!K57+Çeyreklik!L57,"")</f>
        <v>456974000</v>
      </c>
      <c r="J57" s="2">
        <f>IF(AND(Çeyreklik!J57&lt;&gt;"",Çeyreklik!K57&lt;&gt;"",Çeyreklik!L57&lt;&gt;"",Çeyreklik!M57&lt;&gt;""),Çeyreklik!J57+Çeyreklik!K57+Çeyreklik!L57+Çeyreklik!M57,"")</f>
        <v>1578730000</v>
      </c>
      <c r="K57" s="2">
        <f>IF(AND(Çeyreklik!K57&lt;&gt;"",Çeyreklik!L57&lt;&gt;"",Çeyreklik!M57&lt;&gt;"",Çeyreklik!N57&lt;&gt;""),Çeyreklik!K57+Çeyreklik!L57+Çeyreklik!M57+Çeyreklik!N57,"")</f>
        <v>1426536000</v>
      </c>
      <c r="L57" s="2">
        <f>IF(AND(Çeyreklik!L57&lt;&gt;"",Çeyreklik!M57&lt;&gt;"",Çeyreklik!N57&lt;&gt;"",Çeyreklik!O57&lt;&gt;""),Çeyreklik!L57+Çeyreklik!M57+Çeyreklik!N57+Çeyreklik!O57,"")</f>
        <v>1276077000</v>
      </c>
      <c r="M57" s="2">
        <f>IF(AND(Çeyreklik!M57&lt;&gt;"",Çeyreklik!N57&lt;&gt;"",Çeyreklik!O57&lt;&gt;"",Çeyreklik!P57&lt;&gt;""),Çeyreklik!M57+Çeyreklik!N57+Çeyreklik!O57+Çeyreklik!P57,"")</f>
        <v>1182273000</v>
      </c>
      <c r="N57" s="2">
        <f>IF(AND(Çeyreklik!N57&lt;&gt;"",Çeyreklik!O57&lt;&gt;"",Çeyreklik!P57&lt;&gt;"",Çeyreklik!Q57&lt;&gt;""),Çeyreklik!N57+Çeyreklik!O57+Çeyreklik!P57+Çeyreklik!Q57,"")</f>
        <v>993453000</v>
      </c>
      <c r="O57" s="2">
        <f>IF(AND(Çeyreklik!O57&lt;&gt;"",Çeyreklik!P57&lt;&gt;"",Çeyreklik!Q57&lt;&gt;"",Çeyreklik!R57&lt;&gt;""),Çeyreklik!O57+Çeyreklik!P57+Çeyreklik!Q57+Çeyreklik!R57,"")</f>
        <v>1222968000</v>
      </c>
      <c r="P57" s="2">
        <f>IF(AND(Çeyreklik!P57&lt;&gt;"",Çeyreklik!Q57&lt;&gt;"",Çeyreklik!R57&lt;&gt;"",Çeyreklik!S57&lt;&gt;""),Çeyreklik!P57+Çeyreklik!Q57+Çeyreklik!R57+Çeyreklik!S57,"")</f>
        <v>1333930000</v>
      </c>
      <c r="Q57" s="2">
        <f>IF(AND(Çeyreklik!Q57&lt;&gt;"",Çeyreklik!R57&lt;&gt;"",Çeyreklik!S57&lt;&gt;"",Çeyreklik!T57&lt;&gt;""),Çeyreklik!Q57+Çeyreklik!R57+Çeyreklik!S57+Çeyreklik!T57,"")</f>
        <v>1373810207</v>
      </c>
      <c r="R57" s="2">
        <f>IF(AND(Çeyreklik!R57&lt;&gt;"",Çeyreklik!S57&lt;&gt;"",Çeyreklik!T57&lt;&gt;"",Çeyreklik!U57&lt;&gt;""),Çeyreklik!R57+Çeyreklik!S57+Çeyreklik!T57+Çeyreklik!U57,"")</f>
        <v>1631568207</v>
      </c>
      <c r="S57" s="2">
        <f>IF(AND(Çeyreklik!S57&lt;&gt;"",Çeyreklik!T57&lt;&gt;"",Çeyreklik!U57&lt;&gt;"",Çeyreklik!V57&lt;&gt;""),Çeyreklik!S57+Çeyreklik!T57+Çeyreklik!U57+Çeyreklik!V57,"")</f>
        <v>1609914207</v>
      </c>
      <c r="T57" s="2">
        <f>IF(AND(Çeyreklik!T57&lt;&gt;"",Çeyreklik!U57&lt;&gt;"",Çeyreklik!V57&lt;&gt;"",Çeyreklik!W57&lt;&gt;""),Çeyreklik!T57+Çeyreklik!U57+Çeyreklik!V57+Çeyreklik!W57,"")</f>
        <v>1757467207</v>
      </c>
    </row>
    <row r="58" spans="1:20" x14ac:dyDescent="0.25">
      <c r="A58" t="str">
        <f>Çeyreklik!A58</f>
        <v xml:space="preserve">  Diğer Gelir/ Gider</v>
      </c>
      <c r="B58" s="2">
        <f>IF(AND(Çeyreklik!B58&lt;&gt;"",Çeyreklik!C58&lt;&gt;"",Çeyreklik!D58&lt;&gt;"",Çeyreklik!E58&lt;&gt;""),Çeyreklik!B58+Çeyreklik!C58+Çeyreklik!D58+Çeyreklik!E58,"")</f>
        <v>34496000</v>
      </c>
      <c r="C58" s="2">
        <f>IF(AND(Çeyreklik!C58&lt;&gt;"",Çeyreklik!D58&lt;&gt;"",Çeyreklik!E58&lt;&gt;"",Çeyreklik!F58&lt;&gt;""),Çeyreklik!C58+Çeyreklik!D58+Çeyreklik!E58+Çeyreklik!F58,"")</f>
        <v>380383000</v>
      </c>
      <c r="D58" s="2">
        <f>IF(AND(Çeyreklik!D58&lt;&gt;"",Çeyreklik!E58&lt;&gt;"",Çeyreklik!F58&lt;&gt;"",Çeyreklik!G58&lt;&gt;""),Çeyreklik!D58+Çeyreklik!E58+Çeyreklik!F58+Çeyreklik!G58,"")</f>
        <v>512404000</v>
      </c>
      <c r="E58" s="2">
        <f>IF(AND(Çeyreklik!E58&lt;&gt;"",Çeyreklik!F58&lt;&gt;"",Çeyreklik!G58&lt;&gt;"",Çeyreklik!H58&lt;&gt;""),Çeyreklik!E58+Çeyreklik!F58+Çeyreklik!G58+Çeyreklik!H58,"")</f>
        <v>2597290000</v>
      </c>
      <c r="F58" s="2">
        <f>IF(AND(Çeyreklik!F58&lt;&gt;"",Çeyreklik!G58&lt;&gt;"",Çeyreklik!H58&lt;&gt;"",Çeyreklik!I58&lt;&gt;""),Çeyreklik!F58+Çeyreklik!G58+Çeyreklik!H58+Çeyreklik!I58,"")</f>
        <v>4271233000</v>
      </c>
      <c r="G58" s="2">
        <f>IF(AND(Çeyreklik!G58&lt;&gt;"",Çeyreklik!H58&lt;&gt;"",Çeyreklik!I58&lt;&gt;"",Çeyreklik!J58&lt;&gt;""),Çeyreklik!G58+Çeyreklik!H58+Çeyreklik!I58+Çeyreklik!J58,"")</f>
        <v>5961569000</v>
      </c>
      <c r="H58" s="2">
        <f>IF(AND(Çeyreklik!H58&lt;&gt;"",Çeyreklik!I58&lt;&gt;"",Çeyreklik!J58&lt;&gt;"",Çeyreklik!K58&lt;&gt;""),Çeyreklik!H58+Çeyreklik!I58+Çeyreklik!J58+Çeyreklik!K58,"")</f>
        <v>7233161000</v>
      </c>
      <c r="I58" s="2">
        <f>IF(AND(Çeyreklik!I58&lt;&gt;"",Çeyreklik!J58&lt;&gt;"",Çeyreklik!K58&lt;&gt;"",Çeyreklik!L58&lt;&gt;""),Çeyreklik!I58+Çeyreklik!J58+Çeyreklik!K58+Çeyreklik!L58,"")</f>
        <v>7537854000</v>
      </c>
      <c r="J58" s="2">
        <f>IF(AND(Çeyreklik!J58&lt;&gt;"",Çeyreklik!K58&lt;&gt;"",Çeyreklik!L58&lt;&gt;"",Çeyreklik!M58&lt;&gt;""),Çeyreklik!J58+Çeyreklik!K58+Çeyreklik!L58+Çeyreklik!M58,"")</f>
        <v>7133176000</v>
      </c>
      <c r="K58" s="2">
        <f>IF(AND(Çeyreklik!K58&lt;&gt;"",Çeyreklik!L58&lt;&gt;"",Çeyreklik!M58&lt;&gt;"",Çeyreklik!N58&lt;&gt;""),Çeyreklik!K58+Çeyreklik!L58+Çeyreklik!M58+Çeyreklik!N58,"")</f>
        <v>13802549000</v>
      </c>
      <c r="L58" s="2">
        <f>IF(AND(Çeyreklik!L58&lt;&gt;"",Çeyreklik!M58&lt;&gt;"",Çeyreklik!N58&lt;&gt;"",Çeyreklik!O58&lt;&gt;""),Çeyreklik!L58+Çeyreklik!M58+Çeyreklik!N58+Çeyreklik!O58,"")</f>
        <v>16018174000</v>
      </c>
      <c r="M58" s="2">
        <f>IF(AND(Çeyreklik!M58&lt;&gt;"",Çeyreklik!N58&lt;&gt;"",Çeyreklik!O58&lt;&gt;"",Çeyreklik!P58&lt;&gt;""),Çeyreklik!M58+Çeyreklik!N58+Çeyreklik!O58+Çeyreklik!P58,"")</f>
        <v>16323687000</v>
      </c>
      <c r="N58" s="2">
        <f>IF(AND(Çeyreklik!N58&lt;&gt;"",Çeyreklik!O58&lt;&gt;"",Çeyreklik!P58&lt;&gt;"",Çeyreklik!Q58&lt;&gt;""),Çeyreklik!N58+Çeyreklik!O58+Çeyreklik!P58+Çeyreklik!Q58,"")</f>
        <v>19233524000</v>
      </c>
      <c r="O58" s="2">
        <f>IF(AND(Çeyreklik!O58&lt;&gt;"",Çeyreklik!P58&lt;&gt;"",Çeyreklik!Q58&lt;&gt;"",Çeyreklik!R58&lt;&gt;""),Çeyreklik!O58+Çeyreklik!P58+Çeyreklik!Q58+Çeyreklik!R58,"")</f>
        <v>13800127000</v>
      </c>
      <c r="P58" s="2">
        <f>IF(AND(Çeyreklik!P58&lt;&gt;"",Çeyreklik!Q58&lt;&gt;"",Çeyreklik!R58&lt;&gt;"",Çeyreklik!S58&lt;&gt;""),Çeyreklik!P58+Çeyreklik!Q58+Çeyreklik!R58+Çeyreklik!S58,"")</f>
        <v>13905263000</v>
      </c>
      <c r="Q58" s="2">
        <f>IF(AND(Çeyreklik!Q58&lt;&gt;"",Çeyreklik!R58&lt;&gt;"",Çeyreklik!S58&lt;&gt;"",Çeyreklik!T58&lt;&gt;""),Çeyreklik!Q58+Çeyreklik!R58+Çeyreklik!S58+Çeyreklik!T58,"")</f>
        <v>12583279378</v>
      </c>
      <c r="R58" s="2">
        <f>IF(AND(Çeyreklik!R58&lt;&gt;"",Çeyreklik!S58&lt;&gt;"",Çeyreklik!T58&lt;&gt;"",Çeyreklik!U58&lt;&gt;""),Çeyreklik!R58+Çeyreklik!S58+Çeyreklik!T58+Çeyreklik!U58,"")</f>
        <v>11926253378</v>
      </c>
      <c r="S58" s="2">
        <f>IF(AND(Çeyreklik!S58&lt;&gt;"",Çeyreklik!T58&lt;&gt;"",Çeyreklik!U58&lt;&gt;"",Çeyreklik!V58&lt;&gt;""),Çeyreklik!S58+Çeyreklik!T58+Çeyreklik!U58+Çeyreklik!V58,"")</f>
        <v>12067133378</v>
      </c>
      <c r="T58" s="2">
        <f>IF(AND(Çeyreklik!T58&lt;&gt;"",Çeyreklik!U58&lt;&gt;"",Çeyreklik!V58&lt;&gt;"",Çeyreklik!W58&lt;&gt;""),Çeyreklik!T58+Çeyreklik!U58+Çeyreklik!V58+Çeyreklik!W58,"")</f>
        <v>12366567378</v>
      </c>
    </row>
    <row r="59" spans="1:20" x14ac:dyDescent="0.25">
      <c r="A59" t="str">
        <f>Çeyreklik!A59</f>
        <v xml:space="preserve"> İşletme Sermayesinde Değişikler Öncesi Faaliyet Karı (+)</v>
      </c>
      <c r="B59" s="2">
        <f>IF(AND(Çeyreklik!B59&lt;&gt;"",Çeyreklik!C59&lt;&gt;"",Çeyreklik!D59&lt;&gt;"",Çeyreklik!E59&lt;&gt;""),Çeyreklik!B59+Çeyreklik!C59+Çeyreklik!D59+Çeyreklik!E59,"")</f>
        <v>2212079000</v>
      </c>
      <c r="C59" s="2">
        <f>IF(AND(Çeyreklik!C59&lt;&gt;"",Çeyreklik!D59&lt;&gt;"",Çeyreklik!E59&lt;&gt;"",Çeyreklik!F59&lt;&gt;""),Çeyreklik!C59+Çeyreklik!D59+Çeyreklik!E59+Çeyreklik!F59,"")</f>
        <v>2372826000</v>
      </c>
      <c r="D59" s="2">
        <f>IF(AND(Çeyreklik!D59&lt;&gt;"",Çeyreklik!E59&lt;&gt;"",Çeyreklik!F59&lt;&gt;"",Çeyreklik!G59&lt;&gt;""),Çeyreklik!D59+Çeyreklik!E59+Çeyreklik!F59+Çeyreklik!G59,"")</f>
        <v>2166440000</v>
      </c>
      <c r="E59" s="2">
        <f>IF(AND(Çeyreklik!E59&lt;&gt;"",Çeyreklik!F59&lt;&gt;"",Çeyreklik!G59&lt;&gt;"",Çeyreklik!H59&lt;&gt;""),Çeyreklik!E59+Çeyreklik!F59+Çeyreklik!G59+Çeyreklik!H59,"")</f>
        <v>2982819000</v>
      </c>
      <c r="F59" s="2">
        <f>IF(AND(Çeyreklik!F59&lt;&gt;"",Çeyreklik!G59&lt;&gt;"",Çeyreklik!H59&lt;&gt;"",Çeyreklik!I59&lt;&gt;""),Çeyreklik!F59+Çeyreklik!G59+Çeyreklik!H59+Çeyreklik!I59,"")</f>
        <v>4068550000</v>
      </c>
      <c r="G59" s="2">
        <f>IF(AND(Çeyreklik!G59&lt;&gt;"",Çeyreklik!H59&lt;&gt;"",Çeyreklik!I59&lt;&gt;"",Çeyreklik!J59&lt;&gt;""),Çeyreklik!G59+Çeyreklik!H59+Çeyreklik!I59+Çeyreklik!J59,"")</f>
        <v>4932487000</v>
      </c>
      <c r="H59" s="2">
        <f>IF(AND(Çeyreklik!H59&lt;&gt;"",Çeyreklik!I59&lt;&gt;"",Çeyreklik!J59&lt;&gt;"",Çeyreklik!K59&lt;&gt;""),Çeyreklik!H59+Çeyreklik!I59+Çeyreklik!J59+Çeyreklik!K59,"")</f>
        <v>6262274000</v>
      </c>
      <c r="I59" s="2">
        <f>IF(AND(Çeyreklik!I59&lt;&gt;"",Çeyreklik!J59&lt;&gt;"",Çeyreklik!K59&lt;&gt;"",Çeyreklik!L59&lt;&gt;""),Çeyreklik!I59+Çeyreklik!J59+Çeyreklik!K59+Çeyreklik!L59,"")</f>
        <v>10592101000</v>
      </c>
      <c r="J59" s="2">
        <f>IF(AND(Çeyreklik!J59&lt;&gt;"",Çeyreklik!K59&lt;&gt;"",Çeyreklik!L59&lt;&gt;"",Çeyreklik!M59&lt;&gt;""),Çeyreklik!J59+Çeyreklik!K59+Çeyreklik!L59+Çeyreklik!M59,"")</f>
        <v>14413220000</v>
      </c>
      <c r="K59" s="2">
        <f>IF(AND(Çeyreklik!K59&lt;&gt;"",Çeyreklik!L59&lt;&gt;"",Çeyreklik!M59&lt;&gt;"",Çeyreklik!N59&lt;&gt;""),Çeyreklik!K59+Çeyreklik!L59+Çeyreklik!M59+Çeyreklik!N59,"")</f>
        <v>18575815000</v>
      </c>
      <c r="L59" s="2">
        <f>IF(AND(Çeyreklik!L59&lt;&gt;"",Çeyreklik!M59&lt;&gt;"",Çeyreklik!N59&lt;&gt;"",Çeyreklik!O59&lt;&gt;""),Çeyreklik!L59+Çeyreklik!M59+Çeyreklik!N59+Çeyreklik!O59,"")</f>
        <v>21087070000</v>
      </c>
      <c r="M59" s="2">
        <f>IF(AND(Çeyreklik!M59&lt;&gt;"",Çeyreklik!N59&lt;&gt;"",Çeyreklik!O59&lt;&gt;"",Çeyreklik!P59&lt;&gt;""),Çeyreklik!M59+Çeyreklik!N59+Çeyreklik!O59+Çeyreklik!P59,"")</f>
        <v>19759949000</v>
      </c>
      <c r="N59" s="2">
        <f>IF(AND(Çeyreklik!N59&lt;&gt;"",Çeyreklik!O59&lt;&gt;"",Çeyreklik!P59&lt;&gt;"",Çeyreklik!Q59&lt;&gt;""),Çeyreklik!N59+Çeyreklik!O59+Çeyreklik!P59+Çeyreklik!Q59,"")</f>
        <v>21885593000</v>
      </c>
      <c r="O59" s="2">
        <f>IF(AND(Çeyreklik!O59&lt;&gt;"",Çeyreklik!P59&lt;&gt;"",Çeyreklik!Q59&lt;&gt;"",Çeyreklik!R59&lt;&gt;""),Çeyreklik!O59+Çeyreklik!P59+Çeyreklik!Q59+Çeyreklik!R59,"")</f>
        <v>20588769000</v>
      </c>
      <c r="P59" s="2">
        <f>IF(AND(Çeyreklik!P59&lt;&gt;"",Çeyreklik!Q59&lt;&gt;"",Çeyreklik!R59&lt;&gt;"",Çeyreklik!S59&lt;&gt;""),Çeyreklik!P59+Çeyreklik!Q59+Çeyreklik!R59+Çeyreklik!S59,"")</f>
        <v>21424646000</v>
      </c>
      <c r="Q59" s="2">
        <f>IF(AND(Çeyreklik!Q59&lt;&gt;"",Çeyreklik!R59&lt;&gt;"",Çeyreklik!S59&lt;&gt;"",Çeyreklik!T59&lt;&gt;""),Çeyreklik!Q59+Çeyreklik!R59+Çeyreklik!S59+Çeyreklik!T59,"")</f>
        <v>22861748688</v>
      </c>
      <c r="R59" s="2">
        <f>IF(AND(Çeyreklik!R59&lt;&gt;"",Çeyreklik!S59&lt;&gt;"",Çeyreklik!T59&lt;&gt;"",Çeyreklik!U59&lt;&gt;""),Çeyreklik!R59+Çeyreklik!S59+Çeyreklik!T59+Çeyreklik!U59,"")</f>
        <v>22638446688</v>
      </c>
      <c r="S59" s="2">
        <f>IF(AND(Çeyreklik!S59&lt;&gt;"",Çeyreklik!T59&lt;&gt;"",Çeyreklik!U59&lt;&gt;"",Çeyreklik!V59&lt;&gt;""),Çeyreklik!S59+Çeyreklik!T59+Çeyreklik!U59+Çeyreklik!V59,"")</f>
        <v>22908120688</v>
      </c>
      <c r="T59" s="2">
        <f>IF(AND(Çeyreklik!T59&lt;&gt;"",Çeyreklik!U59&lt;&gt;"",Çeyreklik!V59&lt;&gt;"",Çeyreklik!W59&lt;&gt;""),Çeyreklik!T59+Çeyreklik!U59+Çeyreklik!V59+Çeyreklik!W59,"")</f>
        <v>23443213688</v>
      </c>
    </row>
    <row r="60" spans="1:20" x14ac:dyDescent="0.25">
      <c r="A60" t="str">
        <f>Çeyreklik!A60</f>
        <v xml:space="preserve">  İşletme Sermayesindeki Değişiklikler</v>
      </c>
      <c r="B60" s="2">
        <f>IF(AND(Çeyreklik!B60&lt;&gt;"",Çeyreklik!C60&lt;&gt;"",Çeyreklik!D60&lt;&gt;"",Çeyreklik!E60&lt;&gt;""),Çeyreklik!B60+Çeyreklik!C60+Çeyreklik!D60+Çeyreklik!E60,"")</f>
        <v>-1377152000</v>
      </c>
      <c r="C60" s="2">
        <f>IF(AND(Çeyreklik!C60&lt;&gt;"",Çeyreklik!D60&lt;&gt;"",Çeyreklik!E60&lt;&gt;"",Çeyreklik!F60&lt;&gt;""),Çeyreklik!C60+Çeyreklik!D60+Çeyreklik!E60+Çeyreklik!F60,"")</f>
        <v>-1201258000</v>
      </c>
      <c r="D60" s="2">
        <f>IF(AND(Çeyreklik!D60&lt;&gt;"",Çeyreklik!E60&lt;&gt;"",Çeyreklik!F60&lt;&gt;"",Çeyreklik!G60&lt;&gt;""),Çeyreklik!D60+Çeyreklik!E60+Çeyreklik!F60+Çeyreklik!G60,"")</f>
        <v>-949471000</v>
      </c>
      <c r="E60" s="2">
        <f>IF(AND(Çeyreklik!E60&lt;&gt;"",Çeyreklik!F60&lt;&gt;"",Çeyreklik!G60&lt;&gt;"",Çeyreklik!H60&lt;&gt;""),Çeyreklik!E60+Çeyreklik!F60+Çeyreklik!G60+Çeyreklik!H60,"")</f>
        <v>-2425350000</v>
      </c>
      <c r="F60" s="2">
        <f>IF(AND(Çeyreklik!F60&lt;&gt;"",Çeyreklik!G60&lt;&gt;"",Çeyreklik!H60&lt;&gt;"",Çeyreklik!I60&lt;&gt;""),Çeyreklik!F60+Çeyreklik!G60+Çeyreklik!H60+Çeyreklik!I60,"")</f>
        <v>-2779359000</v>
      </c>
      <c r="G60" s="2">
        <f>IF(AND(Çeyreklik!G60&lt;&gt;"",Çeyreklik!H60&lt;&gt;"",Çeyreklik!I60&lt;&gt;"",Çeyreklik!J60&lt;&gt;""),Çeyreklik!G60+Çeyreklik!H60+Çeyreklik!I60+Çeyreklik!J60,"")</f>
        <v>-3605235000</v>
      </c>
      <c r="H60" s="2">
        <f>IF(AND(Çeyreklik!H60&lt;&gt;"",Çeyreklik!I60&lt;&gt;"",Çeyreklik!J60&lt;&gt;"",Çeyreklik!K60&lt;&gt;""),Çeyreklik!H60+Çeyreklik!I60+Çeyreklik!J60+Çeyreklik!K60,"")</f>
        <v>-5335467000</v>
      </c>
      <c r="I60" s="2">
        <f>IF(AND(Çeyreklik!I60&lt;&gt;"",Çeyreklik!J60&lt;&gt;"",Çeyreklik!K60&lt;&gt;"",Çeyreklik!L60&lt;&gt;""),Çeyreklik!I60+Çeyreklik!J60+Çeyreklik!K60+Çeyreklik!L60,"")</f>
        <v>-4994943000</v>
      </c>
      <c r="J60" s="2">
        <f>IF(AND(Çeyreklik!J60&lt;&gt;"",Çeyreklik!K60&lt;&gt;"",Çeyreklik!L60&lt;&gt;"",Çeyreklik!M60&lt;&gt;""),Çeyreklik!J60+Çeyreklik!K60+Çeyreklik!L60+Çeyreklik!M60,"")</f>
        <v>-8708229000</v>
      </c>
      <c r="K60" s="2">
        <f>IF(AND(Çeyreklik!K60&lt;&gt;"",Çeyreklik!L60&lt;&gt;"",Çeyreklik!M60&lt;&gt;"",Çeyreklik!N60&lt;&gt;""),Çeyreklik!K60+Çeyreklik!L60+Çeyreklik!M60+Çeyreklik!N60,"")</f>
        <v>-9678985000</v>
      </c>
      <c r="L60" s="2">
        <f>IF(AND(Çeyreklik!L60&lt;&gt;"",Çeyreklik!M60&lt;&gt;"",Çeyreklik!N60&lt;&gt;"",Çeyreklik!O60&lt;&gt;""),Çeyreklik!L60+Çeyreklik!M60+Çeyreklik!N60+Çeyreklik!O60,"")</f>
        <v>-8168224000</v>
      </c>
      <c r="M60" s="2">
        <f>IF(AND(Çeyreklik!M60&lt;&gt;"",Çeyreklik!N60&lt;&gt;"",Çeyreklik!O60&lt;&gt;"",Çeyreklik!P60&lt;&gt;""),Çeyreklik!M60+Çeyreklik!N60+Çeyreklik!O60+Çeyreklik!P60,"")</f>
        <v>-6181227000</v>
      </c>
      <c r="N60" s="2">
        <f>IF(AND(Çeyreklik!N60&lt;&gt;"",Çeyreklik!O60&lt;&gt;"",Çeyreklik!P60&lt;&gt;"",Çeyreklik!Q60&lt;&gt;""),Çeyreklik!N60+Çeyreklik!O60+Çeyreklik!P60+Çeyreklik!Q60,"")</f>
        <v>-9772202000</v>
      </c>
      <c r="O60" s="2">
        <f>IF(AND(Çeyreklik!O60&lt;&gt;"",Çeyreklik!P60&lt;&gt;"",Çeyreklik!Q60&lt;&gt;"",Çeyreklik!R60&lt;&gt;""),Çeyreklik!O60+Çeyreklik!P60+Çeyreklik!Q60+Çeyreklik!R60,"")</f>
        <v>-7004312000</v>
      </c>
      <c r="P60" s="2">
        <f>IF(AND(Çeyreklik!P60&lt;&gt;"",Çeyreklik!Q60&lt;&gt;"",Çeyreklik!R60&lt;&gt;"",Çeyreklik!S60&lt;&gt;""),Çeyreklik!P60+Çeyreklik!Q60+Çeyreklik!R60+Çeyreklik!S60,"")</f>
        <v>-12707469000</v>
      </c>
      <c r="Q60" s="2">
        <f>IF(AND(Çeyreklik!Q60&lt;&gt;"",Çeyreklik!R60&lt;&gt;"",Çeyreklik!S60&lt;&gt;"",Çeyreklik!T60&lt;&gt;""),Çeyreklik!Q60+Çeyreklik!R60+Çeyreklik!S60+Çeyreklik!T60,"")</f>
        <v>-13347190722</v>
      </c>
      <c r="R60" s="2">
        <f>IF(AND(Çeyreklik!R60&lt;&gt;"",Çeyreklik!S60&lt;&gt;"",Çeyreklik!T60&lt;&gt;"",Çeyreklik!U60&lt;&gt;""),Çeyreklik!R60+Çeyreklik!S60+Çeyreklik!T60+Çeyreklik!U60,"")</f>
        <v>-17644124722</v>
      </c>
      <c r="S60" s="2">
        <f>IF(AND(Çeyreklik!S60&lt;&gt;"",Çeyreklik!T60&lt;&gt;"",Çeyreklik!U60&lt;&gt;"",Çeyreklik!V60&lt;&gt;""),Çeyreklik!S60+Çeyreklik!T60+Çeyreklik!U60+Çeyreklik!V60,"")</f>
        <v>-21280257722</v>
      </c>
      <c r="T60" s="2">
        <f>IF(AND(Çeyreklik!T60&lt;&gt;"",Çeyreklik!U60&lt;&gt;"",Çeyreklik!V60&lt;&gt;"",Çeyreklik!W60&lt;&gt;""),Çeyreklik!T60+Çeyreklik!U60+Çeyreklik!V60+Çeyreklik!W60,"")</f>
        <v>-18350197722</v>
      </c>
    </row>
    <row r="61" spans="1:20" x14ac:dyDescent="0.25">
      <c r="A61" t="str">
        <f>Çeyreklik!A61</f>
        <v xml:space="preserve"> Esas Faaliyet ile İlgili Oluşan Nakit (+)</v>
      </c>
      <c r="B61" s="2">
        <f>IF(AND(Çeyreklik!B61&lt;&gt;"",Çeyreklik!C61&lt;&gt;"",Çeyreklik!D61&lt;&gt;"",Çeyreklik!E61&lt;&gt;""),Çeyreklik!B61+Çeyreklik!C61+Çeyreklik!D61+Çeyreklik!E61,"")</f>
        <v>834927000</v>
      </c>
      <c r="C61" s="2">
        <f>IF(AND(Çeyreklik!C61&lt;&gt;"",Çeyreklik!D61&lt;&gt;"",Çeyreklik!E61&lt;&gt;"",Çeyreklik!F61&lt;&gt;""),Çeyreklik!C61+Çeyreklik!D61+Çeyreklik!E61+Çeyreklik!F61,"")</f>
        <v>1171568000</v>
      </c>
      <c r="D61" s="2">
        <f>IF(AND(Çeyreklik!D61&lt;&gt;"",Çeyreklik!E61&lt;&gt;"",Çeyreklik!F61&lt;&gt;"",Çeyreklik!G61&lt;&gt;""),Çeyreklik!D61+Çeyreklik!E61+Çeyreklik!F61+Çeyreklik!G61,"")</f>
        <v>1216969000</v>
      </c>
      <c r="E61" s="2">
        <f>IF(AND(Çeyreklik!E61&lt;&gt;"",Çeyreklik!F61&lt;&gt;"",Çeyreklik!G61&lt;&gt;"",Çeyreklik!H61&lt;&gt;""),Çeyreklik!E61+Çeyreklik!F61+Çeyreklik!G61+Çeyreklik!H61,"")</f>
        <v>557469000</v>
      </c>
      <c r="F61" s="2">
        <f>IF(AND(Çeyreklik!F61&lt;&gt;"",Çeyreklik!G61&lt;&gt;"",Çeyreklik!H61&lt;&gt;"",Çeyreklik!I61&lt;&gt;""),Çeyreklik!F61+Çeyreklik!G61+Çeyreklik!H61+Çeyreklik!I61,"")</f>
        <v>1289191000</v>
      </c>
      <c r="G61" s="2">
        <f>IF(AND(Çeyreklik!G61&lt;&gt;"",Çeyreklik!H61&lt;&gt;"",Çeyreklik!I61&lt;&gt;"",Çeyreklik!J61&lt;&gt;""),Çeyreklik!G61+Çeyreklik!H61+Çeyreklik!I61+Çeyreklik!J61,"")</f>
        <v>1327252000</v>
      </c>
      <c r="H61" s="2">
        <f>IF(AND(Çeyreklik!H61&lt;&gt;"",Çeyreklik!I61&lt;&gt;"",Çeyreklik!J61&lt;&gt;"",Çeyreklik!K61&lt;&gt;""),Çeyreklik!H61+Çeyreklik!I61+Çeyreklik!J61+Çeyreklik!K61,"")</f>
        <v>926807000</v>
      </c>
      <c r="I61" s="2">
        <f>IF(AND(Çeyreklik!I61&lt;&gt;"",Çeyreklik!J61&lt;&gt;"",Çeyreklik!K61&lt;&gt;"",Çeyreklik!L61&lt;&gt;""),Çeyreklik!I61+Çeyreklik!J61+Çeyreklik!K61+Çeyreklik!L61,"")</f>
        <v>5597158000</v>
      </c>
      <c r="J61" s="2">
        <f>IF(AND(Çeyreklik!J61&lt;&gt;"",Çeyreklik!K61&lt;&gt;"",Çeyreklik!L61&lt;&gt;"",Çeyreklik!M61&lt;&gt;""),Çeyreklik!J61+Çeyreklik!K61+Çeyreklik!L61+Çeyreklik!M61,"")</f>
        <v>5704991000</v>
      </c>
      <c r="K61" s="2">
        <f>IF(AND(Çeyreklik!K61&lt;&gt;"",Çeyreklik!L61&lt;&gt;"",Çeyreklik!M61&lt;&gt;"",Çeyreklik!N61&lt;&gt;""),Çeyreklik!K61+Çeyreklik!L61+Çeyreklik!M61+Çeyreklik!N61,"")</f>
        <v>8896830000</v>
      </c>
      <c r="L61" s="2">
        <f>IF(AND(Çeyreklik!L61&lt;&gt;"",Çeyreklik!M61&lt;&gt;"",Çeyreklik!N61&lt;&gt;"",Çeyreklik!O61&lt;&gt;""),Çeyreklik!L61+Çeyreklik!M61+Çeyreklik!N61+Çeyreklik!O61,"")</f>
        <v>12918846000</v>
      </c>
      <c r="M61" s="2">
        <f>IF(AND(Çeyreklik!M61&lt;&gt;"",Çeyreklik!N61&lt;&gt;"",Çeyreklik!O61&lt;&gt;"",Çeyreklik!P61&lt;&gt;""),Çeyreklik!M61+Çeyreklik!N61+Çeyreklik!O61+Çeyreklik!P61,"")</f>
        <v>13578722000</v>
      </c>
      <c r="N61" s="2">
        <f>IF(AND(Çeyreklik!N61&lt;&gt;"",Çeyreklik!O61&lt;&gt;"",Çeyreklik!P61&lt;&gt;"",Çeyreklik!Q61&lt;&gt;""),Çeyreklik!N61+Çeyreklik!O61+Çeyreklik!P61+Çeyreklik!Q61,"")</f>
        <v>12113391000</v>
      </c>
      <c r="O61" s="2">
        <f>IF(AND(Çeyreklik!O61&lt;&gt;"",Çeyreklik!P61&lt;&gt;"",Çeyreklik!Q61&lt;&gt;"",Çeyreklik!R61&lt;&gt;""),Çeyreklik!O61+Çeyreklik!P61+Çeyreklik!Q61+Çeyreklik!R61,"")</f>
        <v>13584457000</v>
      </c>
      <c r="P61" s="2">
        <f>IF(AND(Çeyreklik!P61&lt;&gt;"",Çeyreklik!Q61&lt;&gt;"",Çeyreklik!R61&lt;&gt;"",Çeyreklik!S61&lt;&gt;""),Çeyreklik!P61+Çeyreklik!Q61+Çeyreklik!R61+Çeyreklik!S61,"")</f>
        <v>8717177000</v>
      </c>
      <c r="Q61" s="2">
        <f>IF(AND(Çeyreklik!Q61&lt;&gt;"",Çeyreklik!R61&lt;&gt;"",Çeyreklik!S61&lt;&gt;"",Çeyreklik!T61&lt;&gt;""),Çeyreklik!Q61+Çeyreklik!R61+Çeyreklik!S61+Çeyreklik!T61,"")</f>
        <v>9514557965</v>
      </c>
      <c r="R61" s="2">
        <f>IF(AND(Çeyreklik!R61&lt;&gt;"",Çeyreklik!S61&lt;&gt;"",Çeyreklik!T61&lt;&gt;"",Çeyreklik!U61&lt;&gt;""),Çeyreklik!R61+Çeyreklik!S61+Çeyreklik!T61+Çeyreklik!U61,"")</f>
        <v>4994321965</v>
      </c>
      <c r="S61" s="2">
        <f>IF(AND(Çeyreklik!S61&lt;&gt;"",Çeyreklik!T61&lt;&gt;"",Çeyreklik!U61&lt;&gt;"",Çeyreklik!V61&lt;&gt;""),Çeyreklik!S61+Çeyreklik!T61+Çeyreklik!U61+Çeyreklik!V61,"")</f>
        <v>1627862965</v>
      </c>
      <c r="T61" s="2">
        <f>IF(AND(Çeyreklik!T61&lt;&gt;"",Çeyreklik!U61&lt;&gt;"",Çeyreklik!V61&lt;&gt;"",Çeyreklik!W61&lt;&gt;""),Çeyreklik!T61+Çeyreklik!U61+Çeyreklik!V61+Çeyreklik!W61,"")</f>
        <v>5093015965</v>
      </c>
    </row>
    <row r="62" spans="1:20" x14ac:dyDescent="0.25">
      <c r="A62" t="str">
        <f>Çeyreklik!A62</f>
        <v xml:space="preserve">  Diğer İşletme Faaliyetlerinden Nakit</v>
      </c>
      <c r="B62" s="2">
        <f>IF(AND(Çeyreklik!B62&lt;&gt;"",Çeyreklik!C62&lt;&gt;"",Çeyreklik!D62&lt;&gt;"",Çeyreklik!E62&lt;&gt;""),Çeyreklik!B62+Çeyreklik!C62+Çeyreklik!D62+Çeyreklik!E62,"")</f>
        <v>-480095000</v>
      </c>
      <c r="C62" s="2">
        <f>IF(AND(Çeyreklik!C62&lt;&gt;"",Çeyreklik!D62&lt;&gt;"",Çeyreklik!E62&lt;&gt;"",Çeyreklik!F62&lt;&gt;""),Çeyreklik!C62+Çeyreklik!D62+Çeyreklik!E62+Çeyreklik!F62,"")</f>
        <v>-587350000</v>
      </c>
      <c r="D62" s="2">
        <f>IF(AND(Çeyreklik!D62&lt;&gt;"",Çeyreklik!E62&lt;&gt;"",Çeyreklik!F62&lt;&gt;"",Çeyreklik!G62&lt;&gt;""),Çeyreklik!D62+Çeyreklik!E62+Çeyreklik!F62+Çeyreklik!G62,"")</f>
        <v>-570292000</v>
      </c>
      <c r="E62" s="2">
        <f>IF(AND(Çeyreklik!E62&lt;&gt;"",Çeyreklik!F62&lt;&gt;"",Çeyreklik!G62&lt;&gt;"",Çeyreklik!H62&lt;&gt;""),Çeyreklik!E62+Çeyreklik!F62+Çeyreklik!G62+Çeyreklik!H62,"")</f>
        <v>-530130000</v>
      </c>
      <c r="F62" s="2">
        <f>IF(AND(Çeyreklik!F62&lt;&gt;"",Çeyreklik!G62&lt;&gt;"",Çeyreklik!H62&lt;&gt;"",Çeyreklik!I62&lt;&gt;""),Çeyreklik!F62+Çeyreklik!G62+Çeyreklik!H62+Çeyreklik!I62,"")</f>
        <v>-703751000</v>
      </c>
      <c r="G62" s="2">
        <f>IF(AND(Çeyreklik!G62&lt;&gt;"",Çeyreklik!H62&lt;&gt;"",Çeyreklik!I62&lt;&gt;"",Çeyreklik!J62&lt;&gt;""),Çeyreklik!G62+Çeyreklik!H62+Çeyreklik!I62+Çeyreklik!J62,"")</f>
        <v>-631819000</v>
      </c>
      <c r="H62" s="2">
        <f>IF(AND(Çeyreklik!H62&lt;&gt;"",Çeyreklik!I62&lt;&gt;"",Çeyreklik!J62&lt;&gt;"",Çeyreklik!K62&lt;&gt;""),Çeyreklik!H62+Çeyreklik!I62+Çeyreklik!J62+Çeyreklik!K62,"")</f>
        <v>-645937000</v>
      </c>
      <c r="I62" s="2">
        <f>IF(AND(Çeyreklik!I62&lt;&gt;"",Çeyreklik!J62&lt;&gt;"",Çeyreklik!K62&lt;&gt;"",Çeyreklik!L62&lt;&gt;""),Çeyreklik!I62+Çeyreklik!J62+Çeyreklik!K62+Çeyreklik!L62,"")</f>
        <v>-1575373000</v>
      </c>
      <c r="J62" s="2">
        <f>IF(AND(Çeyreklik!J62&lt;&gt;"",Çeyreklik!K62&lt;&gt;"",Çeyreklik!L62&lt;&gt;"",Çeyreklik!M62&lt;&gt;""),Çeyreklik!J62+Çeyreklik!K62+Çeyreklik!L62+Çeyreklik!M62,"")</f>
        <v>-1854912000</v>
      </c>
      <c r="K62" s="2">
        <f>IF(AND(Çeyreklik!K62&lt;&gt;"",Çeyreklik!L62&lt;&gt;"",Çeyreklik!M62&lt;&gt;"",Çeyreklik!N62&lt;&gt;""),Çeyreklik!K62+Çeyreklik!L62+Çeyreklik!M62+Çeyreklik!N62,"")</f>
        <v>-2738745000</v>
      </c>
      <c r="L62" s="2">
        <f>IF(AND(Çeyreklik!L62&lt;&gt;"",Çeyreklik!M62&lt;&gt;"",Çeyreklik!N62&lt;&gt;"",Çeyreklik!O62&lt;&gt;""),Çeyreklik!L62+Çeyreklik!M62+Çeyreklik!N62+Çeyreklik!O62,"")</f>
        <v>-3601047000</v>
      </c>
      <c r="M62" s="2">
        <f>IF(AND(Çeyreklik!M62&lt;&gt;"",Çeyreklik!N62&lt;&gt;"",Çeyreklik!O62&lt;&gt;"",Çeyreklik!P62&lt;&gt;""),Çeyreklik!M62+Çeyreklik!N62+Çeyreklik!O62+Çeyreklik!P62,"")</f>
        <v>-2965375000</v>
      </c>
      <c r="N62" s="2">
        <f>IF(AND(Çeyreklik!N62&lt;&gt;"",Çeyreklik!O62&lt;&gt;"",Çeyreklik!P62&lt;&gt;"",Çeyreklik!Q62&lt;&gt;""),Çeyreklik!N62+Çeyreklik!O62+Çeyreklik!P62+Çeyreklik!Q62,"")</f>
        <v>-2950203000</v>
      </c>
      <c r="O62" s="2">
        <f>IF(AND(Çeyreklik!O62&lt;&gt;"",Çeyreklik!P62&lt;&gt;"",Çeyreklik!Q62&lt;&gt;"",Çeyreklik!R62&lt;&gt;""),Çeyreklik!O62+Çeyreklik!P62+Çeyreklik!Q62+Çeyreklik!R62,"")</f>
        <v>-2843199000</v>
      </c>
      <c r="P62" s="2">
        <f>IF(AND(Çeyreklik!P62&lt;&gt;"",Çeyreklik!Q62&lt;&gt;"",Çeyreklik!R62&lt;&gt;"",Çeyreklik!S62&lt;&gt;""),Çeyreklik!P62+Çeyreklik!Q62+Çeyreklik!R62+Çeyreklik!S62,"")</f>
        <v>-2296510000</v>
      </c>
      <c r="Q62" s="2">
        <f>IF(AND(Çeyreklik!Q62&lt;&gt;"",Çeyreklik!R62&lt;&gt;"",Çeyreklik!S62&lt;&gt;"",Çeyreklik!T62&lt;&gt;""),Çeyreklik!Q62+Çeyreklik!R62+Çeyreklik!S62+Çeyreklik!T62,"")</f>
        <v>-2254624436</v>
      </c>
      <c r="R62" s="2">
        <f>IF(AND(Çeyreklik!R62&lt;&gt;"",Çeyreklik!S62&lt;&gt;"",Çeyreklik!T62&lt;&gt;"",Çeyreklik!U62&lt;&gt;""),Çeyreklik!R62+Çeyreklik!S62+Çeyreklik!T62+Çeyreklik!U62,"")</f>
        <v>-2214246436</v>
      </c>
      <c r="S62" s="2">
        <f>IF(AND(Çeyreklik!S62&lt;&gt;"",Çeyreklik!T62&lt;&gt;"",Çeyreklik!U62&lt;&gt;"",Çeyreklik!V62&lt;&gt;""),Çeyreklik!S62+Çeyreklik!T62+Çeyreklik!U62+Çeyreklik!V62,"")</f>
        <v>-1852133436</v>
      </c>
      <c r="T62" s="2">
        <f>IF(AND(Çeyreklik!T62&lt;&gt;"",Çeyreklik!U62&lt;&gt;"",Çeyreklik!V62&lt;&gt;"",Çeyreklik!W62&lt;&gt;""),Çeyreklik!T62+Çeyreklik!U62+Çeyreklik!V62+Çeyreklik!W62,"")</f>
        <v>-1865106436</v>
      </c>
    </row>
    <row r="63" spans="1:20" x14ac:dyDescent="0.25">
      <c r="A63" t="str">
        <f>Çeyreklik!A63</f>
        <v xml:space="preserve">  Sabit Sermaye Yatırımları</v>
      </c>
      <c r="B63" s="2">
        <f>IF(AND(Çeyreklik!B63&lt;&gt;"",Çeyreklik!C63&lt;&gt;"",Çeyreklik!D63&lt;&gt;"",Çeyreklik!E63&lt;&gt;""),Çeyreklik!B63+Çeyreklik!C63+Çeyreklik!D63+Çeyreklik!E63,"")</f>
        <v>-222034000</v>
      </c>
      <c r="C63" s="2">
        <f>IF(AND(Çeyreklik!C63&lt;&gt;"",Çeyreklik!D63&lt;&gt;"",Çeyreklik!E63&lt;&gt;"",Çeyreklik!F63&lt;&gt;""),Çeyreklik!C63+Çeyreklik!D63+Çeyreklik!E63+Çeyreklik!F63,"")</f>
        <v>-265180000</v>
      </c>
      <c r="D63" s="2">
        <f>IF(AND(Çeyreklik!D63&lt;&gt;"",Çeyreklik!E63&lt;&gt;"",Çeyreklik!F63&lt;&gt;"",Çeyreklik!G63&lt;&gt;""),Çeyreklik!D63+Çeyreklik!E63+Çeyreklik!F63+Çeyreklik!G63,"")</f>
        <v>-241539000</v>
      </c>
      <c r="E63" s="2">
        <f>IF(AND(Çeyreklik!E63&lt;&gt;"",Çeyreklik!F63&lt;&gt;"",Çeyreklik!G63&lt;&gt;"",Çeyreklik!H63&lt;&gt;""),Çeyreklik!E63+Çeyreklik!F63+Çeyreklik!G63+Çeyreklik!H63,"")</f>
        <v>-464987000</v>
      </c>
      <c r="F63" s="2">
        <f>IF(AND(Çeyreklik!F63&lt;&gt;"",Çeyreklik!G63&lt;&gt;"",Çeyreklik!H63&lt;&gt;"",Çeyreklik!I63&lt;&gt;""),Çeyreklik!F63+Çeyreklik!G63+Çeyreklik!H63+Çeyreklik!I63,"")</f>
        <v>-511655000</v>
      </c>
      <c r="G63" s="2">
        <f>IF(AND(Çeyreklik!G63&lt;&gt;"",Çeyreklik!H63&lt;&gt;"",Çeyreklik!I63&lt;&gt;"",Çeyreklik!J63&lt;&gt;""),Çeyreklik!G63+Çeyreklik!H63+Çeyreklik!I63+Çeyreklik!J63,"")</f>
        <v>-547455000</v>
      </c>
      <c r="H63" s="2">
        <f>IF(AND(Çeyreklik!H63&lt;&gt;"",Çeyreklik!I63&lt;&gt;"",Çeyreklik!J63&lt;&gt;"",Çeyreklik!K63&lt;&gt;""),Çeyreklik!H63+Çeyreklik!I63+Çeyreklik!J63+Çeyreklik!K63,"")</f>
        <v>-664890000</v>
      </c>
      <c r="I63" s="2">
        <f>IF(AND(Çeyreklik!I63&lt;&gt;"",Çeyreklik!J63&lt;&gt;"",Çeyreklik!K63&lt;&gt;"",Çeyreklik!L63&lt;&gt;""),Çeyreklik!I63+Çeyreklik!J63+Çeyreklik!K63+Çeyreklik!L63,"")</f>
        <v>-1146434000</v>
      </c>
      <c r="J63" s="2">
        <f>IF(AND(Çeyreklik!J63&lt;&gt;"",Çeyreklik!K63&lt;&gt;"",Çeyreklik!L63&lt;&gt;"",Çeyreklik!M63&lt;&gt;""),Çeyreklik!J63+Çeyreklik!K63+Çeyreklik!L63+Çeyreklik!M63,"")</f>
        <v>-1326646000</v>
      </c>
      <c r="K63" s="2">
        <f>IF(AND(Çeyreklik!K63&lt;&gt;"",Çeyreklik!L63&lt;&gt;"",Çeyreklik!M63&lt;&gt;"",Çeyreklik!N63&lt;&gt;""),Çeyreklik!K63+Çeyreklik!L63+Çeyreklik!M63+Çeyreklik!N63,"")</f>
        <v>-1480994000</v>
      </c>
      <c r="L63" s="2">
        <f>IF(AND(Çeyreklik!L63&lt;&gt;"",Çeyreklik!M63&lt;&gt;"",Çeyreklik!N63&lt;&gt;"",Çeyreklik!O63&lt;&gt;""),Çeyreklik!L63+Çeyreklik!M63+Çeyreklik!N63+Çeyreklik!O63,"")</f>
        <v>-1799890000</v>
      </c>
      <c r="M63" s="2">
        <f>IF(AND(Çeyreklik!M63&lt;&gt;"",Çeyreklik!N63&lt;&gt;"",Çeyreklik!O63&lt;&gt;"",Çeyreklik!P63&lt;&gt;""),Çeyreklik!M63+Çeyreklik!N63+Çeyreklik!O63+Çeyreklik!P63,"")</f>
        <v>-1604351000</v>
      </c>
      <c r="N63" s="2">
        <f>IF(AND(Çeyreklik!N63&lt;&gt;"",Çeyreklik!O63&lt;&gt;"",Çeyreklik!P63&lt;&gt;"",Çeyreklik!Q63&lt;&gt;""),Çeyreklik!N63+Çeyreklik!O63+Çeyreklik!P63+Çeyreklik!Q63,"")</f>
        <v>-1722142000</v>
      </c>
      <c r="O63" s="2">
        <f>IF(AND(Çeyreklik!O63&lt;&gt;"",Çeyreklik!P63&lt;&gt;"",Çeyreklik!Q63&lt;&gt;"",Çeyreklik!R63&lt;&gt;""),Çeyreklik!O63+Çeyreklik!P63+Çeyreklik!Q63+Çeyreklik!R63,"")</f>
        <v>-1918117000</v>
      </c>
      <c r="P63" s="2">
        <f>IF(AND(Çeyreklik!P63&lt;&gt;"",Çeyreklik!Q63&lt;&gt;"",Çeyreklik!R63&lt;&gt;"",Çeyreklik!S63&lt;&gt;""),Çeyreklik!P63+Çeyreklik!Q63+Çeyreklik!R63+Çeyreklik!S63,"")</f>
        <v>-2331074000</v>
      </c>
      <c r="Q63" s="2">
        <f>IF(AND(Çeyreklik!Q63&lt;&gt;"",Çeyreklik!R63&lt;&gt;"",Çeyreklik!S63&lt;&gt;"",Çeyreklik!T63&lt;&gt;""),Çeyreklik!Q63+Çeyreklik!R63+Çeyreklik!S63+Çeyreklik!T63,"")</f>
        <v>-3197591534</v>
      </c>
      <c r="R63" s="2">
        <f>IF(AND(Çeyreklik!R63&lt;&gt;"",Çeyreklik!S63&lt;&gt;"",Çeyreklik!T63&lt;&gt;"",Çeyreklik!U63&lt;&gt;""),Çeyreklik!R63+Çeyreklik!S63+Çeyreklik!T63+Çeyreklik!U63,"")</f>
        <v>-3000540534</v>
      </c>
      <c r="S63" s="2">
        <f>IF(AND(Çeyreklik!S63&lt;&gt;"",Çeyreklik!T63&lt;&gt;"",Çeyreklik!U63&lt;&gt;"",Çeyreklik!V63&lt;&gt;""),Çeyreklik!S63+Çeyreklik!T63+Çeyreklik!U63+Çeyreklik!V63,"")</f>
        <v>-2824412534</v>
      </c>
      <c r="T63" s="2">
        <f>IF(AND(Çeyreklik!T63&lt;&gt;"",Çeyreklik!U63&lt;&gt;"",Çeyreklik!V63&lt;&gt;"",Çeyreklik!W63&lt;&gt;""),Çeyreklik!T63+Çeyreklik!U63+Çeyreklik!V63+Çeyreklik!W63,"")</f>
        <v>-2578797534</v>
      </c>
    </row>
    <row r="64" spans="1:20" x14ac:dyDescent="0.25">
      <c r="A64" t="str">
        <f>Çeyreklik!A64</f>
        <v xml:space="preserve">  Diğer Yatırım Faaliyetlerinden Nakit</v>
      </c>
      <c r="B64" s="2">
        <f>IF(AND(Çeyreklik!B64&lt;&gt;"",Çeyreklik!C64&lt;&gt;"",Çeyreklik!D64&lt;&gt;"",Çeyreklik!E64&lt;&gt;""),Çeyreklik!B64+Çeyreklik!C64+Çeyreklik!D64+Çeyreklik!E64,"")</f>
        <v>-856423000</v>
      </c>
      <c r="C64" s="2">
        <f>IF(AND(Çeyreklik!C64&lt;&gt;"",Çeyreklik!D64&lt;&gt;"",Çeyreklik!E64&lt;&gt;"",Çeyreklik!F64&lt;&gt;""),Çeyreklik!C64+Çeyreklik!D64+Çeyreklik!E64+Çeyreklik!F64,"")</f>
        <v>-1738038000</v>
      </c>
      <c r="D64" s="2">
        <f>IF(AND(Çeyreklik!D64&lt;&gt;"",Çeyreklik!E64&lt;&gt;"",Çeyreklik!F64&lt;&gt;"",Çeyreklik!G64&lt;&gt;""),Çeyreklik!D64+Çeyreklik!E64+Çeyreklik!F64+Çeyreklik!G64,"")</f>
        <v>-2491098000</v>
      </c>
      <c r="E64" s="2">
        <f>IF(AND(Çeyreklik!E64&lt;&gt;"",Çeyreklik!F64&lt;&gt;"",Çeyreklik!G64&lt;&gt;"",Çeyreklik!H64&lt;&gt;""),Çeyreklik!E64+Çeyreklik!F64+Çeyreklik!G64+Çeyreklik!H64,"")</f>
        <v>-1078837000</v>
      </c>
      <c r="F64" s="2">
        <f>IF(AND(Çeyreklik!F64&lt;&gt;"",Çeyreklik!G64&lt;&gt;"",Çeyreklik!H64&lt;&gt;"",Çeyreklik!I64&lt;&gt;""),Çeyreklik!F64+Çeyreklik!G64+Çeyreklik!H64+Çeyreklik!I64,"")</f>
        <v>-249246000</v>
      </c>
      <c r="G64" s="2">
        <f>IF(AND(Çeyreklik!G64&lt;&gt;"",Çeyreklik!H64&lt;&gt;"",Çeyreklik!I64&lt;&gt;"",Çeyreklik!J64&lt;&gt;""),Çeyreklik!G64+Çeyreklik!H64+Çeyreklik!I64+Çeyreklik!J64,"")</f>
        <v>-279604000</v>
      </c>
      <c r="H64" s="2">
        <f>IF(AND(Çeyreklik!H64&lt;&gt;"",Çeyreklik!I64&lt;&gt;"",Çeyreklik!J64&lt;&gt;"",Çeyreklik!K64&lt;&gt;""),Çeyreklik!H64+Çeyreklik!I64+Çeyreklik!J64+Çeyreklik!K64,"")</f>
        <v>661853000</v>
      </c>
      <c r="I64" s="2">
        <f>IF(AND(Çeyreklik!I64&lt;&gt;"",Çeyreklik!J64&lt;&gt;"",Çeyreklik!K64&lt;&gt;"",Çeyreklik!L64&lt;&gt;""),Çeyreklik!I64+Çeyreklik!J64+Çeyreklik!K64+Çeyreklik!L64,"")</f>
        <v>11483124000</v>
      </c>
      <c r="J64" s="2">
        <f>IF(AND(Çeyreklik!J64&lt;&gt;"",Çeyreklik!K64&lt;&gt;"",Çeyreklik!L64&lt;&gt;"",Çeyreklik!M64&lt;&gt;""),Çeyreklik!J64+Çeyreklik!K64+Çeyreklik!L64+Çeyreklik!M64,"")</f>
        <v>12412651000</v>
      </c>
      <c r="K64" s="2">
        <f>IF(AND(Çeyreklik!K64&lt;&gt;"",Çeyreklik!L64&lt;&gt;"",Çeyreklik!M64&lt;&gt;"",Çeyreklik!N64&lt;&gt;""),Çeyreklik!K64+Çeyreklik!L64+Çeyreklik!M64+Çeyreklik!N64,"")</f>
        <v>11886730000</v>
      </c>
      <c r="L64" s="2">
        <f>IF(AND(Çeyreklik!L64&lt;&gt;"",Çeyreklik!M64&lt;&gt;"",Çeyreklik!N64&lt;&gt;"",Çeyreklik!O64&lt;&gt;""),Çeyreklik!L64+Çeyreklik!M64+Çeyreklik!N64+Çeyreklik!O64,"")</f>
        <v>11698982000</v>
      </c>
      <c r="M64" s="2">
        <f>IF(AND(Çeyreklik!M64&lt;&gt;"",Çeyreklik!N64&lt;&gt;"",Çeyreklik!O64&lt;&gt;"",Çeyreklik!P64&lt;&gt;""),Çeyreklik!M64+Çeyreklik!N64+Çeyreklik!O64+Çeyreklik!P64,"")</f>
        <v>985158000</v>
      </c>
      <c r="N64" s="2">
        <f>IF(AND(Çeyreklik!N64&lt;&gt;"",Çeyreklik!O64&lt;&gt;"",Çeyreklik!P64&lt;&gt;"",Çeyreklik!Q64&lt;&gt;""),Çeyreklik!N64+Çeyreklik!O64+Çeyreklik!P64+Çeyreklik!Q64,"")</f>
        <v>421045000</v>
      </c>
      <c r="O64" s="2">
        <f>IF(AND(Çeyreklik!O64&lt;&gt;"",Çeyreklik!P64&lt;&gt;"",Çeyreklik!Q64&lt;&gt;"",Çeyreklik!R64&lt;&gt;""),Çeyreklik!O64+Çeyreklik!P64+Çeyreklik!Q64+Çeyreklik!R64,"")</f>
        <v>1725297000</v>
      </c>
      <c r="P64" s="2">
        <f>IF(AND(Çeyreklik!P64&lt;&gt;"",Çeyreklik!Q64&lt;&gt;"",Çeyreklik!R64&lt;&gt;"",Çeyreklik!S64&lt;&gt;""),Çeyreklik!P64+Çeyreklik!Q64+Çeyreklik!R64+Çeyreklik!S64,"")</f>
        <v>2127932000</v>
      </c>
      <c r="Q64" s="2">
        <f>IF(AND(Çeyreklik!Q64&lt;&gt;"",Çeyreklik!R64&lt;&gt;"",Çeyreklik!S64&lt;&gt;"",Çeyreklik!T64&lt;&gt;""),Çeyreklik!Q64+Çeyreklik!R64+Çeyreklik!S64+Çeyreklik!T64,"")</f>
        <v>3628095983</v>
      </c>
      <c r="R64" s="2">
        <f>IF(AND(Çeyreklik!R64&lt;&gt;"",Çeyreklik!S64&lt;&gt;"",Çeyreklik!T64&lt;&gt;"",Çeyreklik!U64&lt;&gt;""),Çeyreklik!R64+Çeyreklik!S64+Çeyreklik!T64+Çeyreklik!U64,"")</f>
        <v>4231209983</v>
      </c>
      <c r="S64" s="2">
        <f>IF(AND(Çeyreklik!S64&lt;&gt;"",Çeyreklik!T64&lt;&gt;"",Çeyreklik!U64&lt;&gt;"",Çeyreklik!V64&lt;&gt;""),Çeyreklik!S64+Çeyreklik!T64+Çeyreklik!U64+Çeyreklik!V64,"")</f>
        <v>4870390983</v>
      </c>
      <c r="T64" s="2">
        <f>IF(AND(Çeyreklik!T64&lt;&gt;"",Çeyreklik!U64&lt;&gt;"",Çeyreklik!V64&lt;&gt;"",Çeyreklik!W64&lt;&gt;""),Çeyreklik!T64+Çeyreklik!U64+Çeyreklik!V64+Çeyreklik!W64,"")</f>
        <v>5453684983</v>
      </c>
    </row>
    <row r="65" spans="1:20" x14ac:dyDescent="0.25">
      <c r="A65" t="str">
        <f>Çeyreklik!A65</f>
        <v xml:space="preserve"> Yatırım Faaliyetlerinden Kaynaklanan Nakit</v>
      </c>
      <c r="B65" s="2">
        <f>IF(AND(Çeyreklik!B65&lt;&gt;"",Çeyreklik!C65&lt;&gt;"",Çeyreklik!D65&lt;&gt;"",Çeyreklik!E65&lt;&gt;""),Çeyreklik!B65+Çeyreklik!C65+Çeyreklik!D65+Çeyreklik!E65,"")</f>
        <v>-1078457000</v>
      </c>
      <c r="C65" s="2">
        <f>IF(AND(Çeyreklik!C65&lt;&gt;"",Çeyreklik!D65&lt;&gt;"",Çeyreklik!E65&lt;&gt;"",Çeyreklik!F65&lt;&gt;""),Çeyreklik!C65+Çeyreklik!D65+Çeyreklik!E65+Çeyreklik!F65,"")</f>
        <v>-2003218000</v>
      </c>
      <c r="D65" s="2">
        <f>IF(AND(Çeyreklik!D65&lt;&gt;"",Çeyreklik!E65&lt;&gt;"",Çeyreklik!F65&lt;&gt;"",Çeyreklik!G65&lt;&gt;""),Çeyreklik!D65+Çeyreklik!E65+Çeyreklik!F65+Çeyreklik!G65,"")</f>
        <v>-2732637000</v>
      </c>
      <c r="E65" s="2">
        <f>IF(AND(Çeyreklik!E65&lt;&gt;"",Çeyreklik!F65&lt;&gt;"",Çeyreklik!G65&lt;&gt;"",Çeyreklik!H65&lt;&gt;""),Çeyreklik!E65+Çeyreklik!F65+Çeyreklik!G65+Çeyreklik!H65,"")</f>
        <v>-1543824000</v>
      </c>
      <c r="F65" s="2">
        <f>IF(AND(Çeyreklik!F65&lt;&gt;"",Çeyreklik!G65&lt;&gt;"",Çeyreklik!H65&lt;&gt;"",Çeyreklik!I65&lt;&gt;""),Çeyreklik!F65+Çeyreklik!G65+Çeyreklik!H65+Çeyreklik!I65,"")</f>
        <v>-760901000</v>
      </c>
      <c r="G65" s="2">
        <f>IF(AND(Çeyreklik!G65&lt;&gt;"",Çeyreklik!H65&lt;&gt;"",Çeyreklik!I65&lt;&gt;"",Çeyreklik!J65&lt;&gt;""),Çeyreklik!G65+Çeyreklik!H65+Çeyreklik!I65+Çeyreklik!J65,"")</f>
        <v>-827059000</v>
      </c>
      <c r="H65" s="2">
        <f>IF(AND(Çeyreklik!H65&lt;&gt;"",Çeyreklik!I65&lt;&gt;"",Çeyreklik!J65&lt;&gt;"",Çeyreklik!K65&lt;&gt;""),Çeyreklik!H65+Çeyreklik!I65+Çeyreklik!J65+Çeyreklik!K65,"")</f>
        <v>-3037000</v>
      </c>
      <c r="I65" s="2">
        <f>IF(AND(Çeyreklik!I65&lt;&gt;"",Çeyreklik!J65&lt;&gt;"",Çeyreklik!K65&lt;&gt;"",Çeyreklik!L65&lt;&gt;""),Çeyreklik!I65+Çeyreklik!J65+Çeyreklik!K65+Çeyreklik!L65,"")</f>
        <v>10336690000</v>
      </c>
      <c r="J65" s="2">
        <f>IF(AND(Çeyreklik!J65&lt;&gt;"",Çeyreklik!K65&lt;&gt;"",Çeyreklik!L65&lt;&gt;"",Çeyreklik!M65&lt;&gt;""),Çeyreklik!J65+Çeyreklik!K65+Çeyreklik!L65+Çeyreklik!M65,"")</f>
        <v>11086005000</v>
      </c>
      <c r="K65" s="2">
        <f>IF(AND(Çeyreklik!K65&lt;&gt;"",Çeyreklik!L65&lt;&gt;"",Çeyreklik!M65&lt;&gt;"",Çeyreklik!N65&lt;&gt;""),Çeyreklik!K65+Çeyreklik!L65+Çeyreklik!M65+Çeyreklik!N65,"")</f>
        <v>10405736000</v>
      </c>
      <c r="L65" s="2">
        <f>IF(AND(Çeyreklik!L65&lt;&gt;"",Çeyreklik!M65&lt;&gt;"",Çeyreklik!N65&lt;&gt;"",Çeyreklik!O65&lt;&gt;""),Çeyreklik!L65+Çeyreklik!M65+Çeyreklik!N65+Çeyreklik!O65,"")</f>
        <v>9899092000</v>
      </c>
      <c r="M65" s="2">
        <f>IF(AND(Çeyreklik!M65&lt;&gt;"",Çeyreklik!N65&lt;&gt;"",Çeyreklik!O65&lt;&gt;"",Çeyreklik!P65&lt;&gt;""),Çeyreklik!M65+Çeyreklik!N65+Çeyreklik!O65+Çeyreklik!P65,"")</f>
        <v>-619193000</v>
      </c>
      <c r="N65" s="2">
        <f>IF(AND(Çeyreklik!N65&lt;&gt;"",Çeyreklik!O65&lt;&gt;"",Çeyreklik!P65&lt;&gt;"",Çeyreklik!Q65&lt;&gt;""),Çeyreklik!N65+Çeyreklik!O65+Çeyreklik!P65+Çeyreklik!Q65,"")</f>
        <v>-1301097000</v>
      </c>
      <c r="O65" s="2">
        <f>IF(AND(Çeyreklik!O65&lt;&gt;"",Çeyreklik!P65&lt;&gt;"",Çeyreklik!Q65&lt;&gt;"",Çeyreklik!R65&lt;&gt;""),Çeyreklik!O65+Çeyreklik!P65+Çeyreklik!Q65+Çeyreklik!R65,"")</f>
        <v>-192820000</v>
      </c>
      <c r="P65" s="2">
        <f>IF(AND(Çeyreklik!P65&lt;&gt;"",Çeyreklik!Q65&lt;&gt;"",Çeyreklik!R65&lt;&gt;"",Çeyreklik!S65&lt;&gt;""),Çeyreklik!P65+Çeyreklik!Q65+Çeyreklik!R65+Çeyreklik!S65,"")</f>
        <v>-203142000</v>
      </c>
      <c r="Q65" s="2">
        <f>IF(AND(Çeyreklik!Q65&lt;&gt;"",Çeyreklik!R65&lt;&gt;"",Çeyreklik!S65&lt;&gt;"",Çeyreklik!T65&lt;&gt;""),Çeyreklik!Q65+Çeyreklik!R65+Çeyreklik!S65+Çeyreklik!T65,"")</f>
        <v>430504449</v>
      </c>
      <c r="R65" s="2">
        <f>IF(AND(Çeyreklik!R65&lt;&gt;"",Çeyreklik!S65&lt;&gt;"",Çeyreklik!T65&lt;&gt;"",Çeyreklik!U65&lt;&gt;""),Çeyreklik!R65+Çeyreklik!S65+Çeyreklik!T65+Çeyreklik!U65,"")</f>
        <v>1230669449</v>
      </c>
      <c r="S65" s="2">
        <f>IF(AND(Çeyreklik!S65&lt;&gt;"",Çeyreklik!T65&lt;&gt;"",Çeyreklik!U65&lt;&gt;"",Çeyreklik!V65&lt;&gt;""),Çeyreklik!S65+Çeyreklik!T65+Çeyreklik!U65+Çeyreklik!V65,"")</f>
        <v>2045978449</v>
      </c>
      <c r="T65" s="2">
        <f>IF(AND(Çeyreklik!T65&lt;&gt;"",Çeyreklik!U65&lt;&gt;"",Çeyreklik!V65&lt;&gt;"",Çeyreklik!W65&lt;&gt;""),Çeyreklik!T65+Çeyreklik!U65+Çeyreklik!V65+Çeyreklik!W65,"")</f>
        <v>2874887449</v>
      </c>
    </row>
    <row r="66" spans="1:20" x14ac:dyDescent="0.25">
      <c r="A66" t="str">
        <f>Çeyreklik!A66</f>
        <v>Serbest Nakit Akım</v>
      </c>
      <c r="B66" s="2">
        <f>IF(AND(Çeyreklik!B66&lt;&gt;"",Çeyreklik!C66&lt;&gt;"",Çeyreklik!D66&lt;&gt;"",Çeyreklik!E66&lt;&gt;""),Çeyreklik!B66+Çeyreklik!C66+Çeyreklik!D66+Çeyreklik!E66,"")</f>
        <v>-723625000</v>
      </c>
      <c r="C66" s="2">
        <f>IF(AND(Çeyreklik!C66&lt;&gt;"",Çeyreklik!D66&lt;&gt;"",Çeyreklik!E66&lt;&gt;"",Çeyreklik!F66&lt;&gt;""),Çeyreklik!C66+Çeyreklik!D66+Çeyreklik!E66+Çeyreklik!F66,"")</f>
        <v>-1419000000</v>
      </c>
      <c r="D66" s="2">
        <f>IF(AND(Çeyreklik!D66&lt;&gt;"",Çeyreklik!E66&lt;&gt;"",Çeyreklik!F66&lt;&gt;"",Çeyreklik!G66&lt;&gt;""),Çeyreklik!D66+Çeyreklik!E66+Çeyreklik!F66+Çeyreklik!G66,"")</f>
        <v>-2085960000</v>
      </c>
      <c r="E66" s="2">
        <f>IF(AND(Çeyreklik!E66&lt;&gt;"",Çeyreklik!F66&lt;&gt;"",Çeyreklik!G66&lt;&gt;"",Çeyreklik!H66&lt;&gt;""),Çeyreklik!E66+Çeyreklik!F66+Çeyreklik!G66+Çeyreklik!H66,"")</f>
        <v>-1516485000</v>
      </c>
      <c r="F66" s="2">
        <f>IF(AND(Çeyreklik!F66&lt;&gt;"",Çeyreklik!G66&lt;&gt;"",Çeyreklik!H66&lt;&gt;"",Çeyreklik!I66&lt;&gt;""),Çeyreklik!F66+Çeyreklik!G66+Çeyreklik!H66+Çeyreklik!I66,"")</f>
        <v>-175461000</v>
      </c>
      <c r="G66" s="2">
        <f>IF(AND(Çeyreklik!G66&lt;&gt;"",Çeyreklik!H66&lt;&gt;"",Çeyreklik!I66&lt;&gt;"",Çeyreklik!J66&lt;&gt;""),Çeyreklik!G66+Çeyreklik!H66+Çeyreklik!I66+Çeyreklik!J66,"")</f>
        <v>-131626000</v>
      </c>
      <c r="H66" s="2">
        <f>IF(AND(Çeyreklik!H66&lt;&gt;"",Çeyreklik!I66&lt;&gt;"",Çeyreklik!J66&lt;&gt;"",Çeyreklik!K66&lt;&gt;""),Çeyreklik!H66+Çeyreklik!I66+Çeyreklik!J66+Çeyreklik!K66,"")</f>
        <v>277833000</v>
      </c>
      <c r="I66" s="2">
        <f>IF(AND(Çeyreklik!I66&lt;&gt;"",Çeyreklik!J66&lt;&gt;"",Çeyreklik!K66&lt;&gt;"",Çeyreklik!L66&lt;&gt;""),Çeyreklik!I66+Çeyreklik!J66+Çeyreklik!K66+Çeyreklik!L66,"")</f>
        <v>14358475000</v>
      </c>
      <c r="J66" s="2">
        <f>IF(AND(Çeyreklik!J66&lt;&gt;"",Çeyreklik!K66&lt;&gt;"",Çeyreklik!L66&lt;&gt;"",Çeyreklik!M66&lt;&gt;""),Çeyreklik!J66+Çeyreklik!K66+Çeyreklik!L66+Çeyreklik!M66,"")</f>
        <v>14936084000</v>
      </c>
      <c r="K66" s="2">
        <f>IF(AND(Çeyreklik!K66&lt;&gt;"",Çeyreklik!L66&lt;&gt;"",Çeyreklik!M66&lt;&gt;"",Çeyreklik!N66&lt;&gt;""),Çeyreklik!K66+Çeyreklik!L66+Çeyreklik!M66+Çeyreklik!N66,"")</f>
        <v>16563821000</v>
      </c>
      <c r="L66" s="2">
        <f>IF(AND(Çeyreklik!L66&lt;&gt;"",Çeyreklik!M66&lt;&gt;"",Çeyreklik!N66&lt;&gt;"",Çeyreklik!O66&lt;&gt;""),Çeyreklik!L66+Çeyreklik!M66+Çeyreklik!N66+Çeyreklik!O66,"")</f>
        <v>19216891000</v>
      </c>
      <c r="M66" s="2">
        <f>IF(AND(Çeyreklik!M66&lt;&gt;"",Çeyreklik!N66&lt;&gt;"",Çeyreklik!O66&lt;&gt;"",Çeyreklik!P66&lt;&gt;""),Çeyreklik!M66+Çeyreklik!N66+Çeyreklik!O66+Çeyreklik!P66,"")</f>
        <v>9994154000</v>
      </c>
      <c r="N66" s="2">
        <f>IF(AND(Çeyreklik!N66&lt;&gt;"",Çeyreklik!O66&lt;&gt;"",Çeyreklik!P66&lt;&gt;"",Çeyreklik!Q66&lt;&gt;""),Çeyreklik!N66+Çeyreklik!O66+Çeyreklik!P66+Çeyreklik!Q66,"")</f>
        <v>7862091000</v>
      </c>
      <c r="O66" s="2">
        <f>IF(AND(Çeyreklik!O66&lt;&gt;"",Çeyreklik!P66&lt;&gt;"",Çeyreklik!Q66&lt;&gt;"",Çeyreklik!R66&lt;&gt;""),Çeyreklik!O66+Çeyreklik!P66+Çeyreklik!Q66+Çeyreklik!R66,"")</f>
        <v>10548438000</v>
      </c>
      <c r="P66" s="2">
        <f>IF(AND(Çeyreklik!P66&lt;&gt;"",Çeyreklik!Q66&lt;&gt;"",Çeyreklik!R66&lt;&gt;"",Çeyreklik!S66&lt;&gt;""),Çeyreklik!P66+Çeyreklik!Q66+Çeyreklik!R66+Çeyreklik!S66,"")</f>
        <v>6217525000</v>
      </c>
      <c r="Q66" s="2">
        <f>IF(AND(Çeyreklik!Q66&lt;&gt;"",Çeyreklik!R66&lt;&gt;"",Çeyreklik!S66&lt;&gt;"",Çeyreklik!T66&lt;&gt;""),Çeyreklik!Q66+Çeyreklik!R66+Çeyreklik!S66+Çeyreklik!T66,"")</f>
        <v>7690437978</v>
      </c>
      <c r="R66" s="2">
        <f>IF(AND(Çeyreklik!R66&lt;&gt;"",Çeyreklik!S66&lt;&gt;"",Çeyreklik!T66&lt;&gt;"",Çeyreklik!U66&lt;&gt;""),Çeyreklik!R66+Çeyreklik!S66+Çeyreklik!T66+Çeyreklik!U66,"")</f>
        <v>4010744978</v>
      </c>
      <c r="S66" s="2">
        <f>IF(AND(Çeyreklik!S66&lt;&gt;"",Çeyreklik!T66&lt;&gt;"",Çeyreklik!U66&lt;&gt;"",Çeyreklik!V66&lt;&gt;""),Çeyreklik!S66+Çeyreklik!T66+Çeyreklik!U66+Çeyreklik!V66,"")</f>
        <v>1821707978</v>
      </c>
      <c r="T66" s="2">
        <f>IF(AND(Çeyreklik!T66&lt;&gt;"",Çeyreklik!U66&lt;&gt;"",Çeyreklik!V66&lt;&gt;"",Çeyreklik!W66&lt;&gt;""),Çeyreklik!T66+Çeyreklik!U66+Çeyreklik!V66+Çeyreklik!W66,"")</f>
        <v>6102796978</v>
      </c>
    </row>
    <row r="67" spans="1:20" x14ac:dyDescent="0.25">
      <c r="A67" t="str">
        <f>Çeyreklik!A67</f>
        <v>Finansal Borçlardaki Değişim</v>
      </c>
      <c r="B67" s="2">
        <f>IF(AND(Çeyreklik!B67&lt;&gt;"",Çeyreklik!C67&lt;&gt;"",Çeyreklik!D67&lt;&gt;"",Çeyreklik!E67&lt;&gt;""),Çeyreklik!B67+Çeyreklik!C67+Çeyreklik!D67+Çeyreklik!E67,"")</f>
        <v>2543067000</v>
      </c>
      <c r="C67" s="2">
        <f>IF(AND(Çeyreklik!C67&lt;&gt;"",Çeyreklik!D67&lt;&gt;"",Çeyreklik!E67&lt;&gt;"",Çeyreklik!F67&lt;&gt;""),Çeyreklik!C67+Çeyreklik!D67+Çeyreklik!E67+Çeyreklik!F67,"")</f>
        <v>2008138000</v>
      </c>
      <c r="D67" s="2">
        <f>IF(AND(Çeyreklik!D67&lt;&gt;"",Çeyreklik!E67&lt;&gt;"",Çeyreklik!F67&lt;&gt;"",Çeyreklik!G67&lt;&gt;""),Çeyreklik!D67+Çeyreklik!E67+Çeyreklik!F67+Çeyreklik!G67,"")</f>
        <v>1916126000</v>
      </c>
      <c r="E67" s="2">
        <f>IF(AND(Çeyreklik!E67&lt;&gt;"",Çeyreklik!F67&lt;&gt;"",Çeyreklik!G67&lt;&gt;"",Çeyreklik!H67&lt;&gt;""),Çeyreklik!E67+Çeyreklik!F67+Çeyreklik!G67+Çeyreklik!H67,"")</f>
        <v>-117631000</v>
      </c>
      <c r="F67" s="2">
        <f>IF(AND(Çeyreklik!F67&lt;&gt;"",Çeyreklik!G67&lt;&gt;"",Çeyreklik!H67&lt;&gt;"",Çeyreklik!I67&lt;&gt;""),Çeyreklik!F67+Çeyreklik!G67+Çeyreklik!H67+Çeyreklik!I67,"")</f>
        <v>-971500000</v>
      </c>
      <c r="G67" s="2">
        <f>IF(AND(Çeyreklik!G67&lt;&gt;"",Çeyreklik!H67&lt;&gt;"",Çeyreklik!I67&lt;&gt;"",Çeyreklik!J67&lt;&gt;""),Çeyreklik!G67+Çeyreklik!H67+Çeyreklik!I67+Çeyreklik!J67,"")</f>
        <v>-484265000</v>
      </c>
      <c r="H67" s="2">
        <f>IF(AND(Çeyreklik!H67&lt;&gt;"",Çeyreklik!I67&lt;&gt;"",Çeyreklik!J67&lt;&gt;"",Çeyreklik!K67&lt;&gt;""),Çeyreklik!H67+Çeyreklik!I67+Çeyreklik!J67+Çeyreklik!K67,"")</f>
        <v>-432986000</v>
      </c>
      <c r="I67" s="2">
        <f>IF(AND(Çeyreklik!I67&lt;&gt;"",Çeyreklik!J67&lt;&gt;"",Çeyreklik!K67&lt;&gt;"",Çeyreklik!L67&lt;&gt;""),Çeyreklik!I67+Çeyreklik!J67+Çeyreklik!K67+Çeyreklik!L67,"")</f>
        <v>-2000276000</v>
      </c>
      <c r="J67" s="2">
        <f>IF(AND(Çeyreklik!J67&lt;&gt;"",Çeyreklik!K67&lt;&gt;"",Çeyreklik!L67&lt;&gt;"",Çeyreklik!M67&lt;&gt;""),Çeyreklik!J67+Çeyreklik!K67+Çeyreklik!L67+Çeyreklik!M67,"")</f>
        <v>-1494541000</v>
      </c>
      <c r="K67" s="2">
        <f>IF(AND(Çeyreklik!K67&lt;&gt;"",Çeyreklik!L67&lt;&gt;"",Çeyreklik!M67&lt;&gt;"",Çeyreklik!N67&lt;&gt;""),Çeyreklik!K67+Çeyreklik!L67+Çeyreklik!M67+Çeyreklik!N67,"")</f>
        <v>-9044726000</v>
      </c>
      <c r="L67" s="2">
        <f>IF(AND(Çeyreklik!L67&lt;&gt;"",Çeyreklik!M67&lt;&gt;"",Çeyreklik!N67&lt;&gt;"",Çeyreklik!O67&lt;&gt;""),Çeyreklik!L67+Çeyreklik!M67+Çeyreklik!N67+Çeyreklik!O67,"")</f>
        <v>-11684812000</v>
      </c>
      <c r="M67" s="2">
        <f>IF(AND(Çeyreklik!M67&lt;&gt;"",Çeyreklik!N67&lt;&gt;"",Çeyreklik!O67&lt;&gt;"",Çeyreklik!P67&lt;&gt;""),Çeyreklik!M67+Çeyreklik!N67+Çeyreklik!O67+Çeyreklik!P67,"")</f>
        <v>-9960507000</v>
      </c>
      <c r="N67" s="2">
        <f>IF(AND(Çeyreklik!N67&lt;&gt;"",Çeyreklik!O67&lt;&gt;"",Çeyreklik!P67&lt;&gt;"",Çeyreklik!Q67&lt;&gt;""),Çeyreklik!N67+Çeyreklik!O67+Çeyreklik!P67+Çeyreklik!Q67,"")</f>
        <v>-9664300000</v>
      </c>
      <c r="O67" s="2">
        <f>IF(AND(Çeyreklik!O67&lt;&gt;"",Çeyreklik!P67&lt;&gt;"",Çeyreklik!Q67&lt;&gt;"",Çeyreklik!R67&lt;&gt;""),Çeyreklik!O67+Çeyreklik!P67+Çeyreklik!Q67+Çeyreklik!R67,"")</f>
        <v>2401490000</v>
      </c>
      <c r="P67" s="2">
        <f>IF(AND(Çeyreklik!P67&lt;&gt;"",Çeyreklik!Q67&lt;&gt;"",Çeyreklik!R67&lt;&gt;"",Çeyreklik!S67&lt;&gt;""),Çeyreklik!P67+Çeyreklik!Q67+Çeyreklik!R67+Çeyreklik!S67,"")</f>
        <v>14596149000</v>
      </c>
      <c r="Q67" s="2">
        <f>IF(AND(Çeyreklik!Q67&lt;&gt;"",Çeyreklik!R67&lt;&gt;"",Çeyreklik!S67&lt;&gt;"",Çeyreklik!T67&lt;&gt;""),Çeyreklik!Q67+Çeyreklik!R67+Çeyreklik!S67+Çeyreklik!T67,"")</f>
        <v>13802758511</v>
      </c>
      <c r="R67" s="2">
        <f>IF(AND(Çeyreklik!R67&lt;&gt;"",Çeyreklik!S67&lt;&gt;"",Çeyreklik!T67&lt;&gt;"",Çeyreklik!U67&lt;&gt;""),Çeyreklik!R67+Çeyreklik!S67+Çeyreklik!T67+Çeyreklik!U67,"")</f>
        <v>16415423511</v>
      </c>
      <c r="S67" s="2">
        <f>IF(AND(Çeyreklik!S67&lt;&gt;"",Çeyreklik!T67&lt;&gt;"",Çeyreklik!U67&lt;&gt;"",Çeyreklik!V67&lt;&gt;""),Çeyreklik!S67+Çeyreklik!T67+Çeyreklik!U67+Çeyreklik!V67,"")</f>
        <v>16355833511</v>
      </c>
      <c r="T67" s="2">
        <f>IF(AND(Çeyreklik!T67&lt;&gt;"",Çeyreklik!U67&lt;&gt;"",Çeyreklik!V67&lt;&gt;"",Çeyreklik!W67&lt;&gt;""),Çeyreklik!T67+Çeyreklik!U67+Çeyreklik!V67+Çeyreklik!W67,"")</f>
        <v>7042247511</v>
      </c>
    </row>
    <row r="68" spans="1:20" x14ac:dyDescent="0.25">
      <c r="A68" t="str">
        <f>Çeyreklik!A68</f>
        <v>Temettü Ödemeleri</v>
      </c>
      <c r="B68" s="2">
        <f>IF(AND(Çeyreklik!B68&lt;&gt;"",Çeyreklik!C68&lt;&gt;"",Çeyreklik!D68&lt;&gt;"",Çeyreklik!E68&lt;&gt;""),Çeyreklik!B68+Çeyreklik!C68+Çeyreklik!D68+Çeyreklik!E68,"")</f>
        <v>-72711000</v>
      </c>
      <c r="C68" s="2">
        <f>IF(AND(Çeyreklik!C68&lt;&gt;"",Çeyreklik!D68&lt;&gt;"",Çeyreklik!E68&lt;&gt;"",Çeyreklik!F68&lt;&gt;""),Çeyreklik!C68+Çeyreklik!D68+Çeyreklik!E68+Çeyreklik!F68,"")</f>
        <v>-355978000</v>
      </c>
      <c r="D68" s="2">
        <f>IF(AND(Çeyreklik!D68&lt;&gt;"",Çeyreklik!E68&lt;&gt;"",Çeyreklik!F68&lt;&gt;"",Çeyreklik!G68&lt;&gt;""),Çeyreklik!D68+Çeyreklik!E68+Çeyreklik!F68+Çeyreklik!G68,"")</f>
        <v>-355977000</v>
      </c>
      <c r="E68" s="2">
        <f>IF(AND(Çeyreklik!E68&lt;&gt;"",Çeyreklik!F68&lt;&gt;"",Çeyreklik!G68&lt;&gt;"",Çeyreklik!H68&lt;&gt;""),Çeyreklik!E68+Çeyreklik!F68+Çeyreklik!G68+Çeyreklik!H68,"")</f>
        <v>-373341000</v>
      </c>
      <c r="F68" s="2">
        <f>IF(AND(Çeyreklik!F68&lt;&gt;"",Çeyreklik!G68&lt;&gt;"",Çeyreklik!H68&lt;&gt;"",Çeyreklik!I68&lt;&gt;""),Çeyreklik!F68+Çeyreklik!G68+Çeyreklik!H68+Çeyreklik!I68,"")</f>
        <v>-307316000</v>
      </c>
      <c r="G68" s="2">
        <f>IF(AND(Çeyreklik!G68&lt;&gt;"",Çeyreklik!H68&lt;&gt;"",Çeyreklik!I68&lt;&gt;"",Çeyreklik!J68&lt;&gt;""),Çeyreklik!G68+Çeyreklik!H68+Çeyreklik!I68+Çeyreklik!J68,"")</f>
        <v>-24049000</v>
      </c>
      <c r="H68" s="2">
        <f>IF(AND(Çeyreklik!H68&lt;&gt;"",Çeyreklik!I68&lt;&gt;"",Çeyreklik!J68&lt;&gt;"",Çeyreklik!K68&lt;&gt;""),Çeyreklik!H68+Çeyreklik!I68+Çeyreklik!J68+Çeyreklik!K68,"")</f>
        <v>-143640000</v>
      </c>
      <c r="I68" s="2">
        <f>IF(AND(Çeyreklik!I68&lt;&gt;"",Çeyreklik!J68&lt;&gt;"",Çeyreklik!K68&lt;&gt;"",Çeyreklik!L68&lt;&gt;""),Çeyreklik!I68+Çeyreklik!J68+Çeyreklik!K68+Çeyreklik!L68,"")</f>
        <v>-198768000</v>
      </c>
      <c r="J68" s="2">
        <f>IF(AND(Çeyreklik!J68&lt;&gt;"",Çeyreklik!K68&lt;&gt;"",Çeyreklik!L68&lt;&gt;"",Çeyreklik!M68&lt;&gt;""),Çeyreklik!J68+Çeyreklik!K68+Çeyreklik!L68+Çeyreklik!M68,"")</f>
        <v>-198768000</v>
      </c>
      <c r="K68" s="2">
        <f>IF(AND(Çeyreklik!K68&lt;&gt;"",Çeyreklik!L68&lt;&gt;"",Çeyreklik!M68&lt;&gt;"",Çeyreklik!N68&lt;&gt;""),Çeyreklik!K68+Çeyreklik!L68+Çeyreklik!M68+Çeyreklik!N68,"")</f>
        <v>-541639000</v>
      </c>
      <c r="L68" s="2">
        <f>IF(AND(Çeyreklik!L68&lt;&gt;"",Çeyreklik!M68&lt;&gt;"",Çeyreklik!N68&lt;&gt;"",Çeyreklik!O68&lt;&gt;""),Çeyreklik!L68+Çeyreklik!M68+Çeyreklik!N68+Çeyreklik!O68,"")</f>
        <v>-377666000</v>
      </c>
      <c r="M68" s="2">
        <f>IF(AND(Çeyreklik!M68&lt;&gt;"",Çeyreklik!N68&lt;&gt;"",Çeyreklik!O68&lt;&gt;"",Çeyreklik!P68&lt;&gt;""),Çeyreklik!M68+Çeyreklik!N68+Çeyreklik!O68+Çeyreklik!P68,"")</f>
        <v>-288485000</v>
      </c>
      <c r="N68" s="2">
        <f>IF(AND(Çeyreklik!N68&lt;&gt;"",Çeyreklik!O68&lt;&gt;"",Çeyreklik!P68&lt;&gt;"",Çeyreklik!Q68&lt;&gt;""),Çeyreklik!N68+Çeyreklik!O68+Çeyreklik!P68+Çeyreklik!Q68,"")</f>
        <v>-288485000</v>
      </c>
      <c r="O68" s="2">
        <f>IF(AND(Çeyreklik!O68&lt;&gt;"",Çeyreklik!P68&lt;&gt;"",Çeyreklik!Q68&lt;&gt;"",Çeyreklik!R68&lt;&gt;""),Çeyreklik!O68+Çeyreklik!P68+Çeyreklik!Q68+Çeyreklik!R68,"")</f>
        <v>-407182000</v>
      </c>
      <c r="P68" s="2">
        <f>IF(AND(Çeyreklik!P68&lt;&gt;"",Çeyreklik!Q68&lt;&gt;"",Çeyreklik!R68&lt;&gt;"",Çeyreklik!S68&lt;&gt;""),Çeyreklik!P68+Çeyreklik!Q68+Çeyreklik!R68+Çeyreklik!S68,"")</f>
        <v>-445568000</v>
      </c>
      <c r="Q68" s="2">
        <f>IF(AND(Çeyreklik!Q68&lt;&gt;"",Çeyreklik!R68&lt;&gt;"",Çeyreklik!S68&lt;&gt;"",Çeyreklik!T68&lt;&gt;""),Çeyreklik!Q68+Çeyreklik!R68+Çeyreklik!S68+Çeyreklik!T68,"")</f>
        <v>-457530762</v>
      </c>
      <c r="R68" s="2">
        <f>IF(AND(Çeyreklik!R68&lt;&gt;"",Çeyreklik!S68&lt;&gt;"",Çeyreklik!T68&lt;&gt;"",Çeyreklik!U68&lt;&gt;""),Çeyreklik!R68+Çeyreklik!S68+Çeyreklik!T68+Çeyreklik!U68,"")</f>
        <v>-457530762</v>
      </c>
      <c r="S68" s="2">
        <f>IF(AND(Çeyreklik!S68&lt;&gt;"",Çeyreklik!T68&lt;&gt;"",Çeyreklik!U68&lt;&gt;"",Çeyreklik!V68&lt;&gt;""),Çeyreklik!S68+Çeyreklik!T68+Çeyreklik!U68+Çeyreklik!V68,"")</f>
        <v>-3432286762</v>
      </c>
      <c r="T68" s="2">
        <f>IF(AND(Çeyreklik!T68&lt;&gt;"",Çeyreklik!U68&lt;&gt;"",Çeyreklik!V68&lt;&gt;"",Çeyreklik!W68&lt;&gt;""),Çeyreklik!T68+Çeyreklik!U68+Çeyreklik!V68+Çeyreklik!W68,"")</f>
        <v>-3682208762</v>
      </c>
    </row>
    <row r="69" spans="1:20" x14ac:dyDescent="0.25">
      <c r="A69" t="str">
        <f>Çeyreklik!A69</f>
        <v>Sermaye Artırımı</v>
      </c>
      <c r="B69" s="2">
        <f>IF(AND(Çeyreklik!B69&lt;&gt;"",Çeyreklik!C69&lt;&gt;"",Çeyreklik!D69&lt;&gt;"",Çeyreklik!E69&lt;&gt;""),Çeyreklik!B69+Çeyreklik!C69+Çeyreklik!D69+Çeyreklik!E69,"")</f>
        <v>0</v>
      </c>
      <c r="C69" s="2">
        <f>IF(AND(Çeyreklik!C69&lt;&gt;"",Çeyreklik!D69&lt;&gt;"",Çeyreklik!E69&lt;&gt;"",Çeyreklik!F69&lt;&gt;""),Çeyreklik!C69+Çeyreklik!D69+Çeyreklik!E69+Çeyreklik!F69,"")</f>
        <v>0</v>
      </c>
      <c r="D69" s="2">
        <f>IF(AND(Çeyreklik!D69&lt;&gt;"",Çeyreklik!E69&lt;&gt;"",Çeyreklik!F69&lt;&gt;"",Çeyreklik!G69&lt;&gt;""),Çeyreklik!D69+Çeyreklik!E69+Çeyreklik!F69+Çeyreklik!G69,"")</f>
        <v>0</v>
      </c>
      <c r="E69" s="2">
        <f>IF(AND(Çeyreklik!E69&lt;&gt;"",Çeyreklik!F69&lt;&gt;"",Çeyreklik!G69&lt;&gt;"",Çeyreklik!H69&lt;&gt;""),Çeyreklik!E69+Çeyreklik!F69+Çeyreklik!G69+Çeyreklik!H69,"")</f>
        <v>0</v>
      </c>
      <c r="F69" s="2">
        <f>IF(AND(Çeyreklik!F69&lt;&gt;"",Çeyreklik!G69&lt;&gt;"",Çeyreklik!H69&lt;&gt;"",Çeyreklik!I69&lt;&gt;""),Çeyreklik!F69+Çeyreklik!G69+Çeyreklik!H69+Çeyreklik!I69,"")</f>
        <v>0</v>
      </c>
      <c r="G69" s="2">
        <f>IF(AND(Çeyreklik!G69&lt;&gt;"",Çeyreklik!H69&lt;&gt;"",Çeyreklik!I69&lt;&gt;"",Çeyreklik!J69&lt;&gt;""),Çeyreklik!G69+Çeyreklik!H69+Çeyreklik!I69+Çeyreklik!J69,"")</f>
        <v>0</v>
      </c>
      <c r="H69" s="2">
        <f>IF(AND(Çeyreklik!H69&lt;&gt;"",Çeyreklik!I69&lt;&gt;"",Çeyreklik!J69&lt;&gt;"",Çeyreklik!K69&lt;&gt;""),Çeyreklik!H69+Çeyreklik!I69+Çeyreklik!J69+Çeyreklik!K69,"")</f>
        <v>0</v>
      </c>
      <c r="I69" s="2">
        <f>IF(AND(Çeyreklik!I69&lt;&gt;"",Çeyreklik!J69&lt;&gt;"",Çeyreklik!K69&lt;&gt;"",Çeyreklik!L69&lt;&gt;""),Çeyreklik!I69+Çeyreklik!J69+Çeyreklik!K69+Çeyreklik!L69,"")</f>
        <v>0</v>
      </c>
      <c r="J69" s="2">
        <f>IF(AND(Çeyreklik!J69&lt;&gt;"",Çeyreklik!K69&lt;&gt;"",Çeyreklik!L69&lt;&gt;"",Çeyreklik!M69&lt;&gt;""),Çeyreklik!J69+Çeyreklik!K69+Çeyreklik!L69+Çeyreklik!M69,"")</f>
        <v>0</v>
      </c>
      <c r="K69" s="2">
        <f>IF(AND(Çeyreklik!K69&lt;&gt;"",Çeyreklik!L69&lt;&gt;"",Çeyreklik!M69&lt;&gt;"",Çeyreklik!N69&lt;&gt;""),Çeyreklik!K69+Çeyreklik!L69+Çeyreklik!M69+Çeyreklik!N69,"")</f>
        <v>0</v>
      </c>
      <c r="L69" s="2">
        <f>IF(AND(Çeyreklik!L69&lt;&gt;"",Çeyreklik!M69&lt;&gt;"",Çeyreklik!N69&lt;&gt;"",Çeyreklik!O69&lt;&gt;""),Çeyreklik!L69+Çeyreklik!M69+Çeyreklik!N69+Çeyreklik!O69,"")</f>
        <v>0</v>
      </c>
      <c r="M69" s="2">
        <f>IF(AND(Çeyreklik!M69&lt;&gt;"",Çeyreklik!N69&lt;&gt;"",Çeyreklik!O69&lt;&gt;"",Çeyreklik!P69&lt;&gt;""),Çeyreklik!M69+Çeyreklik!N69+Çeyreklik!O69+Çeyreklik!P69,"")</f>
        <v>0</v>
      </c>
      <c r="N69" s="2">
        <f>IF(AND(Çeyreklik!N69&lt;&gt;"",Çeyreklik!O69&lt;&gt;"",Çeyreklik!P69&lt;&gt;"",Çeyreklik!Q69&lt;&gt;""),Çeyreklik!N69+Çeyreklik!O69+Çeyreklik!P69+Çeyreklik!Q69,"")</f>
        <v>0</v>
      </c>
      <c r="O69" s="2">
        <f>IF(AND(Çeyreklik!O69&lt;&gt;"",Çeyreklik!P69&lt;&gt;"",Çeyreklik!Q69&lt;&gt;"",Çeyreklik!R69&lt;&gt;""),Çeyreklik!O69+Çeyreklik!P69+Çeyreklik!Q69+Çeyreklik!R69,"")</f>
        <v>0</v>
      </c>
      <c r="P69" s="2">
        <f>IF(AND(Çeyreklik!P69&lt;&gt;"",Çeyreklik!Q69&lt;&gt;"",Çeyreklik!R69&lt;&gt;"",Çeyreklik!S69&lt;&gt;""),Çeyreklik!P69+Çeyreklik!Q69+Çeyreklik!R69+Çeyreklik!S69,"")</f>
        <v>0</v>
      </c>
      <c r="Q69" s="2">
        <f>IF(AND(Çeyreklik!Q69&lt;&gt;"",Çeyreklik!R69&lt;&gt;"",Çeyreklik!S69&lt;&gt;"",Çeyreklik!T69&lt;&gt;""),Çeyreklik!Q69+Çeyreklik!R69+Çeyreklik!S69+Çeyreklik!T69,"")</f>
        <v>0</v>
      </c>
      <c r="R69" s="2">
        <f>IF(AND(Çeyreklik!R69&lt;&gt;"",Çeyreklik!S69&lt;&gt;"",Çeyreklik!T69&lt;&gt;"",Çeyreklik!U69&lt;&gt;""),Çeyreklik!R69+Çeyreklik!S69+Çeyreklik!T69+Çeyreklik!U69,"")</f>
        <v>0</v>
      </c>
      <c r="S69" s="2">
        <f>IF(AND(Çeyreklik!S69&lt;&gt;"",Çeyreklik!T69&lt;&gt;"",Çeyreklik!U69&lt;&gt;"",Çeyreklik!V69&lt;&gt;""),Çeyreklik!S69+Çeyreklik!T69+Çeyreklik!U69+Çeyreklik!V69,"")</f>
        <v>0</v>
      </c>
      <c r="T69" s="2">
        <f>IF(AND(Çeyreklik!T69&lt;&gt;"",Çeyreklik!U69&lt;&gt;"",Çeyreklik!V69&lt;&gt;"",Çeyreklik!W69&lt;&gt;""),Çeyreklik!T69+Çeyreklik!U69+Çeyreklik!V69+Çeyreklik!W69,"")</f>
        <v>0</v>
      </c>
    </row>
    <row r="70" spans="1:20" x14ac:dyDescent="0.25">
      <c r="A70" t="str">
        <f>Çeyreklik!A70</f>
        <v>Diğer Finansman Faaliyetlerinden Nakit</v>
      </c>
      <c r="B70" s="2">
        <f>IF(AND(Çeyreklik!B70&lt;&gt;"",Çeyreklik!C70&lt;&gt;"",Çeyreklik!D70&lt;&gt;"",Çeyreklik!E70&lt;&gt;""),Çeyreklik!B70+Çeyreklik!C70+Çeyreklik!D70+Çeyreklik!E70,"")</f>
        <v>65518000</v>
      </c>
      <c r="C70" s="2">
        <f>IF(AND(Çeyreklik!C70&lt;&gt;"",Çeyreklik!D70&lt;&gt;"",Çeyreklik!E70&lt;&gt;"",Çeyreklik!F70&lt;&gt;""),Çeyreklik!C70+Çeyreklik!D70+Çeyreklik!E70+Çeyreklik!F70,"")</f>
        <v>-658568000</v>
      </c>
      <c r="D70" s="2">
        <f>IF(AND(Çeyreklik!D70&lt;&gt;"",Çeyreklik!E70&lt;&gt;"",Çeyreklik!F70&lt;&gt;"",Çeyreklik!G70&lt;&gt;""),Çeyreklik!D70+Çeyreklik!E70+Çeyreklik!F70+Çeyreklik!G70,"")</f>
        <v>-663453000</v>
      </c>
      <c r="E70" s="2">
        <f>IF(AND(Çeyreklik!E70&lt;&gt;"",Çeyreklik!F70&lt;&gt;"",Çeyreklik!G70&lt;&gt;"",Çeyreklik!H70&lt;&gt;""),Çeyreklik!E70+Çeyreklik!F70+Çeyreklik!G70+Çeyreklik!H70,"")</f>
        <v>-764403000</v>
      </c>
      <c r="F70" s="2">
        <f>IF(AND(Çeyreklik!F70&lt;&gt;"",Çeyreklik!G70&lt;&gt;"",Çeyreklik!H70&lt;&gt;"",Çeyreklik!I70&lt;&gt;""),Çeyreklik!F70+Çeyreklik!G70+Çeyreklik!H70+Çeyreklik!I70,"")</f>
        <v>-791369000</v>
      </c>
      <c r="G70" s="2">
        <f>IF(AND(Çeyreklik!G70&lt;&gt;"",Çeyreklik!H70&lt;&gt;"",Çeyreklik!I70&lt;&gt;"",Çeyreklik!J70&lt;&gt;""),Çeyreklik!G70+Çeyreklik!H70+Çeyreklik!I70+Çeyreklik!J70,"")</f>
        <v>-1152444000</v>
      </c>
      <c r="H70" s="2">
        <f>IF(AND(Çeyreklik!H70&lt;&gt;"",Çeyreklik!I70&lt;&gt;"",Çeyreklik!J70&lt;&gt;"",Çeyreklik!K70&lt;&gt;""),Çeyreklik!H70+Çeyreklik!I70+Çeyreklik!J70+Çeyreklik!K70,"")</f>
        <v>-1153216000</v>
      </c>
      <c r="I70" s="2">
        <f>IF(AND(Çeyreklik!I70&lt;&gt;"",Çeyreklik!J70&lt;&gt;"",Çeyreklik!K70&lt;&gt;"",Çeyreklik!L70&lt;&gt;""),Çeyreklik!I70+Çeyreklik!J70+Çeyreklik!K70+Çeyreklik!L70,"")</f>
        <v>-4033243000</v>
      </c>
      <c r="J70" s="2">
        <f>IF(AND(Çeyreklik!J70&lt;&gt;"",Çeyreklik!K70&lt;&gt;"",Çeyreklik!L70&lt;&gt;"",Çeyreklik!M70&lt;&gt;""),Çeyreklik!J70+Çeyreklik!K70+Çeyreklik!L70+Çeyreklik!M70,"")</f>
        <v>-4108275000</v>
      </c>
      <c r="K70" s="2">
        <f>IF(AND(Çeyreklik!K70&lt;&gt;"",Çeyreklik!L70&lt;&gt;"",Çeyreklik!M70&lt;&gt;"",Çeyreklik!N70&lt;&gt;""),Çeyreklik!K70+Çeyreklik!L70+Çeyreklik!M70+Çeyreklik!N70,"")</f>
        <v>-4395360000</v>
      </c>
      <c r="L70" s="2">
        <f>IF(AND(Çeyreklik!L70&lt;&gt;"",Çeyreklik!M70&lt;&gt;"",Çeyreklik!N70&lt;&gt;"",Çeyreklik!O70&lt;&gt;""),Çeyreklik!L70+Çeyreklik!M70+Çeyreklik!N70+Çeyreklik!O70,"")</f>
        <v>-4505452000</v>
      </c>
      <c r="M70" s="2">
        <f>IF(AND(Çeyreklik!M70&lt;&gt;"",Çeyreklik!N70&lt;&gt;"",Çeyreklik!O70&lt;&gt;"",Çeyreklik!P70&lt;&gt;""),Çeyreklik!M70+Çeyreklik!N70+Çeyreklik!O70+Çeyreklik!P70,"")</f>
        <v>-4711070000</v>
      </c>
      <c r="N70" s="2">
        <f>IF(AND(Çeyreklik!N70&lt;&gt;"",Çeyreklik!O70&lt;&gt;"",Çeyreklik!P70&lt;&gt;"",Çeyreklik!Q70&lt;&gt;""),Çeyreklik!N70+Çeyreklik!O70+Çeyreklik!P70+Çeyreklik!Q70,"")</f>
        <v>-4766035000</v>
      </c>
      <c r="O70" s="2">
        <f>IF(AND(Çeyreklik!O70&lt;&gt;"",Çeyreklik!P70&lt;&gt;"",Çeyreklik!Q70&lt;&gt;"",Çeyreklik!R70&lt;&gt;""),Çeyreklik!O70+Çeyreklik!P70+Çeyreklik!Q70+Çeyreklik!R70,"")</f>
        <v>-6232553000</v>
      </c>
      <c r="P70" s="2">
        <f>IF(AND(Çeyreklik!P70&lt;&gt;"",Çeyreklik!Q70&lt;&gt;"",Çeyreklik!R70&lt;&gt;"",Çeyreklik!S70&lt;&gt;""),Çeyreklik!P70+Çeyreklik!Q70+Çeyreklik!R70+Çeyreklik!S70,"")</f>
        <v>-7028418000</v>
      </c>
      <c r="Q70" s="2">
        <f>IF(AND(Çeyreklik!Q70&lt;&gt;"",Çeyreklik!R70&lt;&gt;"",Çeyreklik!S70&lt;&gt;"",Çeyreklik!T70&lt;&gt;""),Çeyreklik!Q70+Çeyreklik!R70+Çeyreklik!S70+Çeyreklik!T70,"")</f>
        <v>-5973409773</v>
      </c>
      <c r="R70" s="2">
        <f>IF(AND(Çeyreklik!R70&lt;&gt;"",Çeyreklik!S70&lt;&gt;"",Çeyreklik!T70&lt;&gt;"",Çeyreklik!U70&lt;&gt;""),Çeyreklik!R70+Çeyreklik!S70+Çeyreklik!T70+Çeyreklik!U70,"")</f>
        <v>-8031365773</v>
      </c>
      <c r="S70" s="2">
        <f>IF(AND(Çeyreklik!S70&lt;&gt;"",Çeyreklik!T70&lt;&gt;"",Çeyreklik!U70&lt;&gt;"",Çeyreklik!V70&lt;&gt;""),Çeyreklik!S70+Çeyreklik!T70+Çeyreklik!U70+Çeyreklik!V70,"")</f>
        <v>-7690616773</v>
      </c>
      <c r="T70" s="2">
        <f>IF(AND(Çeyreklik!T70&lt;&gt;"",Çeyreklik!U70&lt;&gt;"",Çeyreklik!V70&lt;&gt;"",Çeyreklik!W70&lt;&gt;""),Çeyreklik!T70+Çeyreklik!U70+Çeyreklik!V70+Çeyreklik!W70,"")</f>
        <v>-8871598773</v>
      </c>
    </row>
    <row r="71" spans="1:20" x14ac:dyDescent="0.25">
      <c r="A71" t="str">
        <f>Çeyreklik!A71</f>
        <v>Finansman Faaliyetlerden Kaynaklanan Nakit</v>
      </c>
      <c r="B71" s="2">
        <f>IF(AND(Çeyreklik!B71&lt;&gt;"",Çeyreklik!C71&lt;&gt;"",Çeyreklik!D71&lt;&gt;"",Çeyreklik!E71&lt;&gt;""),Çeyreklik!B71+Çeyreklik!C71+Çeyreklik!D71+Çeyreklik!E71,"")</f>
        <v>2535874000</v>
      </c>
      <c r="C71" s="2">
        <f>IF(AND(Çeyreklik!C71&lt;&gt;"",Çeyreklik!D71&lt;&gt;"",Çeyreklik!E71&lt;&gt;"",Çeyreklik!F71&lt;&gt;""),Çeyreklik!C71+Çeyreklik!D71+Çeyreklik!E71+Çeyreklik!F71,"")</f>
        <v>993592000</v>
      </c>
      <c r="D71" s="2">
        <f>IF(AND(Çeyreklik!D71&lt;&gt;"",Çeyreklik!E71&lt;&gt;"",Çeyreklik!F71&lt;&gt;"",Çeyreklik!G71&lt;&gt;""),Çeyreklik!D71+Çeyreklik!E71+Çeyreklik!F71+Çeyreklik!G71,"")</f>
        <v>896696000</v>
      </c>
      <c r="E71" s="2">
        <f>IF(AND(Çeyreklik!E71&lt;&gt;"",Çeyreklik!F71&lt;&gt;"",Çeyreklik!G71&lt;&gt;"",Çeyreklik!H71&lt;&gt;""),Çeyreklik!E71+Çeyreklik!F71+Çeyreklik!G71+Çeyreklik!H71,"")</f>
        <v>-1255375000</v>
      </c>
      <c r="F71" s="2">
        <f>IF(AND(Çeyreklik!F71&lt;&gt;"",Çeyreklik!G71&lt;&gt;"",Çeyreklik!H71&lt;&gt;"",Çeyreklik!I71&lt;&gt;""),Çeyreklik!F71+Çeyreklik!G71+Çeyreklik!H71+Çeyreklik!I71,"")</f>
        <v>-2070185000</v>
      </c>
      <c r="G71" s="2">
        <f>IF(AND(Çeyreklik!G71&lt;&gt;"",Çeyreklik!H71&lt;&gt;"",Çeyreklik!I71&lt;&gt;"",Çeyreklik!J71&lt;&gt;""),Çeyreklik!G71+Çeyreklik!H71+Çeyreklik!I71+Çeyreklik!J71,"")</f>
        <v>-1660758000</v>
      </c>
      <c r="H71" s="2">
        <f>IF(AND(Çeyreklik!H71&lt;&gt;"",Çeyreklik!I71&lt;&gt;"",Çeyreklik!J71&lt;&gt;"",Çeyreklik!K71&lt;&gt;""),Çeyreklik!H71+Çeyreklik!I71+Çeyreklik!J71+Çeyreklik!K71,"")</f>
        <v>-1729842000</v>
      </c>
      <c r="I71" s="2">
        <f>IF(AND(Çeyreklik!I71&lt;&gt;"",Çeyreklik!J71&lt;&gt;"",Çeyreklik!K71&lt;&gt;"",Çeyreklik!L71&lt;&gt;""),Çeyreklik!I71+Çeyreklik!J71+Çeyreklik!K71+Çeyreklik!L71,"")</f>
        <v>-6232287000</v>
      </c>
      <c r="J71" s="2">
        <f>IF(AND(Çeyreklik!J71&lt;&gt;"",Çeyreklik!K71&lt;&gt;"",Çeyreklik!L71&lt;&gt;"",Çeyreklik!M71&lt;&gt;""),Çeyreklik!J71+Çeyreklik!K71+Çeyreklik!L71+Çeyreklik!M71,"")</f>
        <v>-5801584000</v>
      </c>
      <c r="K71" s="2">
        <f>IF(AND(Çeyreklik!K71&lt;&gt;"",Çeyreklik!L71&lt;&gt;"",Çeyreklik!M71&lt;&gt;"",Çeyreklik!N71&lt;&gt;""),Çeyreklik!K71+Çeyreklik!L71+Çeyreklik!M71+Çeyreklik!N71,"")</f>
        <v>-13981725000</v>
      </c>
      <c r="L71" s="2">
        <f>IF(AND(Çeyreklik!L71&lt;&gt;"",Çeyreklik!M71&lt;&gt;"",Çeyreklik!N71&lt;&gt;"",Çeyreklik!O71&lt;&gt;""),Çeyreklik!L71+Çeyreklik!M71+Çeyreklik!N71+Çeyreklik!O71,"")</f>
        <v>-16567930000</v>
      </c>
      <c r="M71" s="2">
        <f>IF(AND(Çeyreklik!M71&lt;&gt;"",Çeyreklik!N71&lt;&gt;"",Çeyreklik!O71&lt;&gt;"",Çeyreklik!P71&lt;&gt;""),Çeyreklik!M71+Çeyreklik!N71+Çeyreklik!O71+Çeyreklik!P71,"")</f>
        <v>-14960062000</v>
      </c>
      <c r="N71" s="2">
        <f>IF(AND(Çeyreklik!N71&lt;&gt;"",Çeyreklik!O71&lt;&gt;"",Çeyreklik!P71&lt;&gt;"",Çeyreklik!Q71&lt;&gt;""),Çeyreklik!N71+Çeyreklik!O71+Çeyreklik!P71+Çeyreklik!Q71,"")</f>
        <v>-14718820000</v>
      </c>
      <c r="O71" s="2">
        <f>IF(AND(Çeyreklik!O71&lt;&gt;"",Çeyreklik!P71&lt;&gt;"",Çeyreklik!Q71&lt;&gt;"",Çeyreklik!R71&lt;&gt;""),Çeyreklik!O71+Çeyreklik!P71+Çeyreklik!Q71+Çeyreklik!R71,"")</f>
        <v>-4238245000</v>
      </c>
      <c r="P71" s="2">
        <f>IF(AND(Çeyreklik!P71&lt;&gt;"",Çeyreklik!Q71&lt;&gt;"",Çeyreklik!R71&lt;&gt;"",Çeyreklik!S71&lt;&gt;""),Çeyreklik!P71+Çeyreklik!Q71+Çeyreklik!R71+Çeyreklik!S71,"")</f>
        <v>7122163000</v>
      </c>
      <c r="Q71" s="2">
        <f>IF(AND(Çeyreklik!Q71&lt;&gt;"",Çeyreklik!R71&lt;&gt;"",Çeyreklik!S71&lt;&gt;"",Çeyreklik!T71&lt;&gt;""),Çeyreklik!Q71+Çeyreklik!R71+Çeyreklik!S71+Çeyreklik!T71,"")</f>
        <v>7371817976</v>
      </c>
      <c r="R71" s="2">
        <f>IF(AND(Çeyreklik!R71&lt;&gt;"",Çeyreklik!S71&lt;&gt;"",Çeyreklik!T71&lt;&gt;"",Çeyreklik!U71&lt;&gt;""),Çeyreklik!R71+Çeyreklik!S71+Çeyreklik!T71+Çeyreklik!U71,"")</f>
        <v>7926526976</v>
      </c>
      <c r="S71" s="2">
        <f>IF(AND(Çeyreklik!S71&lt;&gt;"",Çeyreklik!T71&lt;&gt;"",Çeyreklik!U71&lt;&gt;"",Çeyreklik!V71&lt;&gt;""),Çeyreklik!S71+Çeyreklik!T71+Çeyreklik!U71+Çeyreklik!V71,"")</f>
        <v>5232929976</v>
      </c>
      <c r="T71" s="2">
        <f>IF(AND(Çeyreklik!T71&lt;&gt;"",Çeyreklik!U71&lt;&gt;"",Çeyreklik!V71&lt;&gt;"",Çeyreklik!W71&lt;&gt;""),Çeyreklik!T71+Çeyreklik!U71+Çeyreklik!V71+Çeyreklik!W71,"")</f>
        <v>-5511560024</v>
      </c>
    </row>
    <row r="72" spans="1:20" x14ac:dyDescent="0.25">
      <c r="A72" t="str">
        <f>Çeyreklik!A72</f>
        <v>Yab. Para Çev. Fark. Etk. Önc.Nak.Ve Nak. Benz. Net Artış/Azalış</v>
      </c>
      <c r="B72" s="2">
        <f>IF(AND(Çeyreklik!B72&lt;&gt;"",Çeyreklik!C72&lt;&gt;"",Çeyreklik!D72&lt;&gt;"",Çeyreklik!E72&lt;&gt;""),Çeyreklik!B72+Çeyreklik!C72+Çeyreklik!D72+Çeyreklik!E72,"")</f>
        <v>1812249000</v>
      </c>
      <c r="C72" s="2">
        <f>IF(AND(Çeyreklik!C72&lt;&gt;"",Çeyreklik!D72&lt;&gt;"",Çeyreklik!E72&lt;&gt;"",Çeyreklik!F72&lt;&gt;""),Çeyreklik!C72+Çeyreklik!D72+Çeyreklik!E72+Çeyreklik!F72,"")</f>
        <v>-425408000</v>
      </c>
      <c r="D72" s="2">
        <f>IF(AND(Çeyreklik!D72&lt;&gt;"",Çeyreklik!E72&lt;&gt;"",Çeyreklik!F72&lt;&gt;"",Çeyreklik!G72&lt;&gt;""),Çeyreklik!D72+Çeyreklik!E72+Çeyreklik!F72+Çeyreklik!G72,"")</f>
        <v>-1189264000</v>
      </c>
      <c r="E72" s="2">
        <f>IF(AND(Çeyreklik!E72&lt;&gt;"",Çeyreklik!F72&lt;&gt;"",Çeyreklik!G72&lt;&gt;"",Çeyreklik!H72&lt;&gt;""),Çeyreklik!E72+Çeyreklik!F72+Çeyreklik!G72+Çeyreklik!H72,"")</f>
        <v>-2771860000</v>
      </c>
      <c r="F72" s="2">
        <f>IF(AND(Çeyreklik!F72&lt;&gt;"",Çeyreklik!G72&lt;&gt;"",Çeyreklik!H72&lt;&gt;"",Çeyreklik!I72&lt;&gt;""),Çeyreklik!F72+Çeyreklik!G72+Çeyreklik!H72+Çeyreklik!I72,"")</f>
        <v>-2245646000</v>
      </c>
      <c r="G72" s="2">
        <f>IF(AND(Çeyreklik!G72&lt;&gt;"",Çeyreklik!H72&lt;&gt;"",Çeyreklik!I72&lt;&gt;"",Çeyreklik!J72&lt;&gt;""),Çeyreklik!G72+Çeyreklik!H72+Çeyreklik!I72+Çeyreklik!J72,"")</f>
        <v>-1792384000</v>
      </c>
      <c r="H72" s="2">
        <f>IF(AND(Çeyreklik!H72&lt;&gt;"",Çeyreklik!I72&lt;&gt;"",Çeyreklik!J72&lt;&gt;"",Çeyreklik!K72&lt;&gt;""),Çeyreklik!H72+Çeyreklik!I72+Çeyreklik!J72+Çeyreklik!K72,"")</f>
        <v>-1452009000</v>
      </c>
      <c r="I72" s="2">
        <f>IF(AND(Çeyreklik!I72&lt;&gt;"",Çeyreklik!J72&lt;&gt;"",Çeyreklik!K72&lt;&gt;"",Çeyreklik!L72&lt;&gt;""),Çeyreklik!I72+Çeyreklik!J72+Çeyreklik!K72+Çeyreklik!L72,"")</f>
        <v>8126188000</v>
      </c>
      <c r="J72" s="2">
        <f>IF(AND(Çeyreklik!J72&lt;&gt;"",Çeyreklik!K72&lt;&gt;"",Çeyreklik!L72&lt;&gt;"",Çeyreklik!M72&lt;&gt;""),Çeyreklik!J72+Çeyreklik!K72+Çeyreklik!L72+Çeyreklik!M72,"")</f>
        <v>9134500000</v>
      </c>
      <c r="K72" s="2">
        <f>IF(AND(Çeyreklik!K72&lt;&gt;"",Çeyreklik!L72&lt;&gt;"",Çeyreklik!M72&lt;&gt;"",Çeyreklik!N72&lt;&gt;""),Çeyreklik!K72+Çeyreklik!L72+Çeyreklik!M72+Çeyreklik!N72,"")</f>
        <v>-558223000</v>
      </c>
      <c r="L72" s="2">
        <f>IF(AND(Çeyreklik!L72&lt;&gt;"",Çeyreklik!M72&lt;&gt;"",Çeyreklik!N72&lt;&gt;"",Çeyreklik!O72&lt;&gt;""),Çeyreklik!L72+Çeyreklik!M72+Çeyreklik!N72+Çeyreklik!O72,"")</f>
        <v>-4243675000</v>
      </c>
      <c r="M72" s="2">
        <f>IF(AND(Çeyreklik!M72&lt;&gt;"",Çeyreklik!N72&lt;&gt;"",Çeyreklik!O72&lt;&gt;"",Çeyreklik!P72&lt;&gt;""),Çeyreklik!M72+Çeyreklik!N72+Çeyreklik!O72+Çeyreklik!P72,"")</f>
        <v>-13620877000</v>
      </c>
      <c r="N72" s="2">
        <f>IF(AND(Çeyreklik!N72&lt;&gt;"",Çeyreklik!O72&lt;&gt;"",Çeyreklik!P72&lt;&gt;"",Çeyreklik!Q72&lt;&gt;""),Çeyreklik!N72+Çeyreklik!O72+Çeyreklik!P72+Çeyreklik!Q72,"")</f>
        <v>-17936801000</v>
      </c>
      <c r="O72" s="2">
        <f>IF(AND(Çeyreklik!O72&lt;&gt;"",Çeyreklik!P72&lt;&gt;"",Çeyreklik!Q72&lt;&gt;"",Çeyreklik!R72&lt;&gt;""),Çeyreklik!O72+Çeyreklik!P72+Çeyreklik!Q72+Çeyreklik!R72,"")</f>
        <v>-3098404000</v>
      </c>
      <c r="P72" s="2">
        <f>IF(AND(Çeyreklik!P72&lt;&gt;"",Çeyreklik!Q72&lt;&gt;"",Çeyreklik!R72&lt;&gt;"",Çeyreklik!S72&lt;&gt;""),Çeyreklik!P72+Çeyreklik!Q72+Çeyreklik!R72+Çeyreklik!S72,"")</f>
        <v>6005237000</v>
      </c>
      <c r="Q72" s="2">
        <f>IF(AND(Çeyreklik!Q72&lt;&gt;"",Çeyreklik!R72&lt;&gt;"",Çeyreklik!S72&lt;&gt;"",Çeyreklik!T72&lt;&gt;""),Çeyreklik!Q72+Çeyreklik!R72+Çeyreklik!S72+Çeyreklik!T72,"")</f>
        <v>8573366950</v>
      </c>
      <c r="R72" s="2">
        <f>IF(AND(Çeyreklik!R72&lt;&gt;"",Çeyreklik!S72&lt;&gt;"",Çeyreklik!T72&lt;&gt;"",Çeyreklik!U72&lt;&gt;""),Çeyreklik!R72+Çeyreklik!S72+Çeyreklik!T72+Çeyreklik!U72,"")</f>
        <v>5226158950</v>
      </c>
      <c r="S72" s="2">
        <f>IF(AND(Çeyreklik!S72&lt;&gt;"",Çeyreklik!T72&lt;&gt;"",Çeyreklik!U72&lt;&gt;"",Çeyreklik!V72&lt;&gt;""),Çeyreklik!S72+Çeyreklik!T72+Çeyreklik!U72+Çeyreklik!V72,"")</f>
        <v>73093950</v>
      </c>
      <c r="T72" s="2">
        <f>IF(AND(Çeyreklik!T72&lt;&gt;"",Çeyreklik!U72&lt;&gt;"",Çeyreklik!V72&lt;&gt;"",Çeyreklik!W72&lt;&gt;""),Çeyreklik!T72+Çeyreklik!U72+Çeyreklik!V72+Çeyreklik!W72,"")</f>
        <v>-7015587050</v>
      </c>
    </row>
    <row r="73" spans="1:20" x14ac:dyDescent="0.25">
      <c r="A73" t="str">
        <f>Çeyreklik!A73</f>
        <v xml:space="preserve"> Yab.ı Para Çevrim Fark. Nakit Ve Nakit Benz. Üzerindeki Etkisi</v>
      </c>
      <c r="B73" s="2">
        <f>IF(AND(Çeyreklik!B73&lt;&gt;"",Çeyreklik!C73&lt;&gt;"",Çeyreklik!D73&lt;&gt;"",Çeyreklik!E73&lt;&gt;""),Çeyreklik!B73+Çeyreklik!C73+Çeyreklik!D73+Çeyreklik!E73,"")</f>
        <v>345477000</v>
      </c>
      <c r="C73" s="2">
        <f>IF(AND(Çeyreklik!C73&lt;&gt;"",Çeyreklik!D73&lt;&gt;"",Çeyreklik!E73&lt;&gt;"",Çeyreklik!F73&lt;&gt;""),Çeyreklik!C73+Çeyreklik!D73+Çeyreklik!E73+Çeyreklik!F73,"")</f>
        <v>501871000</v>
      </c>
      <c r="D73" s="2">
        <f>IF(AND(Çeyreklik!D73&lt;&gt;"",Çeyreklik!E73&lt;&gt;"",Çeyreklik!F73&lt;&gt;"",Çeyreklik!G73&lt;&gt;""),Çeyreklik!D73+Çeyreklik!E73+Çeyreklik!F73+Çeyreklik!G73,"")</f>
        <v>513848000</v>
      </c>
      <c r="E73" s="2">
        <f>IF(AND(Çeyreklik!E73&lt;&gt;"",Çeyreklik!F73&lt;&gt;"",Çeyreklik!G73&lt;&gt;"",Çeyreklik!H73&lt;&gt;""),Çeyreklik!E73+Çeyreklik!F73+Çeyreklik!G73+Çeyreklik!H73,"")</f>
        <v>1941174000</v>
      </c>
      <c r="F73" s="2">
        <f>IF(AND(Çeyreklik!F73&lt;&gt;"",Çeyreklik!G73&lt;&gt;"",Çeyreklik!H73&lt;&gt;"",Çeyreklik!I73&lt;&gt;""),Çeyreklik!F73+Çeyreklik!G73+Çeyreklik!H73+Çeyreklik!I73,"")</f>
        <v>1836204000</v>
      </c>
      <c r="G73" s="2">
        <f>IF(AND(Çeyreklik!G73&lt;&gt;"",Çeyreklik!H73&lt;&gt;"",Çeyreklik!I73&lt;&gt;"",Çeyreklik!J73&lt;&gt;""),Çeyreklik!G73+Çeyreklik!H73+Çeyreklik!I73+Çeyreklik!J73,"")</f>
        <v>2066499000</v>
      </c>
      <c r="H73" s="2">
        <f>IF(AND(Çeyreklik!H73&lt;&gt;"",Çeyreklik!I73&lt;&gt;"",Çeyreklik!J73&lt;&gt;"",Çeyreklik!K73&lt;&gt;""),Çeyreklik!H73+Çeyreklik!I73+Çeyreklik!J73+Çeyreklik!K73,"")</f>
        <v>2354811000</v>
      </c>
      <c r="I73" s="2">
        <f>IF(AND(Çeyreklik!I73&lt;&gt;"",Çeyreklik!J73&lt;&gt;"",Çeyreklik!K73&lt;&gt;"",Çeyreklik!L73&lt;&gt;""),Çeyreklik!I73+Çeyreklik!J73+Çeyreklik!K73+Çeyreklik!L73,"")</f>
        <v>-1009967000</v>
      </c>
      <c r="J73" s="2">
        <f>IF(AND(Çeyreklik!J73&lt;&gt;"",Çeyreklik!K73&lt;&gt;"",Çeyreklik!L73&lt;&gt;"",Çeyreklik!M73&lt;&gt;""),Çeyreklik!J73+Çeyreklik!K73+Çeyreklik!L73+Çeyreklik!M73,"")</f>
        <v>-2928981000</v>
      </c>
      <c r="K73" s="2">
        <f>IF(AND(Çeyreklik!K73&lt;&gt;"",Çeyreklik!L73&lt;&gt;"",Çeyreklik!M73&lt;&gt;"",Çeyreklik!N73&lt;&gt;""),Çeyreklik!K73+Çeyreklik!L73+Çeyreklik!M73+Çeyreklik!N73,"")</f>
        <v>3362378000</v>
      </c>
      <c r="L73" s="2">
        <f>IF(AND(Çeyreklik!L73&lt;&gt;"",Çeyreklik!M73&lt;&gt;"",Çeyreklik!N73&lt;&gt;"",Çeyreklik!O73&lt;&gt;""),Çeyreklik!L73+Çeyreklik!M73+Çeyreklik!N73+Çeyreklik!O73,"")</f>
        <v>4346225000</v>
      </c>
      <c r="M73" s="2">
        <f>IF(AND(Çeyreklik!M73&lt;&gt;"",Çeyreklik!N73&lt;&gt;"",Çeyreklik!O73&lt;&gt;"",Çeyreklik!P73&lt;&gt;""),Çeyreklik!M73+Çeyreklik!N73+Çeyreklik!O73+Çeyreklik!P73,"")</f>
        <v>8434448000</v>
      </c>
      <c r="N73" s="2">
        <f>IF(AND(Çeyreklik!N73&lt;&gt;"",Çeyreklik!O73&lt;&gt;"",Çeyreklik!P73&lt;&gt;"",Çeyreklik!Q73&lt;&gt;""),Çeyreklik!N73+Çeyreklik!O73+Çeyreklik!P73+Çeyreklik!Q73,"")</f>
        <v>12644010000</v>
      </c>
      <c r="O73" s="2">
        <f>IF(AND(Çeyreklik!O73&lt;&gt;"",Çeyreklik!P73&lt;&gt;"",Çeyreklik!Q73&lt;&gt;"",Çeyreklik!R73&lt;&gt;""),Çeyreklik!O73+Çeyreklik!P73+Çeyreklik!Q73+Çeyreklik!R73,"")</f>
        <v>4854633000</v>
      </c>
      <c r="P73" s="2">
        <f>IF(AND(Çeyreklik!P73&lt;&gt;"",Çeyreklik!Q73&lt;&gt;"",Çeyreklik!R73&lt;&gt;"",Çeyreklik!S73&lt;&gt;""),Çeyreklik!P73+Çeyreklik!Q73+Çeyreklik!R73+Çeyreklik!S73,"")</f>
        <v>5047534000</v>
      </c>
      <c r="Q73" s="2">
        <f>IF(AND(Çeyreklik!Q73&lt;&gt;"",Çeyreklik!R73&lt;&gt;"",Çeyreklik!S73&lt;&gt;"",Çeyreklik!T73&lt;&gt;""),Çeyreklik!Q73+Çeyreklik!R73+Çeyreklik!S73+Çeyreklik!T73,"")</f>
        <v>3314335123</v>
      </c>
      <c r="R73" s="2">
        <f>IF(AND(Çeyreklik!R73&lt;&gt;"",Çeyreklik!S73&lt;&gt;"",Çeyreklik!T73&lt;&gt;"",Çeyreklik!U73&lt;&gt;""),Çeyreklik!R73+Çeyreklik!S73+Çeyreklik!T73+Çeyreklik!U73,"")</f>
        <v>2679785123</v>
      </c>
      <c r="S73" s="2">
        <f>IF(AND(Çeyreklik!S73&lt;&gt;"",Çeyreklik!T73&lt;&gt;"",Çeyreklik!U73&lt;&gt;"",Çeyreklik!V73&lt;&gt;""),Çeyreklik!S73+Çeyreklik!T73+Çeyreklik!U73+Çeyreklik!V73,"")</f>
        <v>5561440123</v>
      </c>
      <c r="T73" s="2">
        <f>IF(AND(Çeyreklik!T73&lt;&gt;"",Çeyreklik!U73&lt;&gt;"",Çeyreklik!V73&lt;&gt;"",Çeyreklik!W73&lt;&gt;""),Çeyreklik!T73+Çeyreklik!U73+Çeyreklik!V73+Çeyreklik!W73,"")</f>
        <v>5489242123</v>
      </c>
    </row>
    <row r="74" spans="1:20" x14ac:dyDescent="0.25">
      <c r="A74" t="str">
        <f>Çeyreklik!A74</f>
        <v xml:space="preserve"> Diğer Nakit Girişi/Çıkışı</v>
      </c>
      <c r="B74" s="2">
        <f>IF(AND(Çeyreklik!B74&lt;&gt;"",Çeyreklik!C74&lt;&gt;"",Çeyreklik!D74&lt;&gt;"",Çeyreklik!E74&lt;&gt;""),Çeyreklik!B74+Çeyreklik!C74+Çeyreklik!D74+Çeyreklik!E74,"")</f>
        <v>0</v>
      </c>
      <c r="C74" s="2">
        <f>IF(AND(Çeyreklik!C74&lt;&gt;"",Çeyreklik!D74&lt;&gt;"",Çeyreklik!E74&lt;&gt;"",Çeyreklik!F74&lt;&gt;""),Çeyreklik!C74+Çeyreklik!D74+Çeyreklik!E74+Çeyreklik!F74,"")</f>
        <v>0</v>
      </c>
      <c r="D74" s="2">
        <f>IF(AND(Çeyreklik!D74&lt;&gt;"",Çeyreklik!E74&lt;&gt;"",Çeyreklik!F74&lt;&gt;"",Çeyreklik!G74&lt;&gt;""),Çeyreklik!D74+Çeyreklik!E74+Çeyreklik!F74+Çeyreklik!G74,"")</f>
        <v>0</v>
      </c>
      <c r="E74" s="2">
        <f>IF(AND(Çeyreklik!E74&lt;&gt;"",Çeyreklik!F74&lt;&gt;"",Çeyreklik!G74&lt;&gt;"",Çeyreklik!H74&lt;&gt;""),Çeyreklik!E74+Çeyreklik!F74+Çeyreklik!G74+Çeyreklik!H74,"")</f>
        <v>0</v>
      </c>
      <c r="F74" s="2">
        <f>IF(AND(Çeyreklik!F74&lt;&gt;"",Çeyreklik!G74&lt;&gt;"",Çeyreklik!H74&lt;&gt;"",Çeyreklik!I74&lt;&gt;""),Çeyreklik!F74+Çeyreklik!G74+Çeyreklik!H74+Çeyreklik!I74,"")</f>
        <v>0</v>
      </c>
      <c r="G74" s="2">
        <f>IF(AND(Çeyreklik!G74&lt;&gt;"",Çeyreklik!H74&lt;&gt;"",Çeyreklik!I74&lt;&gt;"",Çeyreklik!J74&lt;&gt;""),Çeyreklik!G74+Çeyreklik!H74+Çeyreklik!I74+Çeyreklik!J74,"")</f>
        <v>0</v>
      </c>
      <c r="H74" s="2">
        <f>IF(AND(Çeyreklik!H74&lt;&gt;"",Çeyreklik!I74&lt;&gt;"",Çeyreklik!J74&lt;&gt;"",Çeyreklik!K74&lt;&gt;""),Çeyreklik!H74+Çeyreklik!I74+Çeyreklik!J74+Çeyreklik!K74,"")</f>
        <v>0</v>
      </c>
      <c r="I74" s="2">
        <f>IF(AND(Çeyreklik!I74&lt;&gt;"",Çeyreklik!J74&lt;&gt;"",Çeyreklik!K74&lt;&gt;"",Çeyreklik!L74&lt;&gt;""),Çeyreklik!I74+Çeyreklik!J74+Çeyreklik!K74+Çeyreklik!L74,"")</f>
        <v>0</v>
      </c>
      <c r="J74" s="2">
        <f>IF(AND(Çeyreklik!J74&lt;&gt;"",Çeyreklik!K74&lt;&gt;"",Çeyreklik!L74&lt;&gt;"",Çeyreklik!M74&lt;&gt;""),Çeyreklik!J74+Çeyreklik!K74+Çeyreklik!L74+Çeyreklik!M74,"")</f>
        <v>0</v>
      </c>
      <c r="K74" s="2">
        <f>IF(AND(Çeyreklik!K74&lt;&gt;"",Çeyreklik!L74&lt;&gt;"",Çeyreklik!M74&lt;&gt;"",Çeyreklik!N74&lt;&gt;""),Çeyreklik!K74+Çeyreklik!L74+Çeyreklik!M74+Çeyreklik!N74,"")</f>
        <v>0</v>
      </c>
      <c r="L74" s="2">
        <f>IF(AND(Çeyreklik!L74&lt;&gt;"",Çeyreklik!M74&lt;&gt;"",Çeyreklik!N74&lt;&gt;"",Çeyreklik!O74&lt;&gt;""),Çeyreklik!L74+Çeyreklik!M74+Çeyreklik!N74+Çeyreklik!O74,"")</f>
        <v>0</v>
      </c>
      <c r="M74" s="2">
        <f>IF(AND(Çeyreklik!M74&lt;&gt;"",Çeyreklik!N74&lt;&gt;"",Çeyreklik!O74&lt;&gt;"",Çeyreklik!P74&lt;&gt;""),Çeyreklik!M74+Çeyreklik!N74+Çeyreklik!O74+Çeyreklik!P74,"")</f>
        <v>0</v>
      </c>
      <c r="N74" s="2">
        <f>IF(AND(Çeyreklik!N74&lt;&gt;"",Çeyreklik!O74&lt;&gt;"",Çeyreklik!P74&lt;&gt;"",Çeyreklik!Q74&lt;&gt;""),Çeyreklik!N74+Çeyreklik!O74+Çeyreklik!P74+Çeyreklik!Q74,"")</f>
        <v>0</v>
      </c>
      <c r="O74" s="2">
        <f>IF(AND(Çeyreklik!O74&lt;&gt;"",Çeyreklik!P74&lt;&gt;"",Çeyreklik!Q74&lt;&gt;"",Çeyreklik!R74&lt;&gt;""),Çeyreklik!O74+Çeyreklik!P74+Çeyreklik!Q74+Çeyreklik!R74,"")</f>
        <v>0</v>
      </c>
      <c r="P74" s="2">
        <f>IF(AND(Çeyreklik!P74&lt;&gt;"",Çeyreklik!Q74&lt;&gt;"",Çeyreklik!R74&lt;&gt;"",Çeyreklik!S74&lt;&gt;""),Çeyreklik!P74+Çeyreklik!Q74+Çeyreklik!R74+Çeyreklik!S74,"")</f>
        <v>0</v>
      </c>
      <c r="Q74" s="2">
        <f>IF(AND(Çeyreklik!Q74&lt;&gt;"",Çeyreklik!R74&lt;&gt;"",Çeyreklik!S74&lt;&gt;"",Çeyreklik!T74&lt;&gt;""),Çeyreklik!Q74+Çeyreklik!R74+Çeyreklik!S74+Çeyreklik!T74,"")</f>
        <v>0</v>
      </c>
      <c r="R74" s="2">
        <f>IF(AND(Çeyreklik!R74&lt;&gt;"",Çeyreklik!S74&lt;&gt;"",Çeyreklik!T74&lt;&gt;"",Çeyreklik!U74&lt;&gt;""),Çeyreklik!R74+Çeyreklik!S74+Çeyreklik!T74+Çeyreklik!U74,"")</f>
        <v>0</v>
      </c>
      <c r="S74" s="2">
        <f>IF(AND(Çeyreklik!S74&lt;&gt;"",Çeyreklik!T74&lt;&gt;"",Çeyreklik!U74&lt;&gt;"",Çeyreklik!V74&lt;&gt;""),Çeyreklik!S74+Çeyreklik!T74+Çeyreklik!U74+Çeyreklik!V74,"")</f>
        <v>0</v>
      </c>
      <c r="T74" s="2">
        <f>IF(AND(Çeyreklik!T74&lt;&gt;"",Çeyreklik!U74&lt;&gt;"",Çeyreklik!V74&lt;&gt;"",Çeyreklik!W74&lt;&gt;""),Çeyreklik!T74+Çeyreklik!U74+Çeyreklik!V74+Çeyreklik!W74,"")</f>
        <v>0</v>
      </c>
    </row>
    <row r="75" spans="1:20" x14ac:dyDescent="0.25">
      <c r="A75" t="str">
        <f>Çeyreklik!A75</f>
        <v>Nakit ve Benzerlerindeki Değişim</v>
      </c>
      <c r="B75" s="2">
        <f>IF(AND(Çeyreklik!B75&lt;&gt;"",Çeyreklik!C75&lt;&gt;"",Çeyreklik!D75&lt;&gt;"",Çeyreklik!E75&lt;&gt;""),Çeyreklik!B75+Çeyreklik!C75+Çeyreklik!D75+Çeyreklik!E75,"")</f>
        <v>2157726000</v>
      </c>
      <c r="C75" s="2">
        <f>IF(AND(Çeyreklik!C75&lt;&gt;"",Çeyreklik!D75&lt;&gt;"",Çeyreklik!E75&lt;&gt;"",Çeyreklik!F75&lt;&gt;""),Çeyreklik!C75+Çeyreklik!D75+Çeyreklik!E75+Çeyreklik!F75,"")</f>
        <v>76463000</v>
      </c>
      <c r="D75" s="2">
        <f>IF(AND(Çeyreklik!D75&lt;&gt;"",Çeyreklik!E75&lt;&gt;"",Çeyreklik!F75&lt;&gt;"",Çeyreklik!G75&lt;&gt;""),Çeyreklik!D75+Çeyreklik!E75+Çeyreklik!F75+Çeyreklik!G75,"")</f>
        <v>-675416000</v>
      </c>
      <c r="E75" s="2">
        <f>IF(AND(Çeyreklik!E75&lt;&gt;"",Çeyreklik!F75&lt;&gt;"",Çeyreklik!G75&lt;&gt;"",Çeyreklik!H75&lt;&gt;""),Çeyreklik!E75+Çeyreklik!F75+Çeyreklik!G75+Çeyreklik!H75,"")</f>
        <v>-830686000</v>
      </c>
      <c r="F75" s="2">
        <f>IF(AND(Çeyreklik!F75&lt;&gt;"",Çeyreklik!G75&lt;&gt;"",Çeyreklik!H75&lt;&gt;"",Çeyreklik!I75&lt;&gt;""),Çeyreklik!F75+Çeyreklik!G75+Çeyreklik!H75+Çeyreklik!I75,"")</f>
        <v>-409442000</v>
      </c>
      <c r="G75" s="2">
        <f>IF(AND(Çeyreklik!G75&lt;&gt;"",Çeyreklik!H75&lt;&gt;"",Çeyreklik!I75&lt;&gt;"",Çeyreklik!J75&lt;&gt;""),Çeyreklik!G75+Çeyreklik!H75+Çeyreklik!I75+Çeyreklik!J75,"")</f>
        <v>274115000</v>
      </c>
      <c r="H75" s="2">
        <f>IF(AND(Çeyreklik!H75&lt;&gt;"",Çeyreklik!I75&lt;&gt;"",Çeyreklik!J75&lt;&gt;"",Çeyreklik!K75&lt;&gt;""),Çeyreklik!H75+Çeyreklik!I75+Çeyreklik!J75+Çeyreklik!K75,"")</f>
        <v>902802000</v>
      </c>
      <c r="I75" s="2">
        <f>IF(AND(Çeyreklik!I75&lt;&gt;"",Çeyreklik!J75&lt;&gt;"",Çeyreklik!K75&lt;&gt;"",Çeyreklik!L75&lt;&gt;""),Çeyreklik!I75+Çeyreklik!J75+Çeyreklik!K75+Çeyreklik!L75,"")</f>
        <v>7116221000</v>
      </c>
      <c r="J75" s="2">
        <f>IF(AND(Çeyreklik!J75&lt;&gt;"",Çeyreklik!K75&lt;&gt;"",Çeyreklik!L75&lt;&gt;"",Çeyreklik!M75&lt;&gt;""),Çeyreklik!J75+Çeyreklik!K75+Çeyreklik!L75+Çeyreklik!M75,"")</f>
        <v>6205519000</v>
      </c>
      <c r="K75" s="2">
        <f>IF(AND(Çeyreklik!K75&lt;&gt;"",Çeyreklik!L75&lt;&gt;"",Çeyreklik!M75&lt;&gt;"",Çeyreklik!N75&lt;&gt;""),Çeyreklik!K75+Çeyreklik!L75+Çeyreklik!M75+Çeyreklik!N75,"")</f>
        <v>2804155000</v>
      </c>
      <c r="L75" s="2">
        <f>IF(AND(Çeyreklik!L75&lt;&gt;"",Çeyreklik!M75&lt;&gt;"",Çeyreklik!N75&lt;&gt;"",Çeyreklik!O75&lt;&gt;""),Çeyreklik!L75+Çeyreklik!M75+Çeyreklik!N75+Çeyreklik!O75,"")</f>
        <v>102550000</v>
      </c>
      <c r="M75" s="2">
        <f>IF(AND(Çeyreklik!M75&lt;&gt;"",Çeyreklik!N75&lt;&gt;"",Çeyreklik!O75&lt;&gt;"",Çeyreklik!P75&lt;&gt;""),Çeyreklik!M75+Çeyreklik!N75+Çeyreklik!O75+Çeyreklik!P75,"")</f>
        <v>-5186429000</v>
      </c>
      <c r="N75" s="2">
        <f>IF(AND(Çeyreklik!N75&lt;&gt;"",Çeyreklik!O75&lt;&gt;"",Çeyreklik!P75&lt;&gt;"",Çeyreklik!Q75&lt;&gt;""),Çeyreklik!N75+Çeyreklik!O75+Çeyreklik!P75+Çeyreklik!Q75,"")</f>
        <v>-5292791000</v>
      </c>
      <c r="O75" s="2">
        <f>IF(AND(Çeyreklik!O75&lt;&gt;"",Çeyreklik!P75&lt;&gt;"",Çeyreklik!Q75&lt;&gt;"",Çeyreklik!R75&lt;&gt;""),Çeyreklik!O75+Çeyreklik!P75+Çeyreklik!Q75+Çeyreklik!R75,"")</f>
        <v>1756229000</v>
      </c>
      <c r="P75" s="2">
        <f>IF(AND(Çeyreklik!P75&lt;&gt;"",Çeyreklik!Q75&lt;&gt;"",Çeyreklik!R75&lt;&gt;"",Çeyreklik!S75&lt;&gt;""),Çeyreklik!P75+Çeyreklik!Q75+Çeyreklik!R75+Çeyreklik!S75,"")</f>
        <v>11052771000</v>
      </c>
      <c r="Q75" s="2">
        <f>IF(AND(Çeyreklik!Q75&lt;&gt;"",Çeyreklik!R75&lt;&gt;"",Çeyreklik!S75&lt;&gt;"",Çeyreklik!T75&lt;&gt;""),Çeyreklik!Q75+Çeyreklik!R75+Çeyreklik!S75+Çeyreklik!T75,"")</f>
        <v>11887702073</v>
      </c>
      <c r="R75" s="2">
        <f>IF(AND(Çeyreklik!R75&lt;&gt;"",Çeyreklik!S75&lt;&gt;"",Çeyreklik!T75&lt;&gt;"",Çeyreklik!U75&lt;&gt;""),Çeyreklik!R75+Çeyreklik!S75+Çeyreklik!T75+Çeyreklik!U75,"")</f>
        <v>7905944073</v>
      </c>
      <c r="S75" s="2">
        <f>IF(AND(Çeyreklik!S75&lt;&gt;"",Çeyreklik!T75&lt;&gt;"",Çeyreklik!U75&lt;&gt;"",Çeyreklik!V75&lt;&gt;""),Çeyreklik!S75+Çeyreklik!T75+Çeyreklik!U75+Çeyreklik!V75,"")</f>
        <v>5634534073</v>
      </c>
      <c r="T75" s="2">
        <f>IF(AND(Çeyreklik!T75&lt;&gt;"",Çeyreklik!U75&lt;&gt;"",Çeyreklik!V75&lt;&gt;"",Çeyreklik!W75&lt;&gt;""),Çeyreklik!T75+Çeyreklik!U75+Çeyreklik!V75+Çeyreklik!W75,"")</f>
        <v>-1526344927</v>
      </c>
    </row>
    <row r="76" spans="1:20" x14ac:dyDescent="0.25">
      <c r="A76" t="str">
        <f>Çeyreklik!A76</f>
        <v>Diğer Nakit ve Nakit Benzerlerindeki Artış</v>
      </c>
      <c r="B76" s="2">
        <f>IF(AND(Çeyreklik!B76&lt;&gt;"",Çeyreklik!C76&lt;&gt;"",Çeyreklik!D76&lt;&gt;"",Çeyreklik!E76&lt;&gt;""),Çeyreklik!B76+Çeyreklik!C76+Çeyreklik!D76+Çeyreklik!E76,"")</f>
        <v>0</v>
      </c>
      <c r="C76" s="2">
        <f>IF(AND(Çeyreklik!C76&lt;&gt;"",Çeyreklik!D76&lt;&gt;"",Çeyreklik!E76&lt;&gt;"",Çeyreklik!F76&lt;&gt;""),Çeyreklik!C76+Çeyreklik!D76+Çeyreklik!E76+Çeyreklik!F76,"")</f>
        <v>0</v>
      </c>
      <c r="D76" s="2">
        <f>IF(AND(Çeyreklik!D76&lt;&gt;"",Çeyreklik!E76&lt;&gt;"",Çeyreklik!F76&lt;&gt;"",Çeyreklik!G76&lt;&gt;""),Çeyreklik!D76+Çeyreklik!E76+Çeyreklik!F76+Çeyreklik!G76,"")</f>
        <v>0</v>
      </c>
      <c r="E76" s="2">
        <f>IF(AND(Çeyreklik!E76&lt;&gt;"",Çeyreklik!F76&lt;&gt;"",Çeyreklik!G76&lt;&gt;"",Çeyreklik!H76&lt;&gt;""),Çeyreklik!E76+Çeyreklik!F76+Çeyreklik!G76+Çeyreklik!H76,"")</f>
        <v>0</v>
      </c>
      <c r="F76" s="2">
        <f>IF(AND(Çeyreklik!F76&lt;&gt;"",Çeyreklik!G76&lt;&gt;"",Çeyreklik!H76&lt;&gt;"",Çeyreklik!I76&lt;&gt;""),Çeyreklik!F76+Çeyreklik!G76+Çeyreklik!H76+Çeyreklik!I76,"")</f>
        <v>0</v>
      </c>
      <c r="G76" s="2">
        <f>IF(AND(Çeyreklik!G76&lt;&gt;"",Çeyreklik!H76&lt;&gt;"",Çeyreklik!I76&lt;&gt;"",Çeyreklik!J76&lt;&gt;""),Çeyreklik!G76+Çeyreklik!H76+Çeyreklik!I76+Çeyreklik!J76,"")</f>
        <v>0</v>
      </c>
      <c r="H76" s="2">
        <f>IF(AND(Çeyreklik!H76&lt;&gt;"",Çeyreklik!I76&lt;&gt;"",Çeyreklik!J76&lt;&gt;"",Çeyreklik!K76&lt;&gt;""),Çeyreklik!H76+Çeyreklik!I76+Çeyreklik!J76+Çeyreklik!K76,"")</f>
        <v>0</v>
      </c>
      <c r="I76" s="2">
        <f>IF(AND(Çeyreklik!I76&lt;&gt;"",Çeyreklik!J76&lt;&gt;"",Çeyreklik!K76&lt;&gt;"",Çeyreklik!L76&lt;&gt;""),Çeyreklik!I76+Çeyreklik!J76+Çeyreklik!K76+Çeyreklik!L76,"")</f>
        <v>0</v>
      </c>
      <c r="J76" s="2">
        <f>IF(AND(Çeyreklik!J76&lt;&gt;"",Çeyreklik!K76&lt;&gt;"",Çeyreklik!L76&lt;&gt;"",Çeyreklik!M76&lt;&gt;""),Çeyreklik!J76+Çeyreklik!K76+Çeyreklik!L76+Çeyreklik!M76,"")</f>
        <v>0</v>
      </c>
      <c r="K76" s="2">
        <f>IF(AND(Çeyreklik!K76&lt;&gt;"",Çeyreklik!L76&lt;&gt;"",Çeyreklik!M76&lt;&gt;"",Çeyreklik!N76&lt;&gt;""),Çeyreklik!K76+Çeyreklik!L76+Çeyreklik!M76+Çeyreklik!N76,"")</f>
        <v>0</v>
      </c>
      <c r="L76" s="2">
        <f>IF(AND(Çeyreklik!L76&lt;&gt;"",Çeyreklik!M76&lt;&gt;"",Çeyreklik!N76&lt;&gt;"",Çeyreklik!O76&lt;&gt;""),Çeyreklik!L76+Çeyreklik!M76+Çeyreklik!N76+Çeyreklik!O76,"")</f>
        <v>0</v>
      </c>
      <c r="M76" s="2">
        <f>IF(AND(Çeyreklik!M76&lt;&gt;"",Çeyreklik!N76&lt;&gt;"",Çeyreklik!O76&lt;&gt;"",Çeyreklik!P76&lt;&gt;""),Çeyreklik!M76+Çeyreklik!N76+Çeyreklik!O76+Çeyreklik!P76,"")</f>
        <v>0</v>
      </c>
      <c r="N76" s="2">
        <f>IF(AND(Çeyreklik!N76&lt;&gt;"",Çeyreklik!O76&lt;&gt;"",Çeyreklik!P76&lt;&gt;"",Çeyreklik!Q76&lt;&gt;""),Çeyreklik!N76+Çeyreklik!O76+Çeyreklik!P76+Çeyreklik!Q76,"")</f>
        <v>0</v>
      </c>
      <c r="O76" s="2">
        <f>IF(AND(Çeyreklik!O76&lt;&gt;"",Çeyreklik!P76&lt;&gt;"",Çeyreklik!Q76&lt;&gt;"",Çeyreklik!R76&lt;&gt;""),Çeyreklik!O76+Çeyreklik!P76+Çeyreklik!Q76+Çeyreklik!R76,"")</f>
        <v>0</v>
      </c>
      <c r="P76" s="2">
        <f>IF(AND(Çeyreklik!P76&lt;&gt;"",Çeyreklik!Q76&lt;&gt;"",Çeyreklik!R76&lt;&gt;"",Çeyreklik!S76&lt;&gt;""),Çeyreklik!P76+Çeyreklik!Q76+Çeyreklik!R76+Çeyreklik!S76,"")</f>
        <v>0</v>
      </c>
      <c r="Q76" s="2">
        <f>IF(AND(Çeyreklik!Q76&lt;&gt;"",Çeyreklik!R76&lt;&gt;"",Çeyreklik!S76&lt;&gt;"",Çeyreklik!T76&lt;&gt;""),Çeyreklik!Q76+Çeyreklik!R76+Çeyreklik!S76+Çeyreklik!T76,"")</f>
        <v>0</v>
      </c>
      <c r="R76" s="2">
        <f>IF(AND(Çeyreklik!R76&lt;&gt;"",Çeyreklik!S76&lt;&gt;"",Çeyreklik!T76&lt;&gt;"",Çeyreklik!U76&lt;&gt;""),Çeyreklik!R76+Çeyreklik!S76+Çeyreklik!T76+Çeyreklik!U76,"")</f>
        <v>0</v>
      </c>
      <c r="S76" s="2">
        <f>IF(AND(Çeyreklik!S76&lt;&gt;"",Çeyreklik!T76&lt;&gt;"",Çeyreklik!U76&lt;&gt;"",Çeyreklik!V76&lt;&gt;""),Çeyreklik!S76+Çeyreklik!T76+Çeyreklik!U76+Çeyreklik!V76,"")</f>
        <v>0</v>
      </c>
      <c r="T76" s="2">
        <f>IF(AND(Çeyreklik!T76&lt;&gt;"",Çeyreklik!U76&lt;&gt;"",Çeyreklik!V76&lt;&gt;"",Çeyreklik!W76&lt;&gt;""),Çeyreklik!T76+Çeyreklik!U76+Çeyreklik!V76+Çeyreklik!W76,"")</f>
        <v>0</v>
      </c>
    </row>
    <row r="77" spans="1:20" x14ac:dyDescent="0.25">
      <c r="A77" t="str">
        <f>Çeyreklik!A77</f>
        <v>Dönem Başı Nakit Değerler</v>
      </c>
      <c r="B77" s="2">
        <f>IF(AND(Çeyreklik!B77&lt;&gt;"",Çeyreklik!C77&lt;&gt;"",Çeyreklik!D77&lt;&gt;"",Çeyreklik!E77&lt;&gt;""),Çeyreklik!B77+Çeyreklik!C77+Çeyreklik!D77+Çeyreklik!E77,"")</f>
        <v>3852994000</v>
      </c>
      <c r="C77" s="2">
        <f>IF(AND(Çeyreklik!C77&lt;&gt;"",Çeyreklik!D77&lt;&gt;"",Çeyreklik!E77&lt;&gt;"",Çeyreklik!F77&lt;&gt;""),Çeyreklik!C77+Çeyreklik!D77+Çeyreklik!E77+Çeyreklik!F77,"")</f>
        <v>3852994000</v>
      </c>
      <c r="D77" s="2">
        <f>IF(AND(Çeyreklik!D77&lt;&gt;"",Çeyreklik!E77&lt;&gt;"",Çeyreklik!F77&lt;&gt;"",Çeyreklik!G77&lt;&gt;""),Çeyreklik!D77+Çeyreklik!E77+Çeyreklik!F77+Çeyreklik!G77,"")</f>
        <v>3835520000</v>
      </c>
      <c r="E77" s="2">
        <f>IF(AND(Çeyreklik!E77&lt;&gt;"",Çeyreklik!F77&lt;&gt;"",Çeyreklik!G77&lt;&gt;"",Çeyreklik!H77&lt;&gt;""),Çeyreklik!E77+Çeyreklik!F77+Çeyreklik!G77+Çeyreklik!H77,"")</f>
        <v>3835520000</v>
      </c>
      <c r="F77" s="2">
        <f>IF(AND(Çeyreklik!F77&lt;&gt;"",Çeyreklik!G77&lt;&gt;"",Çeyreklik!H77&lt;&gt;"",Çeyreklik!I77&lt;&gt;""),Çeyreklik!F77+Çeyreklik!G77+Çeyreklik!H77+Çeyreklik!I77,"")</f>
        <v>3004834000</v>
      </c>
      <c r="G77" s="2">
        <f>IF(AND(Çeyreklik!G77&lt;&gt;"",Çeyreklik!H77&lt;&gt;"",Çeyreklik!I77&lt;&gt;"",Çeyreklik!J77&lt;&gt;""),Çeyreklik!G77+Çeyreklik!H77+Çeyreklik!I77+Çeyreklik!J77,"")</f>
        <v>3004834000</v>
      </c>
      <c r="H77" s="2">
        <f>IF(AND(Çeyreklik!H77&lt;&gt;"",Çeyreklik!I77&lt;&gt;"",Çeyreklik!J77&lt;&gt;"",Çeyreklik!K77&lt;&gt;""),Çeyreklik!H77+Çeyreklik!I77+Çeyreklik!J77+Çeyreklik!K77,"")</f>
        <v>3004834000</v>
      </c>
      <c r="I77" s="2">
        <f>IF(AND(Çeyreklik!I77&lt;&gt;"",Çeyreklik!J77&lt;&gt;"",Çeyreklik!K77&lt;&gt;"",Çeyreklik!L77&lt;&gt;""),Çeyreklik!I77+Çeyreklik!J77+Çeyreklik!K77+Çeyreklik!L77,"")</f>
        <v>8133239000</v>
      </c>
      <c r="J77" s="2">
        <f>IF(AND(Çeyreklik!J77&lt;&gt;"",Çeyreklik!K77&lt;&gt;"",Çeyreklik!L77&lt;&gt;"",Çeyreklik!M77&lt;&gt;""),Çeyreklik!J77+Çeyreklik!K77+Çeyreklik!L77+Çeyreklik!M77,"")</f>
        <v>22674986000</v>
      </c>
      <c r="K77" s="2">
        <f>IF(AND(Çeyreklik!K77&lt;&gt;"",Çeyreklik!L77&lt;&gt;"",Çeyreklik!M77&lt;&gt;"",Çeyreklik!N77&lt;&gt;""),Çeyreklik!K77+Çeyreklik!L77+Çeyreklik!M77+Çeyreklik!N77,"")</f>
        <v>24149756000</v>
      </c>
      <c r="L77" s="2">
        <f>IF(AND(Çeyreklik!L77&lt;&gt;"",Çeyreklik!M77&lt;&gt;"",Çeyreklik!N77&lt;&gt;"",Çeyreklik!O77&lt;&gt;""),Çeyreklik!L77+Çeyreklik!M77+Çeyreklik!N77+Çeyreklik!O77,"")</f>
        <v>25846373000</v>
      </c>
      <c r="M77" s="2">
        <f>IF(AND(Çeyreklik!M77&lt;&gt;"",Çeyreklik!N77&lt;&gt;"",Çeyreklik!O77&lt;&gt;"",Çeyreklik!P77&lt;&gt;""),Çeyreklik!M77+Çeyreklik!N77+Çeyreklik!O77+Çeyreklik!P77,"")</f>
        <v>22016983000</v>
      </c>
      <c r="N77" s="2">
        <f>IF(AND(Çeyreklik!N77&lt;&gt;"",Çeyreklik!O77&lt;&gt;"",Çeyreklik!P77&lt;&gt;"",Çeyreklik!Q77&lt;&gt;""),Çeyreklik!N77+Çeyreklik!O77+Çeyreklik!P77+Çeyreklik!Q77,"")</f>
        <v>22994575000</v>
      </c>
      <c r="O77" s="2">
        <f>IF(AND(Çeyreklik!O77&lt;&gt;"",Çeyreklik!P77&lt;&gt;"",Çeyreklik!Q77&lt;&gt;"",Çeyreklik!R77&lt;&gt;""),Çeyreklik!O77+Çeyreklik!P77+Çeyreklik!Q77+Çeyreklik!R77,"")</f>
        <v>22632501000</v>
      </c>
      <c r="P77" s="2">
        <f>IF(AND(Çeyreklik!P77&lt;&gt;"",Çeyreklik!Q77&lt;&gt;"",Çeyreklik!R77&lt;&gt;"",Çeyreklik!S77&lt;&gt;""),Çeyreklik!P77+Çeyreklik!Q77+Çeyreklik!R77+Çeyreklik!S77,"")</f>
        <v>22409510000</v>
      </c>
      <c r="Q77" s="2">
        <f>IF(AND(Çeyreklik!Q77&lt;&gt;"",Çeyreklik!R77&lt;&gt;"",Çeyreklik!S77&lt;&gt;"",Çeyreklik!T77&lt;&gt;""),Çeyreklik!Q77+Çeyreklik!R77+Çeyreklik!S77+Çeyreklik!T77,"")</f>
        <v>21110494511</v>
      </c>
      <c r="R77" s="2">
        <f>IF(AND(Çeyreklik!R77&lt;&gt;"",Çeyreklik!S77&lt;&gt;"",Çeyreklik!T77&lt;&gt;"",Çeyreklik!U77&lt;&gt;""),Çeyreklik!R77+Çeyreklik!S77+Çeyreklik!T77+Çeyreklik!U77,"")</f>
        <v>31541792511</v>
      </c>
      <c r="S77" s="2">
        <f>IF(AND(Çeyreklik!S77&lt;&gt;"",Çeyreklik!T77&lt;&gt;"",Çeyreklik!U77&lt;&gt;"",Çeyreklik!V77&lt;&gt;""),Çeyreklik!S77+Çeyreklik!T77+Çeyreklik!U77+Çeyreklik!V77,"")</f>
        <v>32168371511</v>
      </c>
      <c r="T77" s="2">
        <f>IF(AND(Çeyreklik!T77&lt;&gt;"",Çeyreklik!U77&lt;&gt;"",Çeyreklik!V77&lt;&gt;"",Çeyreklik!W77&lt;&gt;""),Çeyreklik!T77+Çeyreklik!U77+Çeyreklik!V77+Çeyreklik!W77,"")</f>
        <v>32998196511</v>
      </c>
    </row>
    <row r="78" spans="1:20" x14ac:dyDescent="0.25">
      <c r="A78" t="str">
        <f>Çeyreklik!A78</f>
        <v>Dönem Sonu Nakit</v>
      </c>
      <c r="B78" s="2">
        <f>IF(AND(Çeyreklik!B78&lt;&gt;"",Çeyreklik!C78&lt;&gt;"",Çeyreklik!D78&lt;&gt;"",Çeyreklik!E78&lt;&gt;""),Çeyreklik!B78+Çeyreklik!C78+Çeyreklik!D78+Çeyreklik!E78,"")</f>
        <v>6010720000</v>
      </c>
      <c r="C78" s="2">
        <f>IF(AND(Çeyreklik!C78&lt;&gt;"",Çeyreklik!D78&lt;&gt;"",Çeyreklik!E78&lt;&gt;"",Çeyreklik!F78&lt;&gt;""),Çeyreklik!C78+Çeyreklik!D78+Çeyreklik!E78+Çeyreklik!F78,"")</f>
        <v>3929457000</v>
      </c>
      <c r="D78" s="2">
        <f>IF(AND(Çeyreklik!D78&lt;&gt;"",Çeyreklik!E78&lt;&gt;"",Çeyreklik!F78&lt;&gt;"",Çeyreklik!G78&lt;&gt;""),Çeyreklik!D78+Çeyreklik!E78+Çeyreklik!F78+Çeyreklik!G78,"")</f>
        <v>3160104000</v>
      </c>
      <c r="E78" s="2">
        <f>IF(AND(Çeyreklik!E78&lt;&gt;"",Çeyreklik!F78&lt;&gt;"",Çeyreklik!G78&lt;&gt;"",Çeyreklik!H78&lt;&gt;""),Çeyreklik!E78+Çeyreklik!F78+Çeyreklik!G78+Çeyreklik!H78,"")</f>
        <v>3004834000</v>
      </c>
      <c r="F78" s="2">
        <f>IF(AND(Çeyreklik!F78&lt;&gt;"",Çeyreklik!G78&lt;&gt;"",Çeyreklik!H78&lt;&gt;"",Çeyreklik!I78&lt;&gt;""),Çeyreklik!F78+Çeyreklik!G78+Çeyreklik!H78+Çeyreklik!I78,"")</f>
        <v>2595392000</v>
      </c>
      <c r="G78" s="2">
        <f>IF(AND(Çeyreklik!G78&lt;&gt;"",Çeyreklik!H78&lt;&gt;"",Çeyreklik!I78&lt;&gt;"",Çeyreklik!J78&lt;&gt;""),Çeyreklik!G78+Çeyreklik!H78+Çeyreklik!I78+Çeyreklik!J78,"")</f>
        <v>3278949000</v>
      </c>
      <c r="H78" s="2">
        <f>IF(AND(Çeyreklik!H78&lt;&gt;"",Çeyreklik!I78&lt;&gt;"",Çeyreklik!J78&lt;&gt;"",Çeyreklik!K78&lt;&gt;""),Çeyreklik!H78+Çeyreklik!I78+Çeyreklik!J78+Çeyreklik!K78,"")</f>
        <v>3907636000</v>
      </c>
      <c r="I78" s="2">
        <f>IF(AND(Çeyreklik!I78&lt;&gt;"",Çeyreklik!J78&lt;&gt;"",Çeyreklik!K78&lt;&gt;"",Çeyreklik!L78&lt;&gt;""),Çeyreklik!I78+Çeyreklik!J78+Çeyreklik!K78+Çeyreklik!L78,"")</f>
        <v>15249460000</v>
      </c>
      <c r="J78" s="2">
        <f>IF(AND(Çeyreklik!J78&lt;&gt;"",Çeyreklik!K78&lt;&gt;"",Çeyreklik!L78&lt;&gt;"",Çeyreklik!M78&lt;&gt;""),Çeyreklik!J78+Çeyreklik!K78+Çeyreklik!L78+Çeyreklik!M78,"")</f>
        <v>28880505000</v>
      </c>
      <c r="K78" s="2">
        <f>IF(AND(Çeyreklik!K78&lt;&gt;"",Çeyreklik!L78&lt;&gt;"",Çeyreklik!M78&lt;&gt;"",Çeyreklik!N78&lt;&gt;""),Çeyreklik!K78+Çeyreklik!L78+Çeyreklik!M78+Çeyreklik!N78,"")</f>
        <v>26953911000</v>
      </c>
      <c r="L78" s="2">
        <f>IF(AND(Çeyreklik!L78&lt;&gt;"",Çeyreklik!M78&lt;&gt;"",Çeyreklik!N78&lt;&gt;"",Çeyreklik!O78&lt;&gt;""),Çeyreklik!L78+Çeyreklik!M78+Çeyreklik!N78+Çeyreklik!O78,"")</f>
        <v>25948923000</v>
      </c>
      <c r="M78" s="2">
        <f>IF(AND(Çeyreklik!M78&lt;&gt;"",Çeyreklik!N78&lt;&gt;"",Çeyreklik!O78&lt;&gt;"",Çeyreklik!P78&lt;&gt;""),Çeyreklik!M78+Çeyreklik!N78+Çeyreklik!O78+Çeyreklik!P78,"")</f>
        <v>16830554000</v>
      </c>
      <c r="N78" s="2">
        <f>IF(AND(Çeyreklik!N78&lt;&gt;"",Çeyreklik!O78&lt;&gt;"",Çeyreklik!P78&lt;&gt;"",Çeyreklik!Q78&lt;&gt;""),Çeyreklik!N78+Çeyreklik!O78+Çeyreklik!P78+Çeyreklik!Q78,"")</f>
        <v>17701784000</v>
      </c>
      <c r="O78" s="2">
        <f>IF(AND(Çeyreklik!O78&lt;&gt;"",Çeyreklik!P78&lt;&gt;"",Çeyreklik!Q78&lt;&gt;"",Çeyreklik!R78&lt;&gt;""),Çeyreklik!O78+Çeyreklik!P78+Çeyreklik!Q78+Çeyreklik!R78,"")</f>
        <v>24388730000</v>
      </c>
      <c r="P78" s="2">
        <f>IF(AND(Çeyreklik!P78&lt;&gt;"",Çeyreklik!Q78&lt;&gt;"",Çeyreklik!R78&lt;&gt;"",Çeyreklik!S78&lt;&gt;""),Çeyreklik!P78+Çeyreklik!Q78+Çeyreklik!R78+Çeyreklik!S78,"")</f>
        <v>33462281000</v>
      </c>
      <c r="Q78" s="2">
        <f>IF(AND(Çeyreklik!Q78&lt;&gt;"",Çeyreklik!R78&lt;&gt;"",Çeyreklik!S78&lt;&gt;"",Çeyreklik!T78&lt;&gt;""),Çeyreklik!Q78+Çeyreklik!R78+Çeyreklik!S78+Çeyreklik!T78,"")</f>
        <v>32998196584</v>
      </c>
      <c r="R78" s="2">
        <f>IF(AND(Çeyreklik!R78&lt;&gt;"",Çeyreklik!S78&lt;&gt;"",Çeyreklik!T78&lt;&gt;"",Çeyreklik!U78&lt;&gt;""),Çeyreklik!R78+Çeyreklik!S78+Çeyreklik!T78+Çeyreklik!U78,"")</f>
        <v>39447736584</v>
      </c>
      <c r="S78" s="2">
        <f>IF(AND(Çeyreklik!S78&lt;&gt;"",Çeyreklik!T78&lt;&gt;"",Çeyreklik!U78&lt;&gt;"",Çeyreklik!V78&lt;&gt;""),Çeyreklik!S78+Çeyreklik!T78+Çeyreklik!U78+Çeyreklik!V78,"")</f>
        <v>37802905584</v>
      </c>
      <c r="T78" s="2">
        <f>IF(AND(Çeyreklik!T78&lt;&gt;"",Çeyreklik!U78&lt;&gt;"",Çeyreklik!V78&lt;&gt;"",Çeyreklik!W78&lt;&gt;""),Çeyreklik!T78+Çeyreklik!U78+Çeyreklik!V78+Çeyreklik!W78,"")</f>
        <v>31471851584</v>
      </c>
    </row>
    <row r="79" spans="1:20" x14ac:dyDescent="0.25">
      <c r="A79" t="s">
        <v>150</v>
      </c>
      <c r="B79" s="2">
        <f>IF(AND(Çeyreklik!B79&lt;&gt;"",Çeyreklik!C79&lt;&gt;"",Çeyreklik!D79&lt;&gt;"",Çeyreklik!E79&lt;&gt;""),Çeyreklik!B79+Çeyreklik!C79+Çeyreklik!D79+Çeyreklik!E79,"")</f>
        <v>2053277000</v>
      </c>
      <c r="C79" s="2">
        <f>IF(AND(Çeyreklik!C79&lt;&gt;"",Çeyreklik!D79&lt;&gt;"",Çeyreklik!E79&lt;&gt;"",Çeyreklik!F79&lt;&gt;""),Çeyreklik!C79+Çeyreklik!D79+Çeyreklik!E79+Çeyreklik!F79,"")</f>
        <v>2120122000</v>
      </c>
      <c r="D79" s="2">
        <f>IF(AND(Çeyreklik!D79&lt;&gt;"",Çeyreklik!E79&lt;&gt;"",Çeyreklik!F79&lt;&gt;"",Çeyreklik!G79&lt;&gt;""),Çeyreklik!D79+Çeyreklik!E79+Çeyreklik!F79+Çeyreklik!G79,"")</f>
        <v>2043300000</v>
      </c>
      <c r="E79" s="2">
        <f>IF(AND(Çeyreklik!E79&lt;&gt;"",Çeyreklik!F79&lt;&gt;"",Çeyreklik!G79&lt;&gt;"",Çeyreklik!H79&lt;&gt;""),Çeyreklik!E79+Çeyreklik!F79+Çeyreklik!G79+Çeyreklik!H79,"")</f>
        <v>2328359000</v>
      </c>
      <c r="F79" s="2">
        <f>IF(AND(Çeyreklik!F79&lt;&gt;"",Çeyreklik!G79&lt;&gt;"",Çeyreklik!H79&lt;&gt;"",Çeyreklik!I79&lt;&gt;""),Çeyreklik!F79+Çeyreklik!G79+Çeyreklik!H79+Çeyreklik!I79,"")</f>
        <v>3026600000</v>
      </c>
      <c r="G79" s="2">
        <f>IF(AND(Çeyreklik!G79&lt;&gt;"",Çeyreklik!H79&lt;&gt;"",Çeyreklik!I79&lt;&gt;"",Çeyreklik!J79&lt;&gt;""),Çeyreklik!G79+Çeyreklik!H79+Çeyreklik!I79+Çeyreklik!J79,"")</f>
        <v>3714347000</v>
      </c>
      <c r="H79" s="2">
        <f>IF(AND(Çeyreklik!H79&lt;&gt;"",Çeyreklik!I79&lt;&gt;"",Çeyreklik!J79&lt;&gt;"",Çeyreklik!K79&lt;&gt;""),Çeyreklik!H79+Çeyreklik!I79+Çeyreklik!J79+Çeyreklik!K79,"")</f>
        <v>4465354000</v>
      </c>
      <c r="I79" s="2">
        <f>IF(AND(Çeyreklik!I79&lt;&gt;"",Çeyreklik!J79&lt;&gt;"",Çeyreklik!K79&lt;&gt;"",Çeyreklik!L79&lt;&gt;""),Çeyreklik!I79+Çeyreklik!J79+Çeyreklik!K79+Çeyreklik!L79,"")</f>
        <v>6702904000</v>
      </c>
      <c r="J79" s="2">
        <f>IF(AND(Çeyreklik!J79&lt;&gt;"",Çeyreklik!K79&lt;&gt;"",Çeyreklik!L79&lt;&gt;"",Çeyreklik!M79&lt;&gt;""),Çeyreklik!J79+Çeyreklik!K79+Çeyreklik!L79+Çeyreklik!M79,"")</f>
        <v>9300276000</v>
      </c>
      <c r="K79" s="2">
        <f>IF(AND(Çeyreklik!K79&lt;&gt;"",Çeyreklik!L79&lt;&gt;"",Çeyreklik!M79&lt;&gt;"",Çeyreklik!N79&lt;&gt;""),Çeyreklik!K79+Çeyreklik!L79+Çeyreklik!M79+Çeyreklik!N79,"")</f>
        <v>11589147000</v>
      </c>
      <c r="L79" s="2">
        <f>IF(AND(Çeyreklik!L79&lt;&gt;"",Çeyreklik!M79&lt;&gt;"",Çeyreklik!N79&lt;&gt;"",Çeyreklik!O79&lt;&gt;""),Çeyreklik!L79+Çeyreklik!M79+Çeyreklik!N79+Çeyreklik!O79,"")</f>
        <v>14072211000</v>
      </c>
      <c r="M79" s="2">
        <f>IF(AND(Çeyreklik!M79&lt;&gt;"",Çeyreklik!N79&lt;&gt;"",Çeyreklik!O79&lt;&gt;"",Çeyreklik!P79&lt;&gt;""),Çeyreklik!M79+Çeyreklik!N79+Çeyreklik!O79+Çeyreklik!P79,"")</f>
        <v>15304999000</v>
      </c>
      <c r="N79" s="2">
        <f>IF(AND(Çeyreklik!N79&lt;&gt;"",Çeyreklik!O79&lt;&gt;"",Çeyreklik!P79&lt;&gt;"",Çeyreklik!Q79&lt;&gt;""),Çeyreklik!N79+Çeyreklik!O79+Çeyreklik!P79+Çeyreklik!Q79,"")</f>
        <v>17045528000</v>
      </c>
      <c r="O79" s="2">
        <f>IF(AND(Çeyreklik!O79&lt;&gt;"",Çeyreklik!P79&lt;&gt;"",Çeyreklik!Q79&lt;&gt;"",Çeyreklik!R79&lt;&gt;""),Çeyreklik!O79+Çeyreklik!P79+Çeyreklik!Q79+Çeyreklik!R79,"")</f>
        <v>17921392000</v>
      </c>
      <c r="P79" s="2">
        <f>IF(AND(Çeyreklik!P79&lt;&gt;"",Çeyreklik!Q79&lt;&gt;"",Çeyreklik!R79&lt;&gt;"",Çeyreklik!S79&lt;&gt;""),Çeyreklik!P79+Çeyreklik!Q79+Çeyreklik!R79+Çeyreklik!S79,"")</f>
        <v>18794339000</v>
      </c>
      <c r="Q79" s="2">
        <f>IF(AND(Çeyreklik!Q79&lt;&gt;"",Çeyreklik!R79&lt;&gt;"",Çeyreklik!S79&lt;&gt;"",Çeyreklik!T79&lt;&gt;""),Çeyreklik!Q79+Çeyreklik!R79+Çeyreklik!S79+Çeyreklik!T79,"")</f>
        <v>19561942075</v>
      </c>
      <c r="R79" s="2">
        <f>IF(AND(Çeyreklik!R79&lt;&gt;"",Çeyreklik!S79&lt;&gt;"",Çeyreklik!T79&lt;&gt;"",Çeyreklik!U79&lt;&gt;""),Çeyreklik!R79+Çeyreklik!S79+Çeyreklik!T79+Çeyreklik!U79,"")</f>
        <v>19463876075</v>
      </c>
      <c r="S79" s="2">
        <f>IF(AND(Çeyreklik!S79&lt;&gt;"",Çeyreklik!T79&lt;&gt;"",Çeyreklik!U79&lt;&gt;"",Çeyreklik!V79&lt;&gt;""),Çeyreklik!S79+Çeyreklik!T79+Çeyreklik!U79+Çeyreklik!V79,"")</f>
        <v>18866035075</v>
      </c>
      <c r="T79" s="2">
        <f>IF(AND(Çeyreklik!T79&lt;&gt;"",Çeyreklik!U79&lt;&gt;"",Çeyreklik!V79&lt;&gt;"",Çeyreklik!W79&lt;&gt;""),Çeyreklik!T79+Çeyreklik!U79+Çeyreklik!V79+Çeyreklik!W79,"")</f>
        <v>19453056075</v>
      </c>
    </row>
    <row r="80" spans="1:20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20" x14ac:dyDescent="0.25">
      <c r="A81" t="s">
        <v>153</v>
      </c>
      <c r="B81" s="6">
        <f>B40/HLOOKUP(B$2,Bilanço!$2:$62,61,0)</f>
        <v>4.7100380116959064</v>
      </c>
      <c r="C81" s="6">
        <f>C40/HLOOKUP(C$2,Bilanço!$2:$62,61,0)</f>
        <v>3.8814035087719296</v>
      </c>
      <c r="D81" s="6">
        <f>D40/HLOOKUP(D$2,Bilanço!$2:$62,61,0)</f>
        <v>3.0833771929824563</v>
      </c>
      <c r="E81" s="6">
        <f>E40/HLOOKUP(E$2,Bilanço!$2:$62,61,0)</f>
        <v>-1.3576959064327485</v>
      </c>
      <c r="F81" s="6">
        <f>F40/HLOOKUP(F$2,Bilanço!$2:$62,61,0)</f>
        <v>-3.9946900584795322</v>
      </c>
      <c r="G81" s="6">
        <f>G40/HLOOKUP(G$2,Bilanço!$2:$62,61,0)</f>
        <v>-6.5376286549707601</v>
      </c>
      <c r="H81" s="6">
        <f>H40/HLOOKUP(H$2,Bilanço!$2:$62,61,0)</f>
        <v>-7.1795438596491232</v>
      </c>
      <c r="I81" s="6">
        <f>I40/HLOOKUP(I$2,Bilanço!$2:$62,61,0)</f>
        <v>2.8795116959064329</v>
      </c>
      <c r="J81" s="6">
        <f>J40/HLOOKUP(J$2,Bilanço!$2:$62,61,0)</f>
        <v>11.311201754385966</v>
      </c>
      <c r="K81" s="6">
        <f>K40/HLOOKUP(K$2,Bilanço!$2:$62,61,0)</f>
        <v>5.9662953216374266</v>
      </c>
      <c r="L81" s="6">
        <f>L40/HLOOKUP(L$2,Bilanço!$2:$62,61,0)</f>
        <v>14.379363944583455</v>
      </c>
      <c r="M81" s="6">
        <f>M40/HLOOKUP(M$2,Bilanço!$2:$62,61,0)</f>
        <v>13.210668984716039</v>
      </c>
      <c r="N81" s="6">
        <f>N40/HLOOKUP(N$2,Bilanço!$2:$62,61,0)</f>
        <v>14.781854222857699</v>
      </c>
      <c r="O81" s="6">
        <f>O40/HLOOKUP(O$2,Bilanço!$2:$62,61,0)</f>
        <v>26.58458984607719</v>
      </c>
      <c r="P81" s="6">
        <f>P40/HLOOKUP(P$2,Bilanço!$2:$62,61,0)</f>
        <v>21.007620316511229</v>
      </c>
      <c r="Q81" s="6">
        <f>Q40/HLOOKUP(Q$2,Bilanço!$2:$62,61,0)</f>
        <v>25.136860299613296</v>
      </c>
      <c r="R81" s="6">
        <f>R40/HLOOKUP(R$2,Bilanço!$2:$62,61,0)</f>
        <v>23.566853042169001</v>
      </c>
      <c r="S81" s="6">
        <f>S40/HLOOKUP(S$2,Bilanço!$2:$62,61,0)</f>
        <v>20.817340482457567</v>
      </c>
      <c r="T81" s="6">
        <f>T40/HLOOKUP(T$2,Bilanço!$2:$62,61,0)</f>
        <v>21.685636824488999</v>
      </c>
    </row>
    <row r="82" spans="1:20" x14ac:dyDescent="0.2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20" x14ac:dyDescent="0.25">
      <c r="A83" t="s">
        <v>255</v>
      </c>
      <c r="B83" s="6">
        <f>B45/B79</f>
        <v>0.10142372412489888</v>
      </c>
      <c r="C83" s="6">
        <f t="shared" ref="C83:T83" si="1">C45/C79</f>
        <v>0.10311623576379095</v>
      </c>
      <c r="D83" s="6">
        <f t="shared" si="1"/>
        <v>0.10863309352517986</v>
      </c>
      <c r="E83" s="6">
        <f t="shared" si="1"/>
        <v>9.8785883104796121E-2</v>
      </c>
      <c r="F83" s="6">
        <f t="shared" si="1"/>
        <v>8.4286658296438249E-2</v>
      </c>
      <c r="G83" s="6">
        <f t="shared" si="1"/>
        <v>7.6043783739106766E-2</v>
      </c>
      <c r="H83" s="6">
        <f t="shared" si="1"/>
        <v>6.9855379887014554E-2</v>
      </c>
      <c r="I83" s="6">
        <f t="shared" si="1"/>
        <v>0.17421807025730937</v>
      </c>
      <c r="J83" s="6">
        <f t="shared" si="1"/>
        <v>0.15596719925301142</v>
      </c>
      <c r="K83" s="6">
        <f t="shared" si="1"/>
        <v>0.15382745598101397</v>
      </c>
      <c r="L83" s="6">
        <f>L45/L79</f>
        <v>0.15261226540733364</v>
      </c>
      <c r="M83" s="6">
        <f t="shared" si="1"/>
        <v>0.11170213078746362</v>
      </c>
      <c r="N83" s="6">
        <f t="shared" si="1"/>
        <v>0.10967210871965949</v>
      </c>
      <c r="O83" s="6">
        <f t="shared" si="1"/>
        <v>0.11049225417311334</v>
      </c>
      <c r="P83" s="6">
        <f t="shared" si="1"/>
        <v>0.11233419807953873</v>
      </c>
      <c r="Q83" s="6">
        <f t="shared" si="1"/>
        <v>0.11673706420582988</v>
      </c>
      <c r="R83" s="6">
        <f t="shared" si="1"/>
        <v>0.1173424388441088</v>
      </c>
      <c r="S83" s="6">
        <f t="shared" si="1"/>
        <v>0.12204518219364119</v>
      </c>
      <c r="T83" s="6">
        <f t="shared" si="1"/>
        <v>0.12454123807896339</v>
      </c>
    </row>
    <row r="84" spans="1:20" x14ac:dyDescent="0.2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20" x14ac:dyDescent="0.2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20" x14ac:dyDescent="0.2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20" x14ac:dyDescent="0.2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20" x14ac:dyDescent="0.2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20" x14ac:dyDescent="0.2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20" x14ac:dyDescent="0.2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20" x14ac:dyDescent="0.2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20" x14ac:dyDescent="0.2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20" x14ac:dyDescent="0.2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20" x14ac:dyDescent="0.2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20" x14ac:dyDescent="0.2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20" x14ac:dyDescent="0.2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2:16" x14ac:dyDescent="0.2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2:16" x14ac:dyDescent="0.2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2:16" x14ac:dyDescent="0.2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2:16" x14ac:dyDescent="0.2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2:16" x14ac:dyDescent="0.2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2:16" x14ac:dyDescent="0.2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2:16" x14ac:dyDescent="0.2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2:16" x14ac:dyDescent="0.2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2:16" x14ac:dyDescent="0.2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2:16" x14ac:dyDescent="0.2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2:16" x14ac:dyDescent="0.2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2:16" x14ac:dyDescent="0.2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2:16" x14ac:dyDescent="0.2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2:16" x14ac:dyDescent="0.2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2:16" x14ac:dyDescent="0.2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2:16" x14ac:dyDescent="0.2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2:16" x14ac:dyDescent="0.2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2:16" x14ac:dyDescent="0.2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2:16" x14ac:dyDescent="0.2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2:16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2DD70-BA99-47FA-8788-108AA19C0D10}">
  <dimension ref="A1:M73"/>
  <sheetViews>
    <sheetView zoomScale="85" zoomScaleNormal="85" workbookViewId="0">
      <selection activeCell="D26" sqref="D26"/>
    </sheetView>
  </sheetViews>
  <sheetFormatPr defaultRowHeight="15" x14ac:dyDescent="0.25"/>
  <cols>
    <col min="1" max="1" width="59.28515625" bestFit="1" customWidth="1"/>
    <col min="2" max="2" width="18.7109375" bestFit="1" customWidth="1"/>
    <col min="3" max="3" width="7.42578125" bestFit="1" customWidth="1"/>
    <col min="4" max="4" width="18.7109375" bestFit="1" customWidth="1"/>
    <col min="5" max="5" width="7.42578125" customWidth="1"/>
    <col min="8" max="8" width="65.85546875" bestFit="1" customWidth="1"/>
    <col min="9" max="9" width="16.85546875" bestFit="1" customWidth="1"/>
    <col min="10" max="10" width="9.140625" bestFit="1" customWidth="1"/>
    <col min="11" max="11" width="16.85546875" bestFit="1" customWidth="1"/>
    <col min="12" max="12" width="9.140625" bestFit="1" customWidth="1"/>
    <col min="13" max="13" width="10.140625" bestFit="1" customWidth="1"/>
  </cols>
  <sheetData>
    <row r="1" spans="1:13" ht="15.75" thickBot="1" x14ac:dyDescent="0.3">
      <c r="B1">
        <v>6</v>
      </c>
      <c r="D1">
        <v>2</v>
      </c>
      <c r="I1">
        <v>6</v>
      </c>
      <c r="K1">
        <v>2</v>
      </c>
    </row>
    <row r="2" spans="1:13" ht="15.75" thickBot="1" x14ac:dyDescent="0.3">
      <c r="A2" s="17" t="str">
        <f>Data!A2</f>
        <v>Bilanço</v>
      </c>
      <c r="B2" s="18" t="str">
        <f>IFERROR(HLOOKUP(B$1,Data!$1:$73,ROW('Dikey Analiz'!$A2),0),"")</f>
        <v>2024/9</v>
      </c>
      <c r="C2" s="18" t="s">
        <v>139</v>
      </c>
      <c r="D2" s="19" t="str">
        <f>IFERROR(HLOOKUP(D$1,Data!$1:$73,ROW('Dikey Analiz'!$A2),0),"")</f>
        <v>2025/9</v>
      </c>
      <c r="E2" s="20" t="s">
        <v>139</v>
      </c>
      <c r="H2" s="17"/>
      <c r="I2" s="18" t="str">
        <f>IFERROR(HLOOKUP(I$1,Data!$1:$73,ROW('Dikey Analiz'!$A2),0),"")</f>
        <v>2024/9</v>
      </c>
      <c r="J2" s="18" t="s">
        <v>139</v>
      </c>
      <c r="K2" s="19" t="str">
        <f>IFERROR(HLOOKUP(K$1,Data!$1:$73,ROW('Dikey Analiz'!$A2),0),"")</f>
        <v>2025/9</v>
      </c>
      <c r="L2" s="20" t="s">
        <v>139</v>
      </c>
      <c r="M2" s="20" t="s">
        <v>184</v>
      </c>
    </row>
    <row r="3" spans="1:13" x14ac:dyDescent="0.25">
      <c r="A3" s="10" t="str">
        <f>Data!A3</f>
        <v>Dönen Varlıklar</v>
      </c>
      <c r="B3" s="11">
        <f>IFERROR(HLOOKUP(B$1,Data!$1:$73,ROW('Dikey Analiz'!$A3),0),"")</f>
        <v>58862926000</v>
      </c>
      <c r="C3" s="12">
        <f>IF(B3/$B$31=0,"",B3/$B$31)</f>
        <v>0.65492187318416606</v>
      </c>
      <c r="D3" s="11">
        <f>IFERROR(HLOOKUP(D$1,Data!$1:$73,ROW('Dikey Analiz'!$A3),0),"")</f>
        <v>90083589000</v>
      </c>
      <c r="E3" s="12">
        <f>IF(D3/D$31=0,"",D3/D$31)</f>
        <v>0.69719505796317505</v>
      </c>
      <c r="H3" s="10" t="str">
        <f>Data!A74</f>
        <v>Satış Gelirleri</v>
      </c>
      <c r="I3" s="11">
        <f>VLOOKUP($H3,Data!$A:$I,'Dikey Analiz'!I$1,0)</f>
        <v>77330367000</v>
      </c>
      <c r="J3" s="12">
        <f>IF(I3/I$3=0,"",I3/I$3)</f>
        <v>1</v>
      </c>
      <c r="K3" s="11">
        <f>VLOOKUP($H3,Data!$A:$I,'Dikey Analiz'!K$1,0)</f>
        <v>80925915000</v>
      </c>
      <c r="L3" s="12">
        <f>IF(K3/K$3=0,"",K3/K$3)</f>
        <v>1</v>
      </c>
      <c r="M3" s="4">
        <f>IFERROR(K3/I3-1,"")</f>
        <v>4.6495938652405533E-2</v>
      </c>
    </row>
    <row r="4" spans="1:13" x14ac:dyDescent="0.25">
      <c r="A4" s="13" t="str">
        <f>Data!A4</f>
        <v xml:space="preserve">  Nakit ve Nakit Benzerleri</v>
      </c>
      <c r="B4" s="8">
        <f>IFERROR(HLOOKUP(B$1,Data!$1:$73,ROW('Dikey Analiz'!$A4),0),"")</f>
        <v>23329331000</v>
      </c>
      <c r="C4" s="9">
        <f t="shared" ref="C4:C67" si="0">IF(B4/$B$31=0,"",B4/$B$31)</f>
        <v>0.25956727259282752</v>
      </c>
      <c r="D4" s="8">
        <f>IFERROR(HLOOKUP(D$1,Data!$1:$73,ROW('Dikey Analiz'!$A4),0),"")</f>
        <v>29570256000</v>
      </c>
      <c r="E4" s="9">
        <f t="shared" ref="E4:E67" si="1">IF(D4/D$31=0,"",D4/D$31)</f>
        <v>0.22885673822238503</v>
      </c>
      <c r="H4" s="13" t="str">
        <f>Data!A75</f>
        <v>Satışların Maliyeti (-)</v>
      </c>
      <c r="I4" s="8">
        <f>VLOOKUP($H4,Data!$A:$I,'Dikey Analiz'!I$1,0)</f>
        <v>-54106872000</v>
      </c>
      <c r="J4" s="9">
        <f t="shared" ref="J4:L40" si="2">IF(I4/I$3=0,"",I4/I$3)</f>
        <v>-0.69968466592173295</v>
      </c>
      <c r="K4" s="8">
        <f>VLOOKUP($H4,Data!$A:$I,'Dikey Analiz'!K$1,0)</f>
        <v>-56468934000</v>
      </c>
      <c r="L4" s="9">
        <f>IF(K4/K$3=0,"",K4/K$3)</f>
        <v>-0.6977855486712754</v>
      </c>
      <c r="M4" s="4">
        <f t="shared" ref="M4:M40" si="3">IFERROR(K4/I4-1,"")</f>
        <v>4.3655489823917426E-2</v>
      </c>
    </row>
    <row r="5" spans="1:13" x14ac:dyDescent="0.25">
      <c r="A5" s="13" t="str">
        <f>Data!A5</f>
        <v xml:space="preserve">  Finansal Yatırımlar</v>
      </c>
      <c r="B5" s="8">
        <f>IFERROR(HLOOKUP(B$1,Data!$1:$73,ROW('Dikey Analiz'!$A5),0),"")</f>
        <v>4825000</v>
      </c>
      <c r="C5" s="9">
        <f t="shared" si="0"/>
        <v>5.3684012210225523E-5</v>
      </c>
      <c r="D5" s="8">
        <f>IFERROR(HLOOKUP(D$1,Data!$1:$73,ROW('Dikey Analiz'!$A5),0),"")</f>
        <v>6245000</v>
      </c>
      <c r="E5" s="9">
        <f t="shared" si="1"/>
        <v>4.8332700609652972E-5</v>
      </c>
      <c r="H5" s="13" t="str">
        <f>Data!A76</f>
        <v>Ticari Faaliyetlerden Diğer Kar (Zarar)</v>
      </c>
      <c r="I5" s="8">
        <f>VLOOKUP($H5,Data!$A:$I,'Dikey Analiz'!I$1,0)</f>
        <v>0</v>
      </c>
      <c r="J5" s="9" t="str">
        <f t="shared" si="2"/>
        <v/>
      </c>
      <c r="K5" s="8">
        <f>VLOOKUP($H5,Data!$A:$I,'Dikey Analiz'!K$1,0)</f>
        <v>0</v>
      </c>
      <c r="L5" s="9" t="str">
        <f t="shared" si="2"/>
        <v/>
      </c>
      <c r="M5" s="4" t="str">
        <f t="shared" si="3"/>
        <v/>
      </c>
    </row>
    <row r="6" spans="1:13" x14ac:dyDescent="0.25">
      <c r="A6" s="13" t="str">
        <f>Data!A6</f>
        <v xml:space="preserve">  Ticari Alacaklar</v>
      </c>
      <c r="B6" s="8">
        <f>IFERROR(HLOOKUP(B$1,Data!$1:$73,ROW('Dikey Analiz'!$A6),0),"")</f>
        <v>18441357000</v>
      </c>
      <c r="C6" s="9">
        <f t="shared" si="0"/>
        <v>0.20518259779505243</v>
      </c>
      <c r="D6" s="8">
        <f>IFERROR(HLOOKUP(D$1,Data!$1:$73,ROW('Dikey Analiz'!$A6),0),"")</f>
        <v>29618330000</v>
      </c>
      <c r="E6" s="9">
        <f t="shared" si="1"/>
        <v>0.22922880327428391</v>
      </c>
      <c r="H6" s="13" t="str">
        <f>Data!A77</f>
        <v>Ticari Faaliyetlerden Brüt Kar (Zarar)</v>
      </c>
      <c r="I6" s="8">
        <f>VLOOKUP($H6,Data!$A:$I,'Dikey Analiz'!I$1,0)</f>
        <v>23223495000</v>
      </c>
      <c r="J6" s="9">
        <f t="shared" si="2"/>
        <v>0.3003153340782671</v>
      </c>
      <c r="K6" s="8">
        <f>VLOOKUP($H6,Data!$A:$I,'Dikey Analiz'!K$1,0)</f>
        <v>24456981000</v>
      </c>
      <c r="L6" s="9">
        <f t="shared" si="2"/>
        <v>0.30221445132872454</v>
      </c>
      <c r="M6" s="4">
        <f t="shared" si="3"/>
        <v>5.3113710920772217E-2</v>
      </c>
    </row>
    <row r="7" spans="1:13" x14ac:dyDescent="0.25">
      <c r="A7" s="13" t="str">
        <f>Data!A7</f>
        <v xml:space="preserve">  Finans Sektörü Faaliyetlerinden Alacaklar</v>
      </c>
      <c r="B7" s="8">
        <f>IFERROR(HLOOKUP(B$1,Data!$1:$73,ROW('Dikey Analiz'!$A7),0),"")</f>
        <v>0</v>
      </c>
      <c r="C7" s="9" t="str">
        <f t="shared" si="0"/>
        <v/>
      </c>
      <c r="D7" s="8">
        <f>IFERROR(HLOOKUP(D$1,Data!$1:$73,ROW('Dikey Analiz'!$A7),0),"")</f>
        <v>0</v>
      </c>
      <c r="E7" s="9" t="str">
        <f t="shared" si="1"/>
        <v/>
      </c>
      <c r="H7" s="13" t="str">
        <f>Data!A78</f>
        <v>Faiz, Ücret, Prim, Komisyon ve Diğer Gelirler</v>
      </c>
      <c r="I7" s="8">
        <f>VLOOKUP($H7,Data!$A:$I,'Dikey Analiz'!I$1,0)</f>
        <v>0</v>
      </c>
      <c r="J7" s="9" t="str">
        <f t="shared" si="2"/>
        <v/>
      </c>
      <c r="K7" s="8">
        <f>VLOOKUP($H7,Data!$A:$I,'Dikey Analiz'!K$1,0)</f>
        <v>0</v>
      </c>
      <c r="L7" s="9" t="str">
        <f t="shared" si="2"/>
        <v/>
      </c>
      <c r="M7" s="4" t="str">
        <f t="shared" si="3"/>
        <v/>
      </c>
    </row>
    <row r="8" spans="1:13" x14ac:dyDescent="0.25">
      <c r="A8" s="13" t="str">
        <f>Data!A8</f>
        <v xml:space="preserve">  Diğer Alacaklar</v>
      </c>
      <c r="B8" s="8">
        <f>IFERROR(HLOOKUP(B$1,Data!$1:$73,ROW('Dikey Analiz'!$A8),0),"")</f>
        <v>2518982000</v>
      </c>
      <c r="C8" s="9">
        <f t="shared" si="0"/>
        <v>2.8026748278826594E-2</v>
      </c>
      <c r="D8" s="8">
        <f>IFERROR(HLOOKUP(D$1,Data!$1:$73,ROW('Dikey Analiz'!$A8),0),"")</f>
        <v>2530647000</v>
      </c>
      <c r="E8" s="9">
        <f t="shared" si="1"/>
        <v>1.958574920732049E-2</v>
      </c>
      <c r="H8" s="13" t="str">
        <f>Data!A79</f>
        <v>Faiz, Ücret, Prim, Komisyon ve Diğer Giderler (-)</v>
      </c>
      <c r="I8" s="8">
        <f>VLOOKUP($H8,Data!$A:$I,'Dikey Analiz'!I$1,0)</f>
        <v>0</v>
      </c>
      <c r="J8" s="9" t="str">
        <f t="shared" si="2"/>
        <v/>
      </c>
      <c r="K8" s="8">
        <f>VLOOKUP($H8,Data!$A:$I,'Dikey Analiz'!K$1,0)</f>
        <v>0</v>
      </c>
      <c r="L8" s="9" t="str">
        <f t="shared" si="2"/>
        <v/>
      </c>
      <c r="M8" s="4" t="str">
        <f t="shared" si="3"/>
        <v/>
      </c>
    </row>
    <row r="9" spans="1:13" x14ac:dyDescent="0.25">
      <c r="A9" s="13" t="str">
        <f>Data!A9</f>
        <v xml:space="preserve">  Müşteri Sözleşmelerinden Doğan Varlıklar</v>
      </c>
      <c r="B9" s="8">
        <f>IFERROR(HLOOKUP(B$1,Data!$1:$73,ROW('Dikey Analiz'!$A9),0),"")</f>
        <v>0</v>
      </c>
      <c r="C9" s="9" t="str">
        <f t="shared" si="0"/>
        <v/>
      </c>
      <c r="D9" s="8">
        <f>IFERROR(HLOOKUP(D$1,Data!$1:$73,ROW('Dikey Analiz'!$A9),0),"")</f>
        <v>0</v>
      </c>
      <c r="E9" s="9" t="str">
        <f t="shared" si="1"/>
        <v/>
      </c>
      <c r="H9" s="13" t="str">
        <f>Data!A80</f>
        <v>Finans Sektörü Faaliyetlerinden Diğer Kar (Zarar)</v>
      </c>
      <c r="I9" s="8">
        <f>VLOOKUP($H9,Data!$A:$I,'Dikey Analiz'!I$1,0)</f>
        <v>0</v>
      </c>
      <c r="J9" s="9" t="str">
        <f t="shared" si="2"/>
        <v/>
      </c>
      <c r="K9" s="8">
        <f>VLOOKUP($H9,Data!$A:$I,'Dikey Analiz'!K$1,0)</f>
        <v>0</v>
      </c>
      <c r="L9" s="9" t="str">
        <f t="shared" si="2"/>
        <v/>
      </c>
      <c r="M9" s="4" t="str">
        <f t="shared" si="3"/>
        <v/>
      </c>
    </row>
    <row r="10" spans="1:13" x14ac:dyDescent="0.25">
      <c r="A10" s="13" t="str">
        <f>Data!A10</f>
        <v xml:space="preserve">  Stoklar</v>
      </c>
      <c r="B10" s="8">
        <f>IFERROR(HLOOKUP(B$1,Data!$1:$73,ROW('Dikey Analiz'!$A10),0),"")</f>
        <v>10998733000</v>
      </c>
      <c r="C10" s="9">
        <f t="shared" si="0"/>
        <v>0.1223743246982405</v>
      </c>
      <c r="D10" s="8">
        <f>IFERROR(HLOOKUP(D$1,Data!$1:$73,ROW('Dikey Analiz'!$A10),0),"")</f>
        <v>23046205000</v>
      </c>
      <c r="E10" s="9">
        <f t="shared" si="1"/>
        <v>0.17836434370755602</v>
      </c>
      <c r="H10" s="13" t="str">
        <f>Data!A81</f>
        <v>Finans Sektörü Faaliyetlerinden Brüt Kar (Zarar)</v>
      </c>
      <c r="I10" s="8">
        <f>VLOOKUP($H10,Data!$A:$I,'Dikey Analiz'!I$1,0)</f>
        <v>0</v>
      </c>
      <c r="J10" s="9" t="str">
        <f t="shared" si="2"/>
        <v/>
      </c>
      <c r="K10" s="8">
        <f>VLOOKUP($H10,Data!$A:$I,'Dikey Analiz'!K$1,0)</f>
        <v>0</v>
      </c>
      <c r="L10" s="9" t="str">
        <f t="shared" si="2"/>
        <v/>
      </c>
      <c r="M10" s="4" t="str">
        <f t="shared" si="3"/>
        <v/>
      </c>
    </row>
    <row r="11" spans="1:13" x14ac:dyDescent="0.25">
      <c r="A11" s="13" t="str">
        <f>Data!A11</f>
        <v xml:space="preserve">  Canlı Varlıklar</v>
      </c>
      <c r="B11" s="8">
        <f>IFERROR(HLOOKUP(B$1,Data!$1:$73,ROW('Dikey Analiz'!$A11),0),"")</f>
        <v>0</v>
      </c>
      <c r="C11" s="9" t="str">
        <f t="shared" si="0"/>
        <v/>
      </c>
      <c r="D11" s="8">
        <f>IFERROR(HLOOKUP(D$1,Data!$1:$73,ROW('Dikey Analiz'!$A11),0),"")</f>
        <v>0</v>
      </c>
      <c r="E11" s="9" t="str">
        <f t="shared" si="1"/>
        <v/>
      </c>
      <c r="H11" s="13" t="str">
        <f>Data!A82</f>
        <v>Diğer Gelir ve Giderler</v>
      </c>
      <c r="I11" s="8">
        <f>VLOOKUP($H11,Data!$A:$I,'Dikey Analiz'!I$1,0)</f>
        <v>0</v>
      </c>
      <c r="J11" s="9" t="str">
        <f t="shared" si="2"/>
        <v/>
      </c>
      <c r="K11" s="8">
        <f>VLOOKUP($H11,Data!$A:$I,'Dikey Analiz'!K$1,0)</f>
        <v>0</v>
      </c>
      <c r="L11" s="9" t="str">
        <f t="shared" si="2"/>
        <v/>
      </c>
      <c r="M11" s="4" t="str">
        <f t="shared" si="3"/>
        <v/>
      </c>
    </row>
    <row r="12" spans="1:13" x14ac:dyDescent="0.25">
      <c r="A12" s="13" t="str">
        <f>Data!A12</f>
        <v xml:space="preserve">  Diğer Dönen Varlıklar</v>
      </c>
      <c r="B12" s="8">
        <f>IFERROR(HLOOKUP(B$1,Data!$1:$73,ROW('Dikey Analiz'!$A12),0),"")</f>
        <v>3569698000</v>
      </c>
      <c r="C12" s="9">
        <f t="shared" si="0"/>
        <v>3.9717245807008833E-2</v>
      </c>
      <c r="D12" s="8">
        <f>IFERROR(HLOOKUP(D$1,Data!$1:$73,ROW('Dikey Analiz'!$A12),0),"")</f>
        <v>5311906000</v>
      </c>
      <c r="E12" s="9">
        <f t="shared" si="1"/>
        <v>4.1111090851019903E-2</v>
      </c>
      <c r="H12" s="13" t="str">
        <f>Data!A83</f>
        <v>BRÜT KAR (ZARAR)</v>
      </c>
      <c r="I12" s="8">
        <f>VLOOKUP($H12,Data!$A:$I,'Dikey Analiz'!I$1,0)</f>
        <v>23223495000</v>
      </c>
      <c r="J12" s="9">
        <f t="shared" si="2"/>
        <v>0.3003153340782671</v>
      </c>
      <c r="K12" s="8">
        <f>VLOOKUP($H12,Data!$A:$I,'Dikey Analiz'!K$1,0)</f>
        <v>24456981000</v>
      </c>
      <c r="L12" s="9">
        <f t="shared" si="2"/>
        <v>0.30221445132872454</v>
      </c>
      <c r="M12" s="4">
        <f t="shared" si="3"/>
        <v>5.3113710920772217E-2</v>
      </c>
    </row>
    <row r="13" spans="1:13" x14ac:dyDescent="0.25">
      <c r="A13" s="13" t="str">
        <f>Data!A13</f>
        <v xml:space="preserve">    (Ara Toplam)</v>
      </c>
      <c r="B13" s="8">
        <f>IFERROR(HLOOKUP(B$1,Data!$1:$73,ROW('Dikey Analiz'!$A13),0),"")</f>
        <v>58862926000</v>
      </c>
      <c r="C13" s="9">
        <f t="shared" si="0"/>
        <v>0.65492187318416606</v>
      </c>
      <c r="D13" s="8">
        <f>IFERROR(HLOOKUP(D$1,Data!$1:$73,ROW('Dikey Analiz'!$A13),0),"")</f>
        <v>90083589000</v>
      </c>
      <c r="E13" s="9">
        <f t="shared" si="1"/>
        <v>0.69719505796317505</v>
      </c>
      <c r="H13" s="13" t="str">
        <f>Data!A84</f>
        <v>Pazarlama, Satış ve Dağıtım Giderleri (-)</v>
      </c>
      <c r="I13" s="8">
        <f>VLOOKUP($H13,Data!$A:$I,'Dikey Analiz'!I$1,0)</f>
        <v>-7936163000</v>
      </c>
      <c r="J13" s="9">
        <f t="shared" si="2"/>
        <v>-0.10262673394528181</v>
      </c>
      <c r="K13" s="8">
        <f>VLOOKUP($H13,Data!$A:$I,'Dikey Analiz'!K$1,0)</f>
        <v>-9247760000</v>
      </c>
      <c r="L13" s="9">
        <f t="shared" si="2"/>
        <v>-0.11427439529105109</v>
      </c>
      <c r="M13" s="4">
        <f t="shared" si="3"/>
        <v>0.16526840489541361</v>
      </c>
    </row>
    <row r="14" spans="1:13" x14ac:dyDescent="0.25">
      <c r="A14" s="13" t="str">
        <f>Data!A14</f>
        <v xml:space="preserve">  Satış Amacıyla Elde Tutulan Duran Varlıklar</v>
      </c>
      <c r="B14" s="8">
        <f>IFERROR(HLOOKUP(B$1,Data!$1:$73,ROW('Dikey Analiz'!$A14),0),"")</f>
        <v>0</v>
      </c>
      <c r="C14" s="9" t="str">
        <f t="shared" si="0"/>
        <v/>
      </c>
      <c r="D14" s="8">
        <f>IFERROR(HLOOKUP(D$1,Data!$1:$73,ROW('Dikey Analiz'!$A14),0),"")</f>
        <v>0</v>
      </c>
      <c r="E14" s="9" t="str">
        <f t="shared" si="1"/>
        <v/>
      </c>
      <c r="H14" s="13" t="str">
        <f>Data!A85</f>
        <v>Genel Yönetim Giderleri (-)</v>
      </c>
      <c r="I14" s="8">
        <f>VLOOKUP($H14,Data!$A:$I,'Dikey Analiz'!I$1,0)</f>
        <v>-2100192000</v>
      </c>
      <c r="J14" s="9">
        <f t="shared" si="2"/>
        <v>-2.7158696919154672E-2</v>
      </c>
      <c r="K14" s="8">
        <f>VLOOKUP($H14,Data!$A:$I,'Dikey Analiz'!K$1,0)</f>
        <v>-2144839000</v>
      </c>
      <c r="L14" s="9">
        <f t="shared" si="2"/>
        <v>-2.6503734928421879E-2</v>
      </c>
      <c r="M14" s="4">
        <f t="shared" si="3"/>
        <v>2.1258532553214193E-2</v>
      </c>
    </row>
    <row r="15" spans="1:13" x14ac:dyDescent="0.25">
      <c r="A15" s="13" t="str">
        <f>Data!A15</f>
        <v>Duran Varlıklar</v>
      </c>
      <c r="B15" s="8">
        <f>IFERROR(HLOOKUP(B$1,Data!$1:$73,ROW('Dikey Analiz'!$A15),0),"")</f>
        <v>31014857000</v>
      </c>
      <c r="C15" s="9">
        <f t="shared" si="0"/>
        <v>0.34507812681583389</v>
      </c>
      <c r="D15" s="8">
        <f>IFERROR(HLOOKUP(D$1,Data!$1:$73,ROW('Dikey Analiz'!$A15),0),"")</f>
        <v>39124999000</v>
      </c>
      <c r="E15" s="9">
        <f t="shared" si="1"/>
        <v>0.30280494203682501</v>
      </c>
      <c r="H15" s="13" t="str">
        <f>Data!A86</f>
        <v>Araştırma ve Geliştirme Giderleri (-)</v>
      </c>
      <c r="I15" s="8">
        <f>VLOOKUP($H15,Data!$A:$I,'Dikey Analiz'!I$1,0)</f>
        <v>-327627000</v>
      </c>
      <c r="J15" s="9">
        <f t="shared" si="2"/>
        <v>-4.2367185455100707E-3</v>
      </c>
      <c r="K15" s="8">
        <f>VLOOKUP($H15,Data!$A:$I,'Dikey Analiz'!K$1,0)</f>
        <v>-452859000</v>
      </c>
      <c r="L15" s="9">
        <f t="shared" si="2"/>
        <v>-5.595970091904429E-3</v>
      </c>
      <c r="M15" s="4">
        <f t="shared" si="3"/>
        <v>0.38223955901070417</v>
      </c>
    </row>
    <row r="16" spans="1:13" x14ac:dyDescent="0.25">
      <c r="A16" s="13" t="str">
        <f>Data!A16</f>
        <v xml:space="preserve">  Ticari Alacaklar</v>
      </c>
      <c r="B16" s="8">
        <f>IFERROR(HLOOKUP(B$1,Data!$1:$73,ROW('Dikey Analiz'!$A16),0),"")</f>
        <v>0</v>
      </c>
      <c r="C16" s="9" t="str">
        <f t="shared" si="0"/>
        <v/>
      </c>
      <c r="D16" s="8">
        <f>IFERROR(HLOOKUP(D$1,Data!$1:$73,ROW('Dikey Analiz'!$A16),0),"")</f>
        <v>0</v>
      </c>
      <c r="E16" s="9" t="str">
        <f t="shared" si="1"/>
        <v/>
      </c>
      <c r="H16" s="13" t="str">
        <f>Data!A87</f>
        <v>Diğer Faaliyet Gelirleri</v>
      </c>
      <c r="I16" s="8">
        <f>VLOOKUP($H16,Data!$A:$I,'Dikey Analiz'!I$1,0)</f>
        <v>2311060000</v>
      </c>
      <c r="J16" s="9">
        <f t="shared" si="2"/>
        <v>2.9885542894164719E-2</v>
      </c>
      <c r="K16" s="8">
        <f>VLOOKUP($H16,Data!$A:$I,'Dikey Analiz'!K$1,0)</f>
        <v>2419912000</v>
      </c>
      <c r="L16" s="9">
        <f t="shared" si="2"/>
        <v>2.9902806783216475E-2</v>
      </c>
      <c r="M16" s="4">
        <f t="shared" si="3"/>
        <v>4.710046472181606E-2</v>
      </c>
    </row>
    <row r="17" spans="1:13" x14ac:dyDescent="0.25">
      <c r="A17" s="13" t="str">
        <f>Data!A17</f>
        <v xml:space="preserve">  Finans Sektörü Faaliyetlerinden Alacaklar</v>
      </c>
      <c r="B17" s="8">
        <f>IFERROR(HLOOKUP(B$1,Data!$1:$73,ROW('Dikey Analiz'!$A17),0),"")</f>
        <v>0</v>
      </c>
      <c r="C17" s="9" t="str">
        <f t="shared" si="0"/>
        <v/>
      </c>
      <c r="D17" s="8">
        <f>IFERROR(HLOOKUP(D$1,Data!$1:$73,ROW('Dikey Analiz'!$A17),0),"")</f>
        <v>0</v>
      </c>
      <c r="E17" s="9" t="str">
        <f t="shared" si="1"/>
        <v/>
      </c>
      <c r="H17" s="13" t="str">
        <f>Data!A88</f>
        <v>Diğer Faaliyet Giderleri (-)</v>
      </c>
      <c r="I17" s="8">
        <f>VLOOKUP($H17,Data!$A:$I,'Dikey Analiz'!I$1,0)</f>
        <v>-1592246000</v>
      </c>
      <c r="J17" s="9">
        <f t="shared" si="2"/>
        <v>-2.0590177724101582E-2</v>
      </c>
      <c r="K17" s="8">
        <f>VLOOKUP($H17,Data!$A:$I,'Dikey Analiz'!K$1,0)</f>
        <v>-1679257000</v>
      </c>
      <c r="L17" s="9">
        <f t="shared" si="2"/>
        <v>-2.0750546966320987E-2</v>
      </c>
      <c r="M17" s="4">
        <f t="shared" si="3"/>
        <v>5.464670660186921E-2</v>
      </c>
    </row>
    <row r="18" spans="1:13" x14ac:dyDescent="0.25">
      <c r="A18" s="13" t="str">
        <f>Data!A18</f>
        <v xml:space="preserve">  Diğer Alacaklar</v>
      </c>
      <c r="B18" s="8">
        <f>IFERROR(HLOOKUP(B$1,Data!$1:$73,ROW('Dikey Analiz'!$A18),0),"")</f>
        <v>0</v>
      </c>
      <c r="C18" s="9" t="str">
        <f t="shared" si="0"/>
        <v/>
      </c>
      <c r="D18" s="8">
        <f>IFERROR(HLOOKUP(D$1,Data!$1:$73,ROW('Dikey Analiz'!$A18),0),"")</f>
        <v>0</v>
      </c>
      <c r="E18" s="9" t="str">
        <f t="shared" si="1"/>
        <v/>
      </c>
      <c r="H18" s="13" t="str">
        <f>Data!A89</f>
        <v>Faaliyet Karı Öncesi Diğer Gelir ve Giderler</v>
      </c>
      <c r="I18" s="8">
        <f>VLOOKUP($H18,Data!$A:$I,'Dikey Analiz'!I$1,0)</f>
        <v>0</v>
      </c>
      <c r="J18" s="9" t="str">
        <f t="shared" si="2"/>
        <v/>
      </c>
      <c r="K18" s="8">
        <f>VLOOKUP($H18,Data!$A:$I,'Dikey Analiz'!K$1,0)</f>
        <v>0</v>
      </c>
      <c r="L18" s="9" t="str">
        <f t="shared" si="2"/>
        <v/>
      </c>
      <c r="M18" s="4" t="str">
        <f t="shared" si="3"/>
        <v/>
      </c>
    </row>
    <row r="19" spans="1:13" x14ac:dyDescent="0.25">
      <c r="A19" s="13" t="str">
        <f>Data!A19</f>
        <v xml:space="preserve">  Müşteri Sözleşmelerinden Doğan Varlıklar</v>
      </c>
      <c r="B19" s="8">
        <f>IFERROR(HLOOKUP(B$1,Data!$1:$73,ROW('Dikey Analiz'!$A19),0),"")</f>
        <v>0</v>
      </c>
      <c r="C19" s="9" t="str">
        <f t="shared" si="0"/>
        <v/>
      </c>
      <c r="D19" s="8">
        <f>IFERROR(HLOOKUP(D$1,Data!$1:$73,ROW('Dikey Analiz'!$A19),0),"")</f>
        <v>0</v>
      </c>
      <c r="E19" s="9" t="str">
        <f t="shared" si="1"/>
        <v/>
      </c>
      <c r="H19" s="13" t="str">
        <f>Data!A90</f>
        <v>FAALİYET KARI (ZARARI)</v>
      </c>
      <c r="I19" s="8">
        <f>VLOOKUP($H19,Data!$A:$I,'Dikey Analiz'!I$1,0)</f>
        <v>13578327000</v>
      </c>
      <c r="J19" s="9">
        <f t="shared" si="2"/>
        <v>0.17558854983838368</v>
      </c>
      <c r="K19" s="8">
        <f>VLOOKUP($H19,Data!$A:$I,'Dikey Analiz'!K$1,0)</f>
        <v>13352178000</v>
      </c>
      <c r="L19" s="9">
        <f t="shared" si="2"/>
        <v>0.16499261083424266</v>
      </c>
      <c r="M19" s="4">
        <f t="shared" si="3"/>
        <v>-1.6655144628642371E-2</v>
      </c>
    </row>
    <row r="20" spans="1:13" x14ac:dyDescent="0.25">
      <c r="A20" s="13" t="str">
        <f>Data!A20</f>
        <v xml:space="preserve">  Finansal Yatırımlar</v>
      </c>
      <c r="B20" s="8">
        <f>IFERROR(HLOOKUP(B$1,Data!$1:$73,ROW('Dikey Analiz'!$A20),0),"")</f>
        <v>4677269000</v>
      </c>
      <c r="C20" s="9">
        <f t="shared" si="0"/>
        <v>5.2040324581659962E-2</v>
      </c>
      <c r="D20" s="8">
        <f>IFERROR(HLOOKUP(D$1,Data!$1:$73,ROW('Dikey Analiz'!$A20),0),"")</f>
        <v>5842024000</v>
      </c>
      <c r="E20" s="9">
        <f t="shared" si="1"/>
        <v>4.521389863032943E-2</v>
      </c>
      <c r="H20" s="13" t="str">
        <f>Data!A91</f>
        <v>Net Faaliyet Kar/Zararı</v>
      </c>
      <c r="I20" s="8">
        <f>VLOOKUP($H20,Data!$A:$I,'Dikey Analiz'!I$1,0)</f>
        <v>12859513000</v>
      </c>
      <c r="J20" s="9">
        <f t="shared" si="2"/>
        <v>0.16629318466832052</v>
      </c>
      <c r="K20" s="8">
        <f>VLOOKUP($H20,Data!$A:$I,'Dikey Analiz'!K$1,0)</f>
        <v>12611523000</v>
      </c>
      <c r="L20" s="9">
        <f t="shared" si="2"/>
        <v>0.15584035101734717</v>
      </c>
      <c r="M20" s="4">
        <f t="shared" si="3"/>
        <v>-1.9284556110328643E-2</v>
      </c>
    </row>
    <row r="21" spans="1:13" x14ac:dyDescent="0.25">
      <c r="A21" s="13" t="str">
        <f>Data!A21</f>
        <v xml:space="preserve">  Özkaynak Yöntemiyle Değerlenen Yatırımlar</v>
      </c>
      <c r="B21" s="8">
        <f>IFERROR(HLOOKUP(B$1,Data!$1:$73,ROW('Dikey Analiz'!$A21),0),"")</f>
        <v>0</v>
      </c>
      <c r="C21" s="9" t="str">
        <f t="shared" si="0"/>
        <v/>
      </c>
      <c r="D21" s="8">
        <f>IFERROR(HLOOKUP(D$1,Data!$1:$73,ROW('Dikey Analiz'!$A21),0),"")</f>
        <v>0</v>
      </c>
      <c r="E21" s="9" t="str">
        <f t="shared" si="1"/>
        <v/>
      </c>
      <c r="H21" s="13" t="str">
        <f>Data!A92</f>
        <v xml:space="preserve">  Yatırım Faaliyetlerinden Gelirler</v>
      </c>
      <c r="I21" s="8">
        <f>VLOOKUP($H21,Data!$A:$I,'Dikey Analiz'!I$1,0)</f>
        <v>5795548000</v>
      </c>
      <c r="J21" s="9">
        <f t="shared" si="2"/>
        <v>7.4945305768431184E-2</v>
      </c>
      <c r="K21" s="8">
        <f>VLOOKUP($H21,Data!$A:$I,'Dikey Analiz'!K$1,0)</f>
        <v>9855269000</v>
      </c>
      <c r="L21" s="9">
        <f t="shared" si="2"/>
        <v>0.12178137250595189</v>
      </c>
      <c r="M21" s="4">
        <f t="shared" si="3"/>
        <v>0.70048958269347428</v>
      </c>
    </row>
    <row r="22" spans="1:13" x14ac:dyDescent="0.25">
      <c r="A22" s="13" t="str">
        <f>Data!A22</f>
        <v xml:space="preserve">  Canlı Varlıklar</v>
      </c>
      <c r="B22" s="8">
        <f>IFERROR(HLOOKUP(B$1,Data!$1:$73,ROW('Dikey Analiz'!$A22),0),"")</f>
        <v>0</v>
      </c>
      <c r="C22" s="9" t="str">
        <f t="shared" si="0"/>
        <v/>
      </c>
      <c r="D22" s="8">
        <f>IFERROR(HLOOKUP(D$1,Data!$1:$73,ROW('Dikey Analiz'!$A22),0),"")</f>
        <v>0</v>
      </c>
      <c r="E22" s="9" t="str">
        <f t="shared" si="1"/>
        <v/>
      </c>
      <c r="H22" s="13" t="str">
        <f>Data!A93</f>
        <v xml:space="preserve">  Yatırım Faaliyetlerinden Giderler (-)</v>
      </c>
      <c r="I22" s="8">
        <f>VLOOKUP($H22,Data!$A:$I,'Dikey Analiz'!I$1,0)</f>
        <v>-161924000</v>
      </c>
      <c r="J22" s="9">
        <f t="shared" si="2"/>
        <v>-2.0939251458615216E-3</v>
      </c>
      <c r="K22" s="8">
        <f>VLOOKUP($H22,Data!$A:$I,'Dikey Analiz'!K$1,0)</f>
        <v>-739055000</v>
      </c>
      <c r="L22" s="9">
        <f t="shared" si="2"/>
        <v>-9.1324886471781004E-3</v>
      </c>
      <c r="M22" s="4">
        <f t="shared" si="3"/>
        <v>3.5642091351498237</v>
      </c>
    </row>
    <row r="23" spans="1:13" x14ac:dyDescent="0.25">
      <c r="A23" s="13" t="str">
        <f>Data!A23</f>
        <v xml:space="preserve">  Yatırım Amaçlı Gayrimenkuller</v>
      </c>
      <c r="B23" s="8">
        <f>IFERROR(HLOOKUP(B$1,Data!$1:$73,ROW('Dikey Analiz'!$A23),0),"")</f>
        <v>0</v>
      </c>
      <c r="C23" s="9" t="str">
        <f t="shared" si="0"/>
        <v/>
      </c>
      <c r="D23" s="8">
        <f>IFERROR(HLOOKUP(D$1,Data!$1:$73,ROW('Dikey Analiz'!$A23),0),"")</f>
        <v>0</v>
      </c>
      <c r="E23" s="9" t="str">
        <f t="shared" si="1"/>
        <v/>
      </c>
      <c r="H23" s="13" t="str">
        <f>Data!A94</f>
        <v xml:space="preserve">  Diğer Gelir ve Giderler</v>
      </c>
      <c r="I23" s="8">
        <f>VLOOKUP($H23,Data!$A:$I,'Dikey Analiz'!I$1,0)</f>
        <v>0</v>
      </c>
      <c r="J23" s="9" t="str">
        <f t="shared" si="2"/>
        <v/>
      </c>
      <c r="K23" s="8">
        <f>VLOOKUP($H23,Data!$A:$I,'Dikey Analiz'!K$1,0)</f>
        <v>0</v>
      </c>
      <c r="L23" s="9" t="str">
        <f t="shared" si="2"/>
        <v/>
      </c>
      <c r="M23" s="4" t="str">
        <f t="shared" si="3"/>
        <v/>
      </c>
    </row>
    <row r="24" spans="1:13" x14ac:dyDescent="0.25">
      <c r="A24" s="13" t="str">
        <f>Data!A24</f>
        <v xml:space="preserve">  Stoklar</v>
      </c>
      <c r="B24" s="8">
        <f>IFERROR(HLOOKUP(B$1,Data!$1:$73,ROW('Dikey Analiz'!$A24),0),"")</f>
        <v>0</v>
      </c>
      <c r="C24" s="9" t="str">
        <f t="shared" si="0"/>
        <v/>
      </c>
      <c r="D24" s="8">
        <f>IFERROR(HLOOKUP(D$1,Data!$1:$73,ROW('Dikey Analiz'!$A24),0),"")</f>
        <v>0</v>
      </c>
      <c r="E24" s="9" t="str">
        <f t="shared" si="1"/>
        <v/>
      </c>
      <c r="H24" s="13" t="str">
        <f>Data!A95</f>
        <v>Özkaynak Yöntemiyle Değerlenen Yatırımların Kar/Zararlarındaki Paylar</v>
      </c>
      <c r="I24" s="8">
        <f>VLOOKUP($H24,Data!$A:$I,'Dikey Analiz'!I$1,0)</f>
        <v>0</v>
      </c>
      <c r="J24" s="9" t="str">
        <f t="shared" si="2"/>
        <v/>
      </c>
      <c r="K24" s="8">
        <f>VLOOKUP($H24,Data!$A:$I,'Dikey Analiz'!K$1,0)</f>
        <v>0</v>
      </c>
      <c r="L24" s="9" t="str">
        <f t="shared" si="2"/>
        <v/>
      </c>
      <c r="M24" s="4" t="str">
        <f t="shared" si="3"/>
        <v/>
      </c>
    </row>
    <row r="25" spans="1:13" x14ac:dyDescent="0.25">
      <c r="A25" s="13" t="str">
        <f>Data!A25</f>
        <v xml:space="preserve">  Kullanım Hakkı Varlıkları</v>
      </c>
      <c r="B25" s="8">
        <f>IFERROR(HLOOKUP(B$1,Data!$1:$73,ROW('Dikey Analiz'!$A25),0),"")</f>
        <v>0</v>
      </c>
      <c r="C25" s="9" t="str">
        <f t="shared" si="0"/>
        <v/>
      </c>
      <c r="D25" s="8">
        <f>IFERROR(HLOOKUP(D$1,Data!$1:$73,ROW('Dikey Analiz'!$A25),0),"")</f>
        <v>0</v>
      </c>
      <c r="E25" s="9" t="str">
        <f t="shared" si="1"/>
        <v/>
      </c>
      <c r="H25" s="13" t="str">
        <f>Data!A96</f>
        <v>Finansman Gideri Öncesi Faaliyet Karı/Zararı</v>
      </c>
      <c r="I25" s="8">
        <f>VLOOKUP($H25,Data!$A:$I,'Dikey Analiz'!I$1,0)</f>
        <v>19211951000</v>
      </c>
      <c r="J25" s="9">
        <f t="shared" si="2"/>
        <v>0.24843993046095333</v>
      </c>
      <c r="K25" s="8">
        <f>VLOOKUP($H25,Data!$A:$I,'Dikey Analiz'!K$1,0)</f>
        <v>22468392000</v>
      </c>
      <c r="L25" s="9">
        <f t="shared" si="2"/>
        <v>0.27764149469301647</v>
      </c>
      <c r="M25" s="4">
        <f t="shared" si="3"/>
        <v>0.16950079666557549</v>
      </c>
    </row>
    <row r="26" spans="1:13" x14ac:dyDescent="0.25">
      <c r="A26" s="13" t="str">
        <f>Data!A26</f>
        <v xml:space="preserve">  Maddi Duran Varlıklar</v>
      </c>
      <c r="B26" s="8">
        <f>IFERROR(HLOOKUP(B$1,Data!$1:$73,ROW('Dikey Analiz'!$A26),0),"")</f>
        <v>21438911000</v>
      </c>
      <c r="C26" s="9">
        <f t="shared" si="0"/>
        <v>0.23853404350216337</v>
      </c>
      <c r="D26" s="8">
        <f>IFERROR(HLOOKUP(D$1,Data!$1:$73,ROW('Dikey Analiz'!$A26),0),"")</f>
        <v>28267630000</v>
      </c>
      <c r="E26" s="9">
        <f t="shared" si="1"/>
        <v>0.21877516376852599</v>
      </c>
      <c r="H26" s="13" t="str">
        <f>Data!A97</f>
        <v>(Esas Faaliyet Dışı) Finansal Gelirler</v>
      </c>
      <c r="I26" s="8">
        <f>VLOOKUP($H26,Data!$A:$I,'Dikey Analiz'!I$1,0)</f>
        <v>99543000</v>
      </c>
      <c r="J26" s="9">
        <f t="shared" si="2"/>
        <v>1.2872433412866125E-3</v>
      </c>
      <c r="K26" s="8">
        <f>VLOOKUP($H26,Data!$A:$I,'Dikey Analiz'!K$1,0)</f>
        <v>4056000</v>
      </c>
      <c r="L26" s="9">
        <f t="shared" si="2"/>
        <v>5.011991523358123E-5</v>
      </c>
      <c r="M26" s="4">
        <f t="shared" si="3"/>
        <v>-0.95925378981947496</v>
      </c>
    </row>
    <row r="27" spans="1:13" x14ac:dyDescent="0.25">
      <c r="A27" s="13" t="str">
        <f>Data!A27</f>
        <v xml:space="preserve">  Şerefiye</v>
      </c>
      <c r="B27" s="8">
        <f>IFERROR(HLOOKUP(B$1,Data!$1:$73,ROW('Dikey Analiz'!$A27),0),"")</f>
        <v>2272486000</v>
      </c>
      <c r="C27" s="9">
        <f t="shared" si="0"/>
        <v>2.5284179517423122E-2</v>
      </c>
      <c r="D27" s="8">
        <f>IFERROR(HLOOKUP(D$1,Data!$1:$73,ROW('Dikey Analiz'!$A27),0),"")</f>
        <v>2779480000</v>
      </c>
      <c r="E27" s="9">
        <f t="shared" si="1"/>
        <v>2.1511573209050162E-2</v>
      </c>
      <c r="H27" s="13" t="str">
        <f>Data!A98</f>
        <v>(Esas Faaliyet Dışı) Finansal Giderler (-)</v>
      </c>
      <c r="I27" s="8">
        <f>VLOOKUP($H27,Data!$A:$I,'Dikey Analiz'!I$1,0)</f>
        <v>-9416829000</v>
      </c>
      <c r="J27" s="9">
        <f t="shared" si="2"/>
        <v>-0.1217740114953806</v>
      </c>
      <c r="K27" s="8">
        <f>VLOOKUP($H27,Data!$A:$I,'Dikey Analiz'!K$1,0)</f>
        <v>-15602089000</v>
      </c>
      <c r="L27" s="9">
        <f t="shared" si="2"/>
        <v>-0.19279471847800547</v>
      </c>
      <c r="M27" s="4">
        <f t="shared" si="3"/>
        <v>0.65683044685211978</v>
      </c>
    </row>
    <row r="28" spans="1:13" x14ac:dyDescent="0.25">
      <c r="A28" s="13" t="str">
        <f>Data!A28</f>
        <v xml:space="preserve">  Maddi Olmayan Duran Varlıklar</v>
      </c>
      <c r="B28" s="8">
        <f>IFERROR(HLOOKUP(B$1,Data!$1:$73,ROW('Dikey Analiz'!$A28),0),"")</f>
        <v>1658872000</v>
      </c>
      <c r="C28" s="9">
        <f t="shared" si="0"/>
        <v>1.8456975068020982E-2</v>
      </c>
      <c r="D28" s="8">
        <f>IFERROR(HLOOKUP(D$1,Data!$1:$73,ROW('Dikey Analiz'!$A28),0),"")</f>
        <v>2026672000</v>
      </c>
      <c r="E28" s="9">
        <f t="shared" si="1"/>
        <v>1.5685273180138768E-2</v>
      </c>
      <c r="H28" s="13" t="str">
        <f>Data!A99</f>
        <v>Vergi Öncesi Diğer Gelir ve Giderler</v>
      </c>
      <c r="I28" s="8">
        <f>VLOOKUP($H28,Data!$A:$I,'Dikey Analiz'!I$1,0)</f>
        <v>5633624000</v>
      </c>
      <c r="J28" s="9">
        <f t="shared" si="2"/>
        <v>7.2851380622569656E-2</v>
      </c>
      <c r="K28" s="8">
        <f>VLOOKUP($H28,Data!$A:$I,'Dikey Analiz'!K$1,0)</f>
        <v>9116214000</v>
      </c>
      <c r="L28" s="9">
        <f t="shared" si="2"/>
        <v>0.11264888385877379</v>
      </c>
      <c r="M28" s="4">
        <f t="shared" si="3"/>
        <v>0.61817934601244251</v>
      </c>
    </row>
    <row r="29" spans="1:13" x14ac:dyDescent="0.25">
      <c r="A29" s="13" t="str">
        <f>Data!A29</f>
        <v xml:space="preserve">  Ertelenmiş Vergi Varlığı</v>
      </c>
      <c r="B29" s="8">
        <f>IFERROR(HLOOKUP(B$1,Data!$1:$73,ROW('Dikey Analiz'!$A29),0),"")</f>
        <v>756229000</v>
      </c>
      <c r="C29" s="9">
        <f t="shared" si="0"/>
        <v>8.4139703356946403E-3</v>
      </c>
      <c r="D29" s="8">
        <f>IFERROR(HLOOKUP(D$1,Data!$1:$73,ROW('Dikey Analiz'!$A29),0),"")</f>
        <v>80675000</v>
      </c>
      <c r="E29" s="9">
        <f t="shared" si="1"/>
        <v>6.2437800187089729E-4</v>
      </c>
      <c r="H29" s="13" t="str">
        <f>Data!A100</f>
        <v>SÜRDÜRÜLEN FAALİYETLER VERGİ ÖNCESİ KARI (ZARARI)</v>
      </c>
      <c r="I29" s="8">
        <f>VLOOKUP($H29,Data!$A:$I,'Dikey Analiz'!I$1,0)</f>
        <v>9894665000</v>
      </c>
      <c r="J29" s="9">
        <f t="shared" si="2"/>
        <v>0.12795316230685935</v>
      </c>
      <c r="K29" s="8">
        <f>VLOOKUP($H29,Data!$A:$I,'Dikey Analiz'!K$1,0)</f>
        <v>6870359000</v>
      </c>
      <c r="L29" s="9">
        <f t="shared" si="2"/>
        <v>8.4896896130244551E-2</v>
      </c>
      <c r="M29" s="4">
        <f t="shared" si="3"/>
        <v>-0.30565016602381179</v>
      </c>
    </row>
    <row r="30" spans="1:13" x14ac:dyDescent="0.25">
      <c r="A30" s="13" t="str">
        <f>Data!A30</f>
        <v xml:space="preserve">  Diğer Duran Varlıklar</v>
      </c>
      <c r="B30" s="8">
        <f>IFERROR(HLOOKUP(B$1,Data!$1:$73,ROW('Dikey Analiz'!$A30),0),"")</f>
        <v>211090000</v>
      </c>
      <c r="C30" s="9">
        <f t="shared" si="0"/>
        <v>2.3486338108718147E-3</v>
      </c>
      <c r="D30" s="8">
        <f>IFERROR(HLOOKUP(D$1,Data!$1:$73,ROW('Dikey Analiz'!$A30),0),"")</f>
        <v>128518000</v>
      </c>
      <c r="E30" s="9">
        <f t="shared" si="1"/>
        <v>9.9465524690974883E-4</v>
      </c>
      <c r="H30" s="13" t="str">
        <f>Data!A101</f>
        <v>Sürdürülen Faaliyetler Vergi Geliri (Gideri)</v>
      </c>
      <c r="I30" s="8">
        <f>VLOOKUP($H30,Data!$A:$I,'Dikey Analiz'!I$1,0)</f>
        <v>-3373930000</v>
      </c>
      <c r="J30" s="9">
        <f t="shared" si="2"/>
        <v>-4.3630078724442106E-2</v>
      </c>
      <c r="K30" s="8">
        <f>VLOOKUP($H30,Data!$A:$I,'Dikey Analiz'!K$1,0)</f>
        <v>-2015327000</v>
      </c>
      <c r="L30" s="9">
        <f t="shared" si="2"/>
        <v>-2.490335759564782E-2</v>
      </c>
      <c r="M30" s="4">
        <f t="shared" si="3"/>
        <v>-0.40267670046503634</v>
      </c>
    </row>
    <row r="31" spans="1:13" x14ac:dyDescent="0.25">
      <c r="A31" s="13" t="str">
        <f>Data!A31</f>
        <v>TOPLAM VARLIKLAR</v>
      </c>
      <c r="B31" s="8">
        <f>IFERROR(HLOOKUP(B$1,Data!$1:$73,ROW('Dikey Analiz'!$A31),0),"")</f>
        <v>89877783000</v>
      </c>
      <c r="C31" s="9">
        <f>IF(B31/$B$31=0,"",B31/$B$31)</f>
        <v>1</v>
      </c>
      <c r="D31" s="8">
        <f>IFERROR(HLOOKUP(D$1,Data!$1:$73,ROW('Dikey Analiz'!$A31),0),"")</f>
        <v>129208588000</v>
      </c>
      <c r="E31" s="9">
        <f>IF(D31/D$31=0,"",D31/D$31)</f>
        <v>1</v>
      </c>
      <c r="H31" s="13" t="str">
        <f>Data!A102</f>
        <v xml:space="preserve">  Dönem Vergi Geliri (Gideri)</v>
      </c>
      <c r="I31" s="8">
        <f>VLOOKUP($H31,Data!$A:$I,'Dikey Analiz'!I$1,0)</f>
        <v>-630138000</v>
      </c>
      <c r="J31" s="9">
        <f t="shared" si="2"/>
        <v>-8.1486487707991863E-3</v>
      </c>
      <c r="K31" s="8">
        <f>VLOOKUP($H31,Data!$A:$I,'Dikey Analiz'!K$1,0)</f>
        <v>-1016953000</v>
      </c>
      <c r="L31" s="9">
        <f t="shared" si="2"/>
        <v>-1.2566468973504965E-2</v>
      </c>
      <c r="M31" s="4">
        <f t="shared" si="3"/>
        <v>0.61385759944647056</v>
      </c>
    </row>
    <row r="32" spans="1:13" x14ac:dyDescent="0.25">
      <c r="A32" s="13" t="str">
        <f>Data!A32</f>
        <v>KAYNAKLAR</v>
      </c>
      <c r="B32" s="8">
        <f>IFERROR(HLOOKUP(B$1,Data!$1:$73,ROW('Dikey Analiz'!$A32),0),"")</f>
        <v>0</v>
      </c>
      <c r="C32" s="9" t="str">
        <f t="shared" si="0"/>
        <v/>
      </c>
      <c r="D32" s="8">
        <f>IFERROR(HLOOKUP(D$1,Data!$1:$73,ROW('Dikey Analiz'!$A32),0),"")</f>
        <v>0</v>
      </c>
      <c r="E32" s="9" t="str">
        <f t="shared" si="1"/>
        <v/>
      </c>
      <c r="H32" s="13" t="str">
        <f>Data!A103</f>
        <v xml:space="preserve">  Ertelenmiş Vergi Geliri (Gideri)</v>
      </c>
      <c r="I32" s="8">
        <f>VLOOKUP($H32,Data!$A:$I,'Dikey Analiz'!I$1,0)</f>
        <v>-2743792000</v>
      </c>
      <c r="J32" s="9">
        <f t="shared" si="2"/>
        <v>-3.5481429953642923E-2</v>
      </c>
      <c r="K32" s="8">
        <f>VLOOKUP($H32,Data!$A:$I,'Dikey Analiz'!K$1,0)</f>
        <v>-998374000</v>
      </c>
      <c r="L32" s="9">
        <f t="shared" si="2"/>
        <v>-1.2336888622142857E-2</v>
      </c>
      <c r="M32" s="4">
        <f t="shared" si="3"/>
        <v>-0.63613349699977251</v>
      </c>
    </row>
    <row r="33" spans="1:13" x14ac:dyDescent="0.25">
      <c r="A33" s="13" t="str">
        <f>Data!A33</f>
        <v>Kısa Vadeli Yükümlülükler</v>
      </c>
      <c r="B33" s="8">
        <f>IFERROR(HLOOKUP(B$1,Data!$1:$73,ROW('Dikey Analiz'!$A33),0),"")</f>
        <v>17692904000</v>
      </c>
      <c r="C33" s="9">
        <f t="shared" si="0"/>
        <v>0.19685514494722239</v>
      </c>
      <c r="D33" s="8">
        <f>IFERROR(HLOOKUP(D$1,Data!$1:$73,ROW('Dikey Analiz'!$A33),0),"")</f>
        <v>60835483000</v>
      </c>
      <c r="E33" s="9">
        <f t="shared" si="1"/>
        <v>0.47083157506527351</v>
      </c>
      <c r="H33" s="13" t="str">
        <f>Data!A104</f>
        <v xml:space="preserve">  Diğer Vergi Geliri (Gideri)</v>
      </c>
      <c r="I33" s="8">
        <f>VLOOKUP($H33,Data!$A:$I,'Dikey Analiz'!I$1,0)</f>
        <v>0</v>
      </c>
      <c r="J33" s="9" t="str">
        <f t="shared" si="2"/>
        <v/>
      </c>
      <c r="K33" s="8">
        <f>VLOOKUP($H33,Data!$A:$I,'Dikey Analiz'!K$1,0)</f>
        <v>0</v>
      </c>
      <c r="L33" s="9" t="str">
        <f t="shared" si="2"/>
        <v/>
      </c>
      <c r="M33" s="4" t="str">
        <f t="shared" si="3"/>
        <v/>
      </c>
    </row>
    <row r="34" spans="1:13" x14ac:dyDescent="0.25">
      <c r="A34" s="13" t="str">
        <f>Data!A34</f>
        <v xml:space="preserve">  Finansal Borçlar</v>
      </c>
      <c r="B34" s="8">
        <f>IFERROR(HLOOKUP(B$1,Data!$1:$73,ROW('Dikey Analiz'!$A34),0),"")</f>
        <v>7653636000</v>
      </c>
      <c r="C34" s="9">
        <f t="shared" si="0"/>
        <v>8.5156039062512262E-2</v>
      </c>
      <c r="D34" s="8">
        <f>IFERROR(HLOOKUP(D$1,Data!$1:$73,ROW('Dikey Analiz'!$A34),0),"")</f>
        <v>46959327000</v>
      </c>
      <c r="E34" s="9">
        <f t="shared" si="1"/>
        <v>0.36343812533575554</v>
      </c>
      <c r="H34" s="13" t="str">
        <f>Data!A105</f>
        <v>SÜRDÜRÜLEN FAALİYETLER DÖNEM KARI/ZARARI</v>
      </c>
      <c r="I34" s="8">
        <f>VLOOKUP($H34,Data!$A:$I,'Dikey Analiz'!I$1,0)</f>
        <v>6520735000</v>
      </c>
      <c r="J34" s="9">
        <f t="shared" si="2"/>
        <v>8.4323083582417246E-2</v>
      </c>
      <c r="K34" s="8">
        <f>VLOOKUP($H34,Data!$A:$I,'Dikey Analiz'!K$1,0)</f>
        <v>4855032000</v>
      </c>
      <c r="L34" s="9">
        <f t="shared" si="2"/>
        <v>5.9993538534596734E-2</v>
      </c>
      <c r="M34" s="4">
        <f t="shared" si="3"/>
        <v>-0.25544712367547528</v>
      </c>
    </row>
    <row r="35" spans="1:13" x14ac:dyDescent="0.25">
      <c r="A35" s="13" t="str">
        <f>Data!A35</f>
        <v xml:space="preserve">  Diğer Finansal Yükümlülükler</v>
      </c>
      <c r="B35" s="8">
        <f>IFERROR(HLOOKUP(B$1,Data!$1:$73,ROW('Dikey Analiz'!$A35),0),"")</f>
        <v>0</v>
      </c>
      <c r="C35" s="9" t="str">
        <f t="shared" si="0"/>
        <v/>
      </c>
      <c r="D35" s="8">
        <f>IFERROR(HLOOKUP(D$1,Data!$1:$73,ROW('Dikey Analiz'!$A35),0),"")</f>
        <v>0</v>
      </c>
      <c r="E35" s="9" t="str">
        <f t="shared" si="1"/>
        <v/>
      </c>
      <c r="H35" s="13" t="str">
        <f>Data!A106</f>
        <v>DURDURULAN FAALİYETLER</v>
      </c>
      <c r="I35" s="8">
        <f>VLOOKUP($H35,Data!$A:$I,'Dikey Analiz'!I$1,0)</f>
        <v>0</v>
      </c>
      <c r="J35" s="9" t="str">
        <f t="shared" si="2"/>
        <v/>
      </c>
      <c r="K35" s="8">
        <f>VLOOKUP($H35,Data!$A:$I,'Dikey Analiz'!K$1,0)</f>
        <v>0</v>
      </c>
      <c r="L35" s="9" t="str">
        <f t="shared" si="2"/>
        <v/>
      </c>
      <c r="M35" s="4" t="str">
        <f t="shared" si="3"/>
        <v/>
      </c>
    </row>
    <row r="36" spans="1:13" x14ac:dyDescent="0.25">
      <c r="A36" s="13" t="str">
        <f>Data!A36</f>
        <v xml:space="preserve">  Ticari Borçlar</v>
      </c>
      <c r="B36" s="8">
        <f>IFERROR(HLOOKUP(B$1,Data!$1:$73,ROW('Dikey Analiz'!$A36),0),"")</f>
        <v>7032123000</v>
      </c>
      <c r="C36" s="9">
        <f t="shared" si="0"/>
        <v>7.8240948600167406E-2</v>
      </c>
      <c r="D36" s="8">
        <f>IFERROR(HLOOKUP(D$1,Data!$1:$73,ROW('Dikey Analiz'!$A36),0),"")</f>
        <v>9726239000</v>
      </c>
      <c r="E36" s="9">
        <f t="shared" si="1"/>
        <v>7.5275484010397201E-2</v>
      </c>
      <c r="H36" s="13" t="str">
        <f>Data!A107</f>
        <v>Durdurulan Faaliyetler Vergi Sonrası Dönem Karı (Zararı)</v>
      </c>
      <c r="I36" s="8">
        <f>VLOOKUP($H36,Data!$A:$I,'Dikey Analiz'!I$1,0)</f>
        <v>0</v>
      </c>
      <c r="J36" s="9" t="str">
        <f t="shared" si="2"/>
        <v/>
      </c>
      <c r="K36" s="8">
        <f>VLOOKUP($H36,Data!$A:$I,'Dikey Analiz'!K$1,0)</f>
        <v>0</v>
      </c>
      <c r="L36" s="9" t="str">
        <f t="shared" si="2"/>
        <v/>
      </c>
      <c r="M36" s="4" t="str">
        <f t="shared" si="3"/>
        <v/>
      </c>
    </row>
    <row r="37" spans="1:13" x14ac:dyDescent="0.25">
      <c r="A37" s="13" t="str">
        <f>Data!A37</f>
        <v xml:space="preserve">  Diğer Borçlar</v>
      </c>
      <c r="B37" s="8">
        <f>IFERROR(HLOOKUP(B$1,Data!$1:$73,ROW('Dikey Analiz'!$A37),0),"")</f>
        <v>6093000</v>
      </c>
      <c r="C37" s="9">
        <f t="shared" si="0"/>
        <v>6.7792059356871324E-5</v>
      </c>
      <c r="D37" s="8">
        <f>IFERROR(HLOOKUP(D$1,Data!$1:$73,ROW('Dikey Analiz'!$A37),0),"")</f>
        <v>2218000</v>
      </c>
      <c r="E37" s="9">
        <f t="shared" si="1"/>
        <v>1.7166041625654171E-5</v>
      </c>
      <c r="H37" s="13" t="str">
        <f>Data!A108</f>
        <v>DÖNEM KARI (ZARARI)</v>
      </c>
      <c r="I37" s="8">
        <f>VLOOKUP($H37,Data!$A:$I,'Dikey Analiz'!I$1,0)</f>
        <v>6520735000</v>
      </c>
      <c r="J37" s="9">
        <f t="shared" si="2"/>
        <v>8.4323083582417246E-2</v>
      </c>
      <c r="K37" s="8">
        <f>VLOOKUP($H37,Data!$A:$I,'Dikey Analiz'!K$1,0)</f>
        <v>4855032000</v>
      </c>
      <c r="L37" s="9">
        <f t="shared" si="2"/>
        <v>5.9993538534596734E-2</v>
      </c>
      <c r="M37" s="4">
        <f t="shared" si="3"/>
        <v>-0.25544712367547528</v>
      </c>
    </row>
    <row r="38" spans="1:13" x14ac:dyDescent="0.25">
      <c r="A38" s="13" t="str">
        <f>Data!A38</f>
        <v xml:space="preserve">  Müşteri Söz. Doğan Yük.</v>
      </c>
      <c r="B38" s="8">
        <f>IFERROR(HLOOKUP(B$1,Data!$1:$73,ROW('Dikey Analiz'!$A38),0),"")</f>
        <v>0</v>
      </c>
      <c r="C38" s="9" t="str">
        <f t="shared" si="0"/>
        <v/>
      </c>
      <c r="D38" s="8">
        <f>IFERROR(HLOOKUP(D$1,Data!$1:$73,ROW('Dikey Analiz'!$A38),0),"")</f>
        <v>0</v>
      </c>
      <c r="E38" s="9" t="str">
        <f t="shared" si="1"/>
        <v/>
      </c>
      <c r="H38" s="13" t="str">
        <f>Data!A109</f>
        <v>Dönem Kar/Zararının Dağılımı</v>
      </c>
      <c r="I38" s="8">
        <f>VLOOKUP($H38,Data!$A:$I,'Dikey Analiz'!I$1,0)</f>
        <v>0</v>
      </c>
      <c r="J38" s="9" t="str">
        <f t="shared" si="2"/>
        <v/>
      </c>
      <c r="K38" s="8">
        <f>VLOOKUP($H38,Data!$A:$I,'Dikey Analiz'!K$1,0)</f>
        <v>0</v>
      </c>
      <c r="L38" s="9" t="str">
        <f t="shared" si="2"/>
        <v/>
      </c>
      <c r="M38" s="4" t="str">
        <f t="shared" si="3"/>
        <v/>
      </c>
    </row>
    <row r="39" spans="1:13" x14ac:dyDescent="0.25">
      <c r="A39" s="13" t="str">
        <f>Data!A39</f>
        <v xml:space="preserve">  Finans Sektörü Faaliyetlerinden Borçlar</v>
      </c>
      <c r="B39" s="8">
        <f>IFERROR(HLOOKUP(B$1,Data!$1:$73,ROW('Dikey Analiz'!$A39),0),"")</f>
        <v>0</v>
      </c>
      <c r="C39" s="9" t="str">
        <f t="shared" si="0"/>
        <v/>
      </c>
      <c r="D39" s="8">
        <f>IFERROR(HLOOKUP(D$1,Data!$1:$73,ROW('Dikey Analiz'!$A39),0),"")</f>
        <v>0</v>
      </c>
      <c r="E39" s="9" t="str">
        <f t="shared" si="1"/>
        <v/>
      </c>
      <c r="H39" s="13" t="str">
        <f>Data!A110</f>
        <v>Azınlık Payları</v>
      </c>
      <c r="I39" s="8">
        <f>VLOOKUP($H39,Data!$A:$I,'Dikey Analiz'!I$1,0)</f>
        <v>652765000</v>
      </c>
      <c r="J39" s="9">
        <f t="shared" si="2"/>
        <v>8.441250511587511E-3</v>
      </c>
      <c r="K39" s="8">
        <f>VLOOKUP($H39,Data!$A:$I,'Dikey Analiz'!K$1,0)</f>
        <v>261516000</v>
      </c>
      <c r="L39" s="9">
        <f t="shared" si="2"/>
        <v>3.231548262382946E-3</v>
      </c>
      <c r="M39" s="4">
        <f t="shared" si="3"/>
        <v>-0.59937190259894457</v>
      </c>
    </row>
    <row r="40" spans="1:13" ht="15.75" thickBot="1" x14ac:dyDescent="0.3">
      <c r="A40" s="13" t="str">
        <f>Data!A40</f>
        <v xml:space="preserve">  Devlet Teşvik ve Yardımları</v>
      </c>
      <c r="B40" s="8">
        <f>IFERROR(HLOOKUP(B$1,Data!$1:$73,ROW('Dikey Analiz'!$A40),0),"")</f>
        <v>0</v>
      </c>
      <c r="C40" s="9" t="str">
        <f t="shared" si="0"/>
        <v/>
      </c>
      <c r="D40" s="8">
        <f>IFERROR(HLOOKUP(D$1,Data!$1:$73,ROW('Dikey Analiz'!$A40),0),"")</f>
        <v>0</v>
      </c>
      <c r="E40" s="9" t="str">
        <f t="shared" si="1"/>
        <v/>
      </c>
      <c r="H40" s="14" t="str">
        <f>Data!A111</f>
        <v>Ana Ortaklık Payları</v>
      </c>
      <c r="I40" s="15">
        <f>VLOOKUP($H40,Data!$A:$I,'Dikey Analiz'!I$1,0)</f>
        <v>5867970000</v>
      </c>
      <c r="J40" s="16">
        <f t="shared" si="2"/>
        <v>7.5881833070829727E-2</v>
      </c>
      <c r="K40" s="15">
        <f>VLOOKUP($H40,Data!$A:$I,'Dikey Analiz'!K$1,0)</f>
        <v>4593516000</v>
      </c>
      <c r="L40" s="16">
        <f t="shared" si="2"/>
        <v>5.6761990272213791E-2</v>
      </c>
      <c r="M40" s="4">
        <f t="shared" si="3"/>
        <v>-0.21718822693367557</v>
      </c>
    </row>
    <row r="41" spans="1:13" x14ac:dyDescent="0.25">
      <c r="A41" s="13" t="str">
        <f>Data!A41</f>
        <v xml:space="preserve">  Ertelenmiş Gelirler (Müşteri Söz. Doğan Yük. Dış.Kal.)</v>
      </c>
      <c r="B41" s="8">
        <f>IFERROR(HLOOKUP(B$1,Data!$1:$73,ROW('Dikey Analiz'!$A41),0),"")</f>
        <v>76492000</v>
      </c>
      <c r="C41" s="9">
        <f t="shared" si="0"/>
        <v>8.5106683149939293E-4</v>
      </c>
      <c r="D41" s="8">
        <f>IFERROR(HLOOKUP(D$1,Data!$1:$73,ROW('Dikey Analiz'!$A41),0),"")</f>
        <v>76076000</v>
      </c>
      <c r="E41" s="9">
        <f t="shared" si="1"/>
        <v>5.8878439256684705E-4</v>
      </c>
    </row>
    <row r="42" spans="1:13" x14ac:dyDescent="0.25">
      <c r="A42" s="13" t="str">
        <f>Data!A42</f>
        <v xml:space="preserve">  Dönem Karı Vergi Yükümlülüğü</v>
      </c>
      <c r="B42" s="8">
        <f>IFERROR(HLOOKUP(B$1,Data!$1:$73,ROW('Dikey Analiz'!$A42),0),"")</f>
        <v>274723000</v>
      </c>
      <c r="C42" s="9">
        <f t="shared" si="0"/>
        <v>3.0566285774984016E-3</v>
      </c>
      <c r="D42" s="8">
        <f>IFERROR(HLOOKUP(D$1,Data!$1:$73,ROW('Dikey Analiz'!$A42),0),"")</f>
        <v>636709000</v>
      </c>
      <c r="E42" s="9">
        <f t="shared" si="1"/>
        <v>4.9277606841427596E-3</v>
      </c>
    </row>
    <row r="43" spans="1:13" x14ac:dyDescent="0.25">
      <c r="A43" s="13" t="str">
        <f>Data!A43</f>
        <v xml:space="preserve">  Borç Karşılıkları</v>
      </c>
      <c r="B43" s="8">
        <f>IFERROR(HLOOKUP(B$1,Data!$1:$73,ROW('Dikey Analiz'!$A43),0),"")</f>
        <v>1647778000</v>
      </c>
      <c r="C43" s="9">
        <f t="shared" si="0"/>
        <v>1.8333540781707978E-2</v>
      </c>
      <c r="D43" s="8">
        <f>IFERROR(HLOOKUP(D$1,Data!$1:$73,ROW('Dikey Analiz'!$A43),0),"")</f>
        <v>2287036000</v>
      </c>
      <c r="E43" s="9">
        <f t="shared" si="1"/>
        <v>1.7700340475820385E-2</v>
      </c>
    </row>
    <row r="44" spans="1:13" x14ac:dyDescent="0.25">
      <c r="A44" s="13" t="str">
        <f>Data!A44</f>
        <v xml:space="preserve">  Diğer Kısa Vadeli Yükümlülükler</v>
      </c>
      <c r="B44" s="8">
        <f>IFERROR(HLOOKUP(B$1,Data!$1:$73,ROW('Dikey Analiz'!$A44),0),"")</f>
        <v>1002059000</v>
      </c>
      <c r="C44" s="9">
        <f t="shared" si="0"/>
        <v>1.1149129034480079E-2</v>
      </c>
      <c r="D44" s="8">
        <f>IFERROR(HLOOKUP(D$1,Data!$1:$73,ROW('Dikey Analiz'!$A44),0),"")</f>
        <v>1147878000</v>
      </c>
      <c r="E44" s="9">
        <f t="shared" si="1"/>
        <v>8.88391412496513E-3</v>
      </c>
    </row>
    <row r="45" spans="1:13" x14ac:dyDescent="0.25">
      <c r="A45" s="13" t="str">
        <f>Data!A45</f>
        <v xml:space="preserve">    (Ara Toplam)</v>
      </c>
      <c r="B45" s="8">
        <f>IFERROR(HLOOKUP(B$1,Data!$1:$73,ROW('Dikey Analiz'!$A45),0),"")</f>
        <v>17692904000</v>
      </c>
      <c r="C45" s="9">
        <f t="shared" si="0"/>
        <v>0.19685514494722239</v>
      </c>
      <c r="D45" s="8">
        <f>IFERROR(HLOOKUP(D$1,Data!$1:$73,ROW('Dikey Analiz'!$A45),0),"")</f>
        <v>60835483000</v>
      </c>
      <c r="E45" s="9">
        <f t="shared" si="1"/>
        <v>0.47083157506527351</v>
      </c>
    </row>
    <row r="46" spans="1:13" x14ac:dyDescent="0.25">
      <c r="A46" s="13" t="str">
        <f>Data!A46</f>
        <v xml:space="preserve">  Satış Amaçlı Elde Tutulan Duran Varlıklara İlişkin Yükümlülükler</v>
      </c>
      <c r="B46" s="8">
        <f>IFERROR(HLOOKUP(B$1,Data!$1:$73,ROW('Dikey Analiz'!$A46),0),"")</f>
        <v>0</v>
      </c>
      <c r="C46" s="9" t="str">
        <f t="shared" si="0"/>
        <v/>
      </c>
      <c r="D46" s="8">
        <f>IFERROR(HLOOKUP(D$1,Data!$1:$73,ROW('Dikey Analiz'!$A46),0),"")</f>
        <v>0</v>
      </c>
      <c r="E46" s="9" t="str">
        <f t="shared" si="1"/>
        <v/>
      </c>
    </row>
    <row r="47" spans="1:13" x14ac:dyDescent="0.25">
      <c r="A47" s="13" t="str">
        <f>Data!A47</f>
        <v>Uzun Vadeli Yükümlülükler</v>
      </c>
      <c r="B47" s="8">
        <f>IFERROR(HLOOKUP(B$1,Data!$1:$73,ROW('Dikey Analiz'!$A47),0),"")</f>
        <v>43137967000</v>
      </c>
      <c r="C47" s="9">
        <f t="shared" si="0"/>
        <v>0.4799625175445193</v>
      </c>
      <c r="D47" s="8">
        <f>IFERROR(HLOOKUP(D$1,Data!$1:$73,ROW('Dikey Analiz'!$A47),0),"")</f>
        <v>25789527000</v>
      </c>
      <c r="E47" s="9">
        <f t="shared" si="1"/>
        <v>0.19959607483675931</v>
      </c>
    </row>
    <row r="48" spans="1:13" x14ac:dyDescent="0.25">
      <c r="A48" s="13" t="str">
        <f>Data!A48</f>
        <v xml:space="preserve">  Finansal Borçlar</v>
      </c>
      <c r="B48" s="8">
        <f>IFERROR(HLOOKUP(B$1,Data!$1:$73,ROW('Dikey Analiz'!$A48),0),"")</f>
        <v>39885968000</v>
      </c>
      <c r="C48" s="9">
        <f t="shared" si="0"/>
        <v>0.44378006075205484</v>
      </c>
      <c r="D48" s="8">
        <f>IFERROR(HLOOKUP(D$1,Data!$1:$73,ROW('Dikey Analiz'!$A48),0),"")</f>
        <v>21513932000</v>
      </c>
      <c r="E48" s="9">
        <f t="shared" si="1"/>
        <v>0.1665054338338563</v>
      </c>
    </row>
    <row r="49" spans="1:5" x14ac:dyDescent="0.25">
      <c r="A49" s="13" t="str">
        <f>Data!A49</f>
        <v xml:space="preserve">  Diğer Finansal Yükümlülükler</v>
      </c>
      <c r="B49" s="8">
        <f>IFERROR(HLOOKUP(B$1,Data!$1:$73,ROW('Dikey Analiz'!$A49),0),"")</f>
        <v>0</v>
      </c>
      <c r="C49" s="9" t="str">
        <f t="shared" si="0"/>
        <v/>
      </c>
      <c r="D49" s="8">
        <f>IFERROR(HLOOKUP(D$1,Data!$1:$73,ROW('Dikey Analiz'!$A49),0),"")</f>
        <v>0</v>
      </c>
      <c r="E49" s="9" t="str">
        <f t="shared" si="1"/>
        <v/>
      </c>
    </row>
    <row r="50" spans="1:5" x14ac:dyDescent="0.25">
      <c r="A50" s="13" t="str">
        <f>Data!A50</f>
        <v xml:space="preserve">  Ticari Borçlar</v>
      </c>
      <c r="B50" s="8">
        <f>IFERROR(HLOOKUP(B$1,Data!$1:$73,ROW('Dikey Analiz'!$A50),0),"")</f>
        <v>0</v>
      </c>
      <c r="C50" s="9" t="str">
        <f t="shared" si="0"/>
        <v/>
      </c>
      <c r="D50" s="8">
        <f>IFERROR(HLOOKUP(D$1,Data!$1:$73,ROW('Dikey Analiz'!$A50),0),"")</f>
        <v>0</v>
      </c>
      <c r="E50" s="9" t="str">
        <f t="shared" si="1"/>
        <v/>
      </c>
    </row>
    <row r="51" spans="1:5" x14ac:dyDescent="0.25">
      <c r="A51" s="13" t="str">
        <f>Data!A51</f>
        <v xml:space="preserve">  Diğer Borçlar</v>
      </c>
      <c r="B51" s="8">
        <f>IFERROR(HLOOKUP(B$1,Data!$1:$73,ROW('Dikey Analiz'!$A51),0),"")</f>
        <v>0</v>
      </c>
      <c r="C51" s="9" t="str">
        <f t="shared" si="0"/>
        <v/>
      </c>
      <c r="D51" s="8">
        <f>IFERROR(HLOOKUP(D$1,Data!$1:$73,ROW('Dikey Analiz'!$A51),0),"")</f>
        <v>0</v>
      </c>
      <c r="E51" s="9" t="str">
        <f t="shared" si="1"/>
        <v/>
      </c>
    </row>
    <row r="52" spans="1:5" x14ac:dyDescent="0.25">
      <c r="A52" s="13" t="str">
        <f>Data!A52</f>
        <v xml:space="preserve">  Müşteri Söz.Doğan Yük.</v>
      </c>
      <c r="B52" s="8">
        <f>IFERROR(HLOOKUP(B$1,Data!$1:$73,ROW('Dikey Analiz'!$A52),0),"")</f>
        <v>0</v>
      </c>
      <c r="C52" s="9" t="str">
        <f t="shared" si="0"/>
        <v/>
      </c>
      <c r="D52" s="8">
        <f>IFERROR(HLOOKUP(D$1,Data!$1:$73,ROW('Dikey Analiz'!$A52),0),"")</f>
        <v>0</v>
      </c>
      <c r="E52" s="9" t="str">
        <f t="shared" si="1"/>
        <v/>
      </c>
    </row>
    <row r="53" spans="1:5" x14ac:dyDescent="0.25">
      <c r="A53" s="13" t="str">
        <f>Data!A53</f>
        <v xml:space="preserve">  Finans Sektörü Faaliyetlerinden Borçlar</v>
      </c>
      <c r="B53" s="8">
        <f>IFERROR(HLOOKUP(B$1,Data!$1:$73,ROW('Dikey Analiz'!$A53),0),"")</f>
        <v>0</v>
      </c>
      <c r="C53" s="9" t="str">
        <f t="shared" si="0"/>
        <v/>
      </c>
      <c r="D53" s="8">
        <f>IFERROR(HLOOKUP(D$1,Data!$1:$73,ROW('Dikey Analiz'!$A53),0),"")</f>
        <v>0</v>
      </c>
      <c r="E53" s="9" t="str">
        <f t="shared" si="1"/>
        <v/>
      </c>
    </row>
    <row r="54" spans="1:5" x14ac:dyDescent="0.25">
      <c r="A54" s="13" t="str">
        <f>Data!A54</f>
        <v xml:space="preserve">  Devlet Teşvik ve Yardımları</v>
      </c>
      <c r="B54" s="8">
        <f>IFERROR(HLOOKUP(B$1,Data!$1:$73,ROW('Dikey Analiz'!$A54),0),"")</f>
        <v>0</v>
      </c>
      <c r="C54" s="9" t="str">
        <f t="shared" si="0"/>
        <v/>
      </c>
      <c r="D54" s="8">
        <f>IFERROR(HLOOKUP(D$1,Data!$1:$73,ROW('Dikey Analiz'!$A54),0),"")</f>
        <v>0</v>
      </c>
      <c r="E54" s="9" t="str">
        <f t="shared" si="1"/>
        <v/>
      </c>
    </row>
    <row r="55" spans="1:5" x14ac:dyDescent="0.25">
      <c r="A55" s="13" t="str">
        <f>Data!A55</f>
        <v xml:space="preserve">  Ertelenmiş Gelirler (Müşteri Söz.Doğan Yük. Dış.Kal.)</v>
      </c>
      <c r="B55" s="8">
        <f>IFERROR(HLOOKUP(B$1,Data!$1:$73,ROW('Dikey Analiz'!$A55),0),"")</f>
        <v>0</v>
      </c>
      <c r="C55" s="9" t="str">
        <f t="shared" si="0"/>
        <v/>
      </c>
      <c r="D55" s="8">
        <f>IFERROR(HLOOKUP(D$1,Data!$1:$73,ROW('Dikey Analiz'!$A55),0),"")</f>
        <v>0</v>
      </c>
      <c r="E55" s="9" t="str">
        <f t="shared" si="1"/>
        <v/>
      </c>
    </row>
    <row r="56" spans="1:5" x14ac:dyDescent="0.25">
      <c r="A56" s="13" t="str">
        <f>Data!A56</f>
        <v xml:space="preserve">    Uzun vadeli karşılıklar</v>
      </c>
      <c r="B56" s="8">
        <f>IFERROR(HLOOKUP(B$1,Data!$1:$73,ROW('Dikey Analiz'!$A56),0),"")</f>
        <v>1540129000</v>
      </c>
      <c r="C56" s="9">
        <f t="shared" si="0"/>
        <v>1.7135814309082367E-2</v>
      </c>
      <c r="D56" s="8">
        <f>IFERROR(HLOOKUP(D$1,Data!$1:$73,ROW('Dikey Analiz'!$A56),0),"")</f>
        <v>2154022000</v>
      </c>
      <c r="E56" s="9">
        <f t="shared" si="1"/>
        <v>1.6670888780241141E-2</v>
      </c>
    </row>
    <row r="57" spans="1:5" x14ac:dyDescent="0.25">
      <c r="A57" s="13" t="str">
        <f>Data!A57</f>
        <v xml:space="preserve">  Çalışanlara Sağlanan Faydalara İliş.Karş.</v>
      </c>
      <c r="B57" s="8">
        <f>IFERROR(HLOOKUP(B$1,Data!$1:$73,ROW('Dikey Analiz'!$A57),0),"")</f>
        <v>0</v>
      </c>
      <c r="C57" s="9" t="str">
        <f t="shared" si="0"/>
        <v/>
      </c>
      <c r="D57" s="8">
        <f>IFERROR(HLOOKUP(D$1,Data!$1:$73,ROW('Dikey Analiz'!$A57),0),"")</f>
        <v>0</v>
      </c>
      <c r="E57" s="9" t="str">
        <f t="shared" si="1"/>
        <v/>
      </c>
    </row>
    <row r="58" spans="1:5" x14ac:dyDescent="0.25">
      <c r="A58" s="13" t="str">
        <f>Data!A58</f>
        <v xml:space="preserve">  Ertelenmiş Vergi Yükümlülüğü</v>
      </c>
      <c r="B58" s="8">
        <f>IFERROR(HLOOKUP(B$1,Data!$1:$73,ROW('Dikey Analiz'!$A58),0),"")</f>
        <v>1711870000</v>
      </c>
      <c r="C58" s="9">
        <f t="shared" si="0"/>
        <v>1.9046642483382129E-2</v>
      </c>
      <c r="D58" s="8">
        <f>IFERROR(HLOOKUP(D$1,Data!$1:$73,ROW('Dikey Analiz'!$A58),0),"")</f>
        <v>2121573000</v>
      </c>
      <c r="E58" s="9">
        <f t="shared" si="1"/>
        <v>1.6419752222661857E-2</v>
      </c>
    </row>
    <row r="59" spans="1:5" x14ac:dyDescent="0.25">
      <c r="A59" s="13" t="str">
        <f>Data!A59</f>
        <v xml:space="preserve">  Diğer Uzun Vadeli Yükümlülükler</v>
      </c>
      <c r="B59" s="8">
        <f>IFERROR(HLOOKUP(B$1,Data!$1:$73,ROW('Dikey Analiz'!$A59),0),"")</f>
        <v>0</v>
      </c>
      <c r="C59" s="9" t="str">
        <f t="shared" si="0"/>
        <v/>
      </c>
      <c r="D59" s="8">
        <f>IFERROR(HLOOKUP(D$1,Data!$1:$73,ROW('Dikey Analiz'!$A59),0),"")</f>
        <v>0</v>
      </c>
      <c r="E59" s="9" t="str">
        <f t="shared" si="1"/>
        <v/>
      </c>
    </row>
    <row r="60" spans="1:5" x14ac:dyDescent="0.25">
      <c r="A60" s="13" t="str">
        <f>Data!A60</f>
        <v>Özkaynaklar</v>
      </c>
      <c r="B60" s="8">
        <f>IFERROR(HLOOKUP(B$1,Data!$1:$73,ROW('Dikey Analiz'!$A60),0),"")</f>
        <v>29046912000</v>
      </c>
      <c r="C60" s="9">
        <f t="shared" si="0"/>
        <v>0.32318233750825831</v>
      </c>
      <c r="D60" s="8">
        <f>IFERROR(HLOOKUP(D$1,Data!$1:$73,ROW('Dikey Analiz'!$A60),0),"")</f>
        <v>42583578000</v>
      </c>
      <c r="E60" s="9">
        <f t="shared" si="1"/>
        <v>0.32957235009796715</v>
      </c>
    </row>
    <row r="61" spans="1:5" x14ac:dyDescent="0.25">
      <c r="A61" s="13" t="str">
        <f>Data!A61</f>
        <v xml:space="preserve">  Ana Ortaklığa Ait Özkaynaklar</v>
      </c>
      <c r="B61" s="8">
        <f>IFERROR(HLOOKUP(B$1,Data!$1:$73,ROW('Dikey Analiz'!$A61),0),"")</f>
        <v>27015414000</v>
      </c>
      <c r="C61" s="9">
        <f t="shared" si="0"/>
        <v>0.30057944353166788</v>
      </c>
      <c r="D61" s="8">
        <f>IFERROR(HLOOKUP(D$1,Data!$1:$73,ROW('Dikey Analiz'!$A61),0),"")</f>
        <v>40151407000</v>
      </c>
      <c r="E61" s="9">
        <f t="shared" si="1"/>
        <v>0.31074874837267008</v>
      </c>
    </row>
    <row r="62" spans="1:5" x14ac:dyDescent="0.25">
      <c r="A62" s="13" t="str">
        <f>Data!A62</f>
        <v xml:space="preserve">  Ödenmiş Sermaye</v>
      </c>
      <c r="B62" s="8">
        <f>IFERROR(HLOOKUP(B$1,Data!$1:$73,ROW('Dikey Analiz'!$A62),0),"")</f>
        <v>369276000</v>
      </c>
      <c r="C62" s="9">
        <f t="shared" si="0"/>
        <v>4.108646071076319E-3</v>
      </c>
      <c r="D62" s="8">
        <f>IFERROR(HLOOKUP(D$1,Data!$1:$73,ROW('Dikey Analiz'!$A62),0),"")</f>
        <v>369276000</v>
      </c>
      <c r="E62" s="9">
        <f t="shared" si="1"/>
        <v>2.8579834027750539E-3</v>
      </c>
    </row>
    <row r="63" spans="1:5" x14ac:dyDescent="0.25">
      <c r="A63" s="13" t="str">
        <f>Data!A63</f>
        <v xml:space="preserve">  Karşılıklı İştirak Sermayesi Düzeltmesi (-)</v>
      </c>
      <c r="B63" s="8">
        <f>IFERROR(HLOOKUP(B$1,Data!$1:$73,ROW('Dikey Analiz'!$A63),0),"")</f>
        <v>0</v>
      </c>
      <c r="C63" s="9" t="str">
        <f t="shared" si="0"/>
        <v/>
      </c>
      <c r="D63" s="8">
        <f>IFERROR(HLOOKUP(D$1,Data!$1:$73,ROW('Dikey Analiz'!$A63),0),"")</f>
        <v>0</v>
      </c>
      <c r="E63" s="9" t="str">
        <f t="shared" si="1"/>
        <v/>
      </c>
    </row>
    <row r="64" spans="1:5" x14ac:dyDescent="0.25">
      <c r="A64" s="13" t="str">
        <f>Data!A64</f>
        <v xml:space="preserve">  Hisse Senedi İhraç Primleri</v>
      </c>
      <c r="B64" s="8">
        <f>IFERROR(HLOOKUP(B$1,Data!$1:$73,ROW('Dikey Analiz'!$A64),0),"")</f>
        <v>4531024000</v>
      </c>
      <c r="C64" s="9">
        <f t="shared" si="0"/>
        <v>5.041317051623314E-2</v>
      </c>
      <c r="D64" s="8">
        <f>IFERROR(HLOOKUP(D$1,Data!$1:$73,ROW('Dikey Analiz'!$A64),0),"")</f>
        <v>6039584000</v>
      </c>
      <c r="E64" s="9">
        <f t="shared" si="1"/>
        <v>4.6742899163947214E-2</v>
      </c>
    </row>
    <row r="65" spans="1:5" x14ac:dyDescent="0.25">
      <c r="A65" s="13" t="str">
        <f>Data!A65</f>
        <v xml:space="preserve">  Değer Artış Fonları</v>
      </c>
      <c r="B65" s="8">
        <f>IFERROR(HLOOKUP(B$1,Data!$1:$73,ROW('Dikey Analiz'!$A65),0),"")</f>
        <v>0</v>
      </c>
      <c r="C65" s="9" t="str">
        <f t="shared" si="0"/>
        <v/>
      </c>
      <c r="D65" s="8">
        <f>IFERROR(HLOOKUP(D$1,Data!$1:$73,ROW('Dikey Analiz'!$A65),0),"")</f>
        <v>0</v>
      </c>
      <c r="E65" s="9" t="str">
        <f t="shared" si="1"/>
        <v/>
      </c>
    </row>
    <row r="66" spans="1:5" x14ac:dyDescent="0.25">
      <c r="A66" s="13" t="str">
        <f>Data!A66</f>
        <v xml:space="preserve">  Yabancı Para Çevrim Farkları</v>
      </c>
      <c r="B66" s="8">
        <f>IFERROR(HLOOKUP(B$1,Data!$1:$73,ROW('Dikey Analiz'!$A66),0),"")</f>
        <v>-1340934000</v>
      </c>
      <c r="C66" s="9">
        <f t="shared" si="0"/>
        <v>-1.4919526886861462E-2</v>
      </c>
      <c r="D66" s="8">
        <f>IFERROR(HLOOKUP(D$1,Data!$1:$73,ROW('Dikey Analiz'!$A66),0),"")</f>
        <v>-2307013000</v>
      </c>
      <c r="E66" s="9">
        <f t="shared" si="1"/>
        <v>-1.7854950941805819E-2</v>
      </c>
    </row>
    <row r="67" spans="1:5" x14ac:dyDescent="0.25">
      <c r="A67" s="13" t="str">
        <f>Data!A67</f>
        <v xml:space="preserve">  Kardan Ayrılan Kısıtlanmış Yedekler</v>
      </c>
      <c r="B67" s="8">
        <f>IFERROR(HLOOKUP(B$1,Data!$1:$73,ROW('Dikey Analiz'!$A67),0),"")</f>
        <v>2075934000</v>
      </c>
      <c r="C67" s="9">
        <f t="shared" si="0"/>
        <v>2.3097298695051255E-2</v>
      </c>
      <c r="D67" s="8">
        <f>IFERROR(HLOOKUP(D$1,Data!$1:$73,ROW('Dikey Analiz'!$A67),0),"")</f>
        <v>3085474000</v>
      </c>
      <c r="E67" s="9">
        <f t="shared" si="1"/>
        <v>2.3879790405263154E-2</v>
      </c>
    </row>
    <row r="68" spans="1:5" x14ac:dyDescent="0.25">
      <c r="A68" s="13" t="str">
        <f>Data!A68</f>
        <v xml:space="preserve">  Geçmiş Yıllar Kar/Zararları</v>
      </c>
      <c r="B68" s="8">
        <f>IFERROR(HLOOKUP(B$1,Data!$1:$73,ROW('Dikey Analiz'!$A68),0),"")</f>
        <v>27985057000</v>
      </c>
      <c r="C68" s="9">
        <f t="shared" ref="C68:C71" si="4">IF(B68/$B$31=0,"",B68/$B$31)</f>
        <v>0.31136790501385642</v>
      </c>
      <c r="D68" s="8">
        <f>IFERROR(HLOOKUP(D$1,Data!$1:$73,ROW('Dikey Analiz'!$A68),0),"")</f>
        <v>18703612000</v>
      </c>
      <c r="E68" s="9">
        <f t="shared" ref="E68:E71" si="5">IF(D68/D$31=0,"",D68/D$31)</f>
        <v>0.14475517679985792</v>
      </c>
    </row>
    <row r="69" spans="1:5" x14ac:dyDescent="0.25">
      <c r="A69" s="13" t="str">
        <f>Data!A69</f>
        <v xml:space="preserve">  Dönem Net Kar/Zararı</v>
      </c>
      <c r="B69" s="8">
        <f>IFERROR(HLOOKUP(B$1,Data!$1:$73,ROW('Dikey Analiz'!$A69),0),"")</f>
        <v>4402276000</v>
      </c>
      <c r="C69" s="9">
        <f t="shared" si="4"/>
        <v>4.898069192472182E-2</v>
      </c>
      <c r="D69" s="8">
        <f>IFERROR(HLOOKUP(D$1,Data!$1:$73,ROW('Dikey Analiz'!$A69),0),"")</f>
        <v>4593516000</v>
      </c>
      <c r="E69" s="9">
        <f t="shared" si="5"/>
        <v>3.5551166304827971E-2</v>
      </c>
    </row>
    <row r="70" spans="1:5" x14ac:dyDescent="0.25">
      <c r="A70" s="13" t="str">
        <f>Data!A70</f>
        <v xml:space="preserve">  Diğer Özsermaye Kalemleri</v>
      </c>
      <c r="B70" s="8">
        <f>IFERROR(HLOOKUP(B$1,Data!$1:$73,ROW('Dikey Analiz'!$A70),0),"")</f>
        <v>-11007219000</v>
      </c>
      <c r="C70" s="9">
        <f t="shared" si="4"/>
        <v>-0.12246874180240962</v>
      </c>
      <c r="D70" s="8">
        <f>IFERROR(HLOOKUP(D$1,Data!$1:$73,ROW('Dikey Analiz'!$A70),0),"")</f>
        <v>9666958000</v>
      </c>
      <c r="E70" s="9">
        <f t="shared" si="5"/>
        <v>7.481668323780459E-2</v>
      </c>
    </row>
    <row r="71" spans="1:5" x14ac:dyDescent="0.25">
      <c r="A71" s="13" t="str">
        <f>Data!A71</f>
        <v xml:space="preserve">  Azınlık Payları</v>
      </c>
      <c r="B71" s="8">
        <f>IFERROR(HLOOKUP(B$1,Data!$1:$73,ROW('Dikey Analiz'!$A71),0),"")</f>
        <v>2031498000</v>
      </c>
      <c r="C71" s="9">
        <f t="shared" si="4"/>
        <v>2.2602893976590412E-2</v>
      </c>
      <c r="D71" s="8">
        <f>IFERROR(HLOOKUP(D$1,Data!$1:$73,ROW('Dikey Analiz'!$A71),0),"")</f>
        <v>2432171000</v>
      </c>
      <c r="E71" s="9">
        <f t="shared" si="5"/>
        <v>1.8823601725297082E-2</v>
      </c>
    </row>
    <row r="72" spans="1:5" x14ac:dyDescent="0.25">
      <c r="A72" s="13" t="str">
        <f>Data!A72</f>
        <v>TOPLAM KAYNAKLAR</v>
      </c>
      <c r="B72" s="8">
        <f>IFERROR(HLOOKUP(B$1,Data!$1:$73,ROW('Dikey Analiz'!$A72),0),"")</f>
        <v>89877783000</v>
      </c>
      <c r="C72" s="9">
        <f>IF(B72/$B$31=0,"",B72/$B$31)</f>
        <v>1</v>
      </c>
      <c r="D72" s="8">
        <f>IFERROR(HLOOKUP(D$1,Data!$1:$73,ROW('Dikey Analiz'!$A72),0),"")</f>
        <v>129208588000</v>
      </c>
      <c r="E72" s="9">
        <f>IF(D72/D$31=0,"",D72/D$31)</f>
        <v>1</v>
      </c>
    </row>
    <row r="73" spans="1:5" ht="15.75" thickBot="1" x14ac:dyDescent="0.3">
      <c r="A73" s="14" t="str">
        <f>Data!A73</f>
        <v>Sürdürülen Faaliyetler</v>
      </c>
      <c r="B73" s="15">
        <f>IFERROR(HLOOKUP(B$1,Data!$1:$73,ROW('Dikey Analiz'!$A73),0),"")</f>
        <v>0</v>
      </c>
      <c r="C73" s="16" t="str">
        <f t="shared" ref="C73" si="6">IF(B73/$B$31=0,"",B73/$B$31)</f>
        <v/>
      </c>
      <c r="D73" s="15">
        <f>IFERROR(HLOOKUP(D$1,Data!$1:$73,ROW('Dikey Analiz'!$A73),0),"")</f>
        <v>0</v>
      </c>
      <c r="E73" s="16" t="str">
        <f t="shared" ref="E73" si="7">IF(D73/D$31=0,"",D73/D$31)</f>
        <v/>
      </c>
    </row>
  </sheetData>
  <conditionalFormatting sqref="C3:C7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{8E562338-DA92-42A3-BDB7-B748ABC5F867}</x14:id>
        </ext>
      </extLst>
    </cfRule>
  </conditionalFormatting>
  <conditionalFormatting sqref="E3:E7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{C9950590-6EF6-49E6-9699-CBA8273DB98C}</x14:id>
        </ext>
      </extLst>
    </cfRule>
  </conditionalFormatting>
  <conditionalFormatting sqref="J3:J4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{D47E690B-08CA-44CD-AFCB-0A5C43F0EB95}</x14:id>
        </ext>
      </extLst>
    </cfRule>
  </conditionalFormatting>
  <conditionalFormatting sqref="L3:L4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{C8299DA4-E091-4196-8EB3-9FFE31066F5E}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562338-DA92-42A3-BDB7-B748ABC5F8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C3:C72</xm:sqref>
        </x14:conditionalFormatting>
        <x14:conditionalFormatting xmlns:xm="http://schemas.microsoft.com/office/excel/2006/main">
          <x14:cfRule type="dataBar" id="{C9950590-6EF6-49E6-9699-CBA8273DB9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E3:E72</xm:sqref>
        </x14:conditionalFormatting>
        <x14:conditionalFormatting xmlns:xm="http://schemas.microsoft.com/office/excel/2006/main">
          <x14:cfRule type="dataBar" id="{D47E690B-08CA-44CD-AFCB-0A5C43F0EB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J3:J40</xm:sqref>
        </x14:conditionalFormatting>
        <x14:conditionalFormatting xmlns:xm="http://schemas.microsoft.com/office/excel/2006/main">
          <x14:cfRule type="dataBar" id="{C8299DA4-E091-4196-8EB3-9FFE31066F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L3:L40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4F0B-2B12-4F69-97EC-6350786511D6}">
  <dimension ref="A1:Z78"/>
  <sheetViews>
    <sheetView topLeftCell="I34" zoomScale="85" zoomScaleNormal="85" workbookViewId="0">
      <selection activeCell="F78" sqref="F78"/>
    </sheetView>
  </sheetViews>
  <sheetFormatPr defaultRowHeight="15" x14ac:dyDescent="0.25"/>
  <cols>
    <col min="1" max="1" width="28" customWidth="1"/>
    <col min="2" max="2" width="18" bestFit="1" customWidth="1"/>
    <col min="3" max="7" width="16.85546875" bestFit="1" customWidth="1"/>
    <col min="8" max="8" width="25.7109375" bestFit="1" customWidth="1"/>
    <col min="9" max="9" width="26.7109375" bestFit="1" customWidth="1"/>
    <col min="10" max="10" width="18" bestFit="1" customWidth="1"/>
    <col min="11" max="11" width="17.5703125" bestFit="1" customWidth="1"/>
    <col min="12" max="12" width="22.140625" bestFit="1" customWidth="1"/>
    <col min="13" max="13" width="19.140625" bestFit="1" customWidth="1"/>
    <col min="14" max="17" width="16.85546875" bestFit="1" customWidth="1"/>
    <col min="18" max="18" width="18" bestFit="1" customWidth="1"/>
    <col min="19" max="19" width="16.85546875" bestFit="1" customWidth="1"/>
    <col min="20" max="24" width="19" bestFit="1" customWidth="1"/>
  </cols>
  <sheetData>
    <row r="1" spans="1:26" x14ac:dyDescent="0.25">
      <c r="B1">
        <f>IF(B4&lt;&gt;"",COLUMN(B4),"")</f>
        <v>2</v>
      </c>
      <c r="C1">
        <f>IF($B$3-$C$3=1,COLUMN(C4),COLUMN(C4)+2)</f>
        <v>3</v>
      </c>
      <c r="D1">
        <f>C1+1</f>
        <v>4</v>
      </c>
      <c r="E1">
        <f t="shared" ref="E1:U1" si="0">D1+1</f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  <c r="T1">
        <f t="shared" si="0"/>
        <v>20</v>
      </c>
      <c r="U1">
        <f t="shared" si="0"/>
        <v>21</v>
      </c>
      <c r="V1">
        <f t="shared" ref="V1" si="1">U1+1</f>
        <v>22</v>
      </c>
      <c r="W1">
        <f t="shared" ref="W1" si="2">V1+1</f>
        <v>23</v>
      </c>
      <c r="X1">
        <f t="shared" ref="X1" si="3">W1+1</f>
        <v>24</v>
      </c>
      <c r="Y1">
        <f t="shared" ref="Y1" si="4">X1+1</f>
        <v>25</v>
      </c>
      <c r="Z1">
        <f t="shared" ref="Z1" si="5">Y1+1</f>
        <v>26</v>
      </c>
    </row>
    <row r="2" spans="1:26" x14ac:dyDescent="0.25">
      <c r="B2">
        <f>B3</f>
        <v>24</v>
      </c>
      <c r="C2">
        <f>B2-1</f>
        <v>23</v>
      </c>
      <c r="D2">
        <f t="shared" ref="D2:U2" si="6">C2-1</f>
        <v>22</v>
      </c>
      <c r="E2">
        <f t="shared" si="6"/>
        <v>21</v>
      </c>
      <c r="F2">
        <f t="shared" si="6"/>
        <v>20</v>
      </c>
      <c r="G2">
        <f t="shared" si="6"/>
        <v>19</v>
      </c>
      <c r="H2">
        <f t="shared" si="6"/>
        <v>18</v>
      </c>
      <c r="I2">
        <f t="shared" si="6"/>
        <v>17</v>
      </c>
      <c r="J2">
        <f t="shared" si="6"/>
        <v>16</v>
      </c>
      <c r="K2">
        <f t="shared" si="6"/>
        <v>15</v>
      </c>
      <c r="L2">
        <f t="shared" si="6"/>
        <v>14</v>
      </c>
      <c r="M2">
        <f t="shared" si="6"/>
        <v>13</v>
      </c>
      <c r="N2">
        <f t="shared" si="6"/>
        <v>12</v>
      </c>
      <c r="O2">
        <f t="shared" si="6"/>
        <v>11</v>
      </c>
      <c r="P2">
        <f t="shared" si="6"/>
        <v>10</v>
      </c>
      <c r="Q2">
        <f t="shared" si="6"/>
        <v>9</v>
      </c>
      <c r="R2">
        <f t="shared" si="6"/>
        <v>8</v>
      </c>
      <c r="S2">
        <f t="shared" si="6"/>
        <v>7</v>
      </c>
      <c r="T2">
        <f t="shared" si="6"/>
        <v>6</v>
      </c>
      <c r="U2">
        <f t="shared" si="6"/>
        <v>5</v>
      </c>
      <c r="V2">
        <f t="shared" ref="V2:V3" si="7">U2-1</f>
        <v>4</v>
      </c>
      <c r="W2">
        <f t="shared" ref="W2:W3" si="8">V2-1</f>
        <v>3</v>
      </c>
      <c r="X2">
        <f t="shared" ref="X2:X3" si="9">W2-1</f>
        <v>2</v>
      </c>
      <c r="Y2">
        <f t="shared" ref="Y2:Y3" si="10">X2-1</f>
        <v>1</v>
      </c>
      <c r="Z2">
        <f t="shared" ref="Z2:Z3" si="11">Y2-1</f>
        <v>0</v>
      </c>
    </row>
    <row r="3" spans="1:26" x14ac:dyDescent="0.25">
      <c r="B3">
        <f>COUNT(Data!$1:$1)+1</f>
        <v>24</v>
      </c>
      <c r="C3">
        <f>IF(AND(Bilanço!C3=0,Bilanço!D3=0),($B$3+1)-COLUMN(D3),($B$3+1)-COLUMN(B3))</f>
        <v>23</v>
      </c>
      <c r="D3">
        <f>C3-1</f>
        <v>22</v>
      </c>
      <c r="E3">
        <f t="shared" ref="E3:O3" si="12">D3-1</f>
        <v>21</v>
      </c>
      <c r="F3">
        <f t="shared" si="12"/>
        <v>20</v>
      </c>
      <c r="G3">
        <f t="shared" si="12"/>
        <v>19</v>
      </c>
      <c r="H3">
        <f t="shared" si="12"/>
        <v>18</v>
      </c>
      <c r="I3">
        <f t="shared" si="12"/>
        <v>17</v>
      </c>
      <c r="J3">
        <f t="shared" si="12"/>
        <v>16</v>
      </c>
      <c r="K3">
        <f t="shared" si="12"/>
        <v>15</v>
      </c>
      <c r="L3">
        <f t="shared" si="12"/>
        <v>14</v>
      </c>
      <c r="M3">
        <f t="shared" si="12"/>
        <v>13</v>
      </c>
      <c r="N3">
        <f t="shared" si="12"/>
        <v>12</v>
      </c>
      <c r="O3">
        <f t="shared" si="12"/>
        <v>11</v>
      </c>
      <c r="P3">
        <f t="shared" ref="P3" si="13">O3-1</f>
        <v>10</v>
      </c>
      <c r="Q3">
        <f t="shared" ref="Q3" si="14">P3-1</f>
        <v>9</v>
      </c>
      <c r="R3">
        <f t="shared" ref="R3" si="15">Q3-1</f>
        <v>8</v>
      </c>
      <c r="S3">
        <f t="shared" ref="S3" si="16">R3-1</f>
        <v>7</v>
      </c>
      <c r="T3">
        <f t="shared" ref="T3" si="17">S3-1</f>
        <v>6</v>
      </c>
      <c r="U3">
        <f t="shared" ref="U3" si="18">T3-1</f>
        <v>5</v>
      </c>
      <c r="V3">
        <f t="shared" si="7"/>
        <v>4</v>
      </c>
      <c r="W3">
        <f t="shared" si="8"/>
        <v>3</v>
      </c>
      <c r="X3">
        <f t="shared" si="9"/>
        <v>2</v>
      </c>
      <c r="Y3">
        <f t="shared" si="10"/>
        <v>1</v>
      </c>
      <c r="Z3">
        <f t="shared" si="11"/>
        <v>0</v>
      </c>
    </row>
    <row r="4" spans="1:26" x14ac:dyDescent="0.25">
      <c r="B4" t="str">
        <f>IFERROR(HLOOKUP(B$3,Data!$1:$149,ROW(Bilanço!$A2),0),"")</f>
        <v>2020/3</v>
      </c>
      <c r="C4" t="str">
        <f>IFERROR(HLOOKUP(C$3,Data!$1:$149,ROW(Bilanço!$A2),0),"")</f>
        <v>2020/6</v>
      </c>
      <c r="D4" t="str">
        <f>IFERROR(HLOOKUP(D$3,Data!$1:$149,ROW(Bilanço!$A2),0),"")</f>
        <v>2020/9</v>
      </c>
      <c r="E4" t="str">
        <f>IFERROR(HLOOKUP(E$3,Data!$1:$149,ROW(Bilanço!$A2),0),"")</f>
        <v>2020/12</v>
      </c>
      <c r="F4" t="str">
        <f>IFERROR(HLOOKUP(F$3,Data!$1:$149,ROW(Bilanço!$A2),0),"")</f>
        <v>2021/3</v>
      </c>
      <c r="G4" t="str">
        <f>IFERROR(HLOOKUP(G$3,Data!$1:$149,ROW(Bilanço!$A2),0),"")</f>
        <v>2021/6</v>
      </c>
      <c r="H4" t="str">
        <f>IFERROR(HLOOKUP(H$3,Data!$1:$149,ROW(Bilanço!$A2),0),"")</f>
        <v>2021/9</v>
      </c>
      <c r="I4" t="str">
        <f>IFERROR(HLOOKUP(I$3,Data!$1:$149,ROW(Bilanço!$A2),0),"")</f>
        <v>2021/12</v>
      </c>
      <c r="J4" t="str">
        <f>IFERROR(HLOOKUP(J$3,Data!$1:$149,ROW(Bilanço!$A2),0),"")</f>
        <v>2022/3</v>
      </c>
      <c r="K4" t="str">
        <f>IFERROR(HLOOKUP(K$3,Data!$1:$149,ROW(Bilanço!$A2),0),"")</f>
        <v>2022/6</v>
      </c>
      <c r="L4" t="str">
        <f>IFERROR(HLOOKUP(L$3,Data!$1:$149,ROW(Bilanço!$A2),0),"")</f>
        <v>2022/9</v>
      </c>
      <c r="M4" t="str">
        <f>IFERROR(HLOOKUP(M$3,Data!$1:$149,ROW(Bilanço!$A2),0),"")</f>
        <v>2022/12</v>
      </c>
      <c r="N4" t="str">
        <f>IFERROR(HLOOKUP(N$3,Data!$1:$149,ROW(Bilanço!$A2),0),"")</f>
        <v>2023/3</v>
      </c>
      <c r="O4" t="str">
        <f>IFERROR(HLOOKUP(O$3,Data!$1:$149,ROW(Bilanço!$A2),0),"")</f>
        <v>2023/6</v>
      </c>
      <c r="P4" t="str">
        <f>IFERROR(HLOOKUP(P$3,Data!$1:$149,ROW(Bilanço!$A2),0),"")</f>
        <v>2023/9</v>
      </c>
      <c r="Q4" t="str">
        <f>IFERROR(HLOOKUP(Q$3,Data!$1:$149,ROW(Bilanço!$A2),0),"")</f>
        <v>2023/12</v>
      </c>
      <c r="R4" t="str">
        <f>IFERROR(HLOOKUP(R$3,Data!$1:$149,ROW(Bilanço!$A2),0),"")</f>
        <v>2024/3</v>
      </c>
      <c r="S4" t="str">
        <f>IFERROR(HLOOKUP(S$3,Data!$1:$149,ROW(Bilanço!$A2),0),"")</f>
        <v>2024/6</v>
      </c>
      <c r="T4" t="str">
        <f>IFERROR(HLOOKUP(T$3,Data!$1:$149,ROW(Bilanço!$A2),0),"")</f>
        <v>2024/9</v>
      </c>
      <c r="U4" t="str">
        <f>IFERROR(HLOOKUP(U$3,Data!$1:$149,ROW(Bilanço!$A2),0),"")</f>
        <v>2024/12</v>
      </c>
      <c r="V4" t="str">
        <f>IFERROR(HLOOKUP(V$3,Data!$1:$149,ROW(Bilanço!$A2),0),"")</f>
        <v>2025/3</v>
      </c>
      <c r="W4" t="str">
        <f>IFERROR(HLOOKUP(W$3,Data!$1:$149,ROW(Bilanço!$A2),0),"")</f>
        <v>2025/6</v>
      </c>
      <c r="X4" t="str">
        <f>IFERROR(HLOOKUP(X$3,Data!$1:$149,ROW(Bilanço!$A2),0),"")</f>
        <v>2025/9</v>
      </c>
    </row>
    <row r="5" spans="1:26" x14ac:dyDescent="0.25">
      <c r="A5" t="str">
        <f>Data!A3</f>
        <v>Dönen Varlıklar</v>
      </c>
      <c r="B5" s="2">
        <f>IFERROR(VLOOKUP($A5,Bilanço!$A:$X,Analiz!B$1,0),"")</f>
        <v>9224526000</v>
      </c>
      <c r="C5" s="2">
        <f>IFERROR(VLOOKUP($A5,Bilanço!$A:$X,Analiz!C$1,0),"")</f>
        <v>10298815000</v>
      </c>
      <c r="D5" s="2">
        <f>IFERROR(VLOOKUP($A5,Bilanço!$A:$X,Analiz!D$1,0),"")</f>
        <v>11927735000</v>
      </c>
      <c r="E5" s="2">
        <f>IFERROR(VLOOKUP($A5,Bilanço!$A:$X,Analiz!E$1,0),"")</f>
        <v>14701119000</v>
      </c>
      <c r="F5" s="2">
        <f>IFERROR(VLOOKUP($A5,Bilanço!$A:$X,Analiz!F$1,0),"")</f>
        <v>15365396000</v>
      </c>
      <c r="G5" s="2">
        <f>IFERROR(VLOOKUP($A5,Bilanço!$A:$X,Analiz!G$1,0),"")</f>
        <v>15405235000</v>
      </c>
      <c r="H5" s="2">
        <f>IFERROR(VLOOKUP($A5,Bilanço!$A:$X,Analiz!H$1,0),"")</f>
        <v>13852909000</v>
      </c>
      <c r="I5" s="2">
        <f>IFERROR(VLOOKUP($A5,Bilanço!$A:$X,Analiz!I$1,0),"")</f>
        <v>18764940000</v>
      </c>
      <c r="J5" s="2">
        <f>IFERROR(VLOOKUP($A5,Bilanço!$A:$X,Analiz!J$1,0),"")</f>
        <v>20954562000</v>
      </c>
      <c r="K5" s="2">
        <f>IFERROR(VLOOKUP($A5,Bilanço!$A:$X,Analiz!K$1,0),"")</f>
        <v>22487525000</v>
      </c>
      <c r="L5" s="2">
        <f>IFERROR(VLOOKUP($A5,Bilanço!$A:$X,Analiz!L$1,0),"")</f>
        <v>25073546000</v>
      </c>
      <c r="M5" s="2">
        <f>IFERROR(VLOOKUP($A5,Bilanço!$A:$X,Analiz!M$1,0),"")</f>
        <v>41773214000</v>
      </c>
      <c r="N5" s="2">
        <f>IFERROR(VLOOKUP($A5,Bilanço!$A:$X,Analiz!N$1,0),"")</f>
        <v>28508097000</v>
      </c>
      <c r="O5" s="2">
        <f>IFERROR(VLOOKUP($A5,Bilanço!$A:$X,Analiz!O$1,0),"")</f>
        <v>29099280000</v>
      </c>
      <c r="P5" s="2">
        <f>IFERROR(VLOOKUP($A5,Bilanço!$A:$X,Analiz!P$1,0),"")</f>
        <v>31285963000</v>
      </c>
      <c r="Q5" s="2">
        <f>IFERROR(VLOOKUP($A5,Bilanço!$A:$X,Analiz!Q$1,0),"")</f>
        <v>53401735000</v>
      </c>
      <c r="R5" s="2">
        <f>IFERROR(VLOOKUP($A5,Bilanço!$A:$X,Analiz!R$1,0),"")</f>
        <v>43524184000</v>
      </c>
      <c r="S5" s="2">
        <f>IFERROR(VLOOKUP($A5,Bilanço!$A:$X,Analiz!S$1,0),"")</f>
        <v>47885764000</v>
      </c>
      <c r="T5" s="2">
        <f>IFERROR(VLOOKUP($A5,Bilanço!$A:$X,Analiz!T$1,0),"")</f>
        <v>58862926000</v>
      </c>
      <c r="U5" s="2">
        <f>IFERROR(VLOOKUP($A5,Bilanço!$A:$X,Analiz!U$1,0),"")</f>
        <v>81667657435</v>
      </c>
      <c r="V5" s="2">
        <f>IFERROR(VLOOKUP($A5,Bilanço!$A:$X,Analiz!V$1,0),"")</f>
        <v>77284896000</v>
      </c>
      <c r="W5" s="2">
        <f>IFERROR(VLOOKUP($A5,Bilanço!$A:$X,Analiz!W$1,0),"")</f>
        <v>84668198000</v>
      </c>
      <c r="X5" s="2">
        <f>IFERROR(VLOOKUP($A5,Bilanço!$A:$X,Analiz!X$1,0),"")</f>
        <v>90083589000</v>
      </c>
    </row>
    <row r="6" spans="1:26" x14ac:dyDescent="0.25">
      <c r="C6" s="3">
        <f>IFERROR(C5-B5,"")</f>
        <v>1074289000</v>
      </c>
      <c r="D6" s="3">
        <f t="shared" ref="D6:U6" si="19">IFERROR(D5-C5,"")</f>
        <v>1628920000</v>
      </c>
      <c r="E6" s="3">
        <f t="shared" si="19"/>
        <v>2773384000</v>
      </c>
      <c r="F6" s="3">
        <f t="shared" si="19"/>
        <v>664277000</v>
      </c>
      <c r="G6" s="3">
        <f t="shared" si="19"/>
        <v>39839000</v>
      </c>
      <c r="H6" s="3">
        <f t="shared" si="19"/>
        <v>-1552326000</v>
      </c>
      <c r="I6" s="3">
        <f t="shared" si="19"/>
        <v>4912031000</v>
      </c>
      <c r="J6" s="3">
        <f t="shared" si="19"/>
        <v>2189622000</v>
      </c>
      <c r="K6" s="3">
        <f t="shared" si="19"/>
        <v>1532963000</v>
      </c>
      <c r="L6" s="3">
        <f t="shared" si="19"/>
        <v>2586021000</v>
      </c>
      <c r="M6" s="3">
        <f t="shared" si="19"/>
        <v>16699668000</v>
      </c>
      <c r="N6" s="3">
        <f t="shared" si="19"/>
        <v>-13265117000</v>
      </c>
      <c r="O6" s="3">
        <f t="shared" si="19"/>
        <v>591183000</v>
      </c>
      <c r="P6" s="3">
        <f t="shared" si="19"/>
        <v>2186683000</v>
      </c>
      <c r="Q6" s="3">
        <f t="shared" si="19"/>
        <v>22115772000</v>
      </c>
      <c r="R6" s="3">
        <f t="shared" si="19"/>
        <v>-9877551000</v>
      </c>
      <c r="S6" s="3">
        <f t="shared" si="19"/>
        <v>4361580000</v>
      </c>
      <c r="T6" s="3">
        <f t="shared" si="19"/>
        <v>10977162000</v>
      </c>
      <c r="U6" s="3">
        <f t="shared" si="19"/>
        <v>22804731435</v>
      </c>
      <c r="V6" s="3">
        <f t="shared" ref="V6" si="20">IFERROR(V5-U5,"")</f>
        <v>-4382761435</v>
      </c>
      <c r="W6" s="3">
        <f>IFERROR(W5-V5,"")</f>
        <v>7383302000</v>
      </c>
      <c r="X6" s="3">
        <f>IFERROR(X5-W5,"")</f>
        <v>5415391000</v>
      </c>
    </row>
    <row r="7" spans="1:26" x14ac:dyDescent="0.25">
      <c r="A7" t="str">
        <f>Data!A10</f>
        <v xml:space="preserve">  Stoklar</v>
      </c>
      <c r="B7" s="2">
        <f>IFERROR(VLOOKUP($A7,Bilanço!$A:$X,Analiz!B$1,0),"")</f>
        <v>671929000</v>
      </c>
      <c r="C7" s="2">
        <f>IFERROR(VLOOKUP($A7,Bilanço!$A:$X,Analiz!C$1,0),"")</f>
        <v>804703000</v>
      </c>
      <c r="D7" s="2">
        <f>IFERROR(VLOOKUP($A7,Bilanço!$A:$X,Analiz!D$1,0),"")</f>
        <v>897909000</v>
      </c>
      <c r="E7" s="2">
        <f>IFERROR(VLOOKUP($A7,Bilanço!$A:$X,Analiz!E$1,0),"")</f>
        <v>1695858000</v>
      </c>
      <c r="F7" s="2">
        <f>IFERROR(VLOOKUP($A7,Bilanço!$A:$X,Analiz!F$1,0),"")</f>
        <v>928950000</v>
      </c>
      <c r="G7" s="2">
        <f>IFERROR(VLOOKUP($A7,Bilanço!$A:$X,Analiz!G$1,0),"")</f>
        <v>961339000</v>
      </c>
      <c r="H7" s="2">
        <f>IFERROR(VLOOKUP($A7,Bilanço!$A:$X,Analiz!H$1,0),"")</f>
        <v>2028702000</v>
      </c>
      <c r="I7" s="2">
        <f>IFERROR(VLOOKUP($A7,Bilanço!$A:$X,Analiz!I$1,0),"")</f>
        <v>3218231000</v>
      </c>
      <c r="J7" s="2">
        <f>IFERROR(VLOOKUP($A7,Bilanço!$A:$X,Analiz!J$1,0),"")</f>
        <v>3744893000</v>
      </c>
      <c r="K7" s="2">
        <f>IFERROR(VLOOKUP($A7,Bilanço!$A:$X,Analiz!K$1,0),"")</f>
        <v>4279769000</v>
      </c>
      <c r="L7" s="2">
        <f>IFERROR(VLOOKUP($A7,Bilanço!$A:$X,Analiz!L$1,0),"")</f>
        <v>5402135000</v>
      </c>
      <c r="M7" s="2">
        <f>IFERROR(VLOOKUP($A7,Bilanço!$A:$X,Analiz!M$1,0),"")</f>
        <v>8516384000</v>
      </c>
      <c r="N7" s="2">
        <f>IFERROR(VLOOKUP($A7,Bilanço!$A:$X,Analiz!N$1,0),"")</f>
        <v>5520627000</v>
      </c>
      <c r="O7" s="2">
        <f>IFERROR(VLOOKUP($A7,Bilanço!$A:$X,Analiz!O$1,0),"")</f>
        <v>6555159000</v>
      </c>
      <c r="P7" s="2">
        <f>IFERROR(VLOOKUP($A7,Bilanço!$A:$X,Analiz!P$1,0),"")</f>
        <v>6664345000</v>
      </c>
      <c r="Q7" s="2">
        <f>IFERROR(VLOOKUP($A7,Bilanço!$A:$X,Analiz!Q$1,0),"")</f>
        <v>12115210000</v>
      </c>
      <c r="R7" s="2">
        <f>IFERROR(VLOOKUP($A7,Bilanço!$A:$X,Analiz!R$1,0),"")</f>
        <v>8999055000</v>
      </c>
      <c r="S7" s="2">
        <f>IFERROR(VLOOKUP($A7,Bilanço!$A:$X,Analiz!S$1,0),"")</f>
        <v>10414885000</v>
      </c>
      <c r="T7" s="2">
        <f>IFERROR(VLOOKUP($A7,Bilanço!$A:$X,Analiz!T$1,0),"")</f>
        <v>10998733000</v>
      </c>
      <c r="U7" s="2">
        <f>IFERROR(VLOOKUP($A7,Bilanço!$A:$X,Analiz!U$1,0),"")</f>
        <v>14839141804</v>
      </c>
      <c r="V7" s="2">
        <f>IFERROR(VLOOKUP($A7,Bilanço!$A:$X,Analiz!V$1,0),"")</f>
        <v>19099042000</v>
      </c>
      <c r="W7" s="2">
        <f>IFERROR(VLOOKUP($A7,Bilanço!$A:$X,Analiz!W$1,0),"")</f>
        <v>23571112000</v>
      </c>
      <c r="X7" s="2">
        <f>IFERROR(VLOOKUP($A7,Bilanço!$A:$X,Analiz!X$1,0),"")</f>
        <v>23046205000</v>
      </c>
    </row>
    <row r="8" spans="1:26" x14ac:dyDescent="0.25">
      <c r="C8" s="3">
        <f>IFERROR(C7-B7,"")</f>
        <v>132774000</v>
      </c>
      <c r="D8" s="3">
        <f t="shared" ref="D8" si="21">IFERROR(D7-C7,"")</f>
        <v>93206000</v>
      </c>
      <c r="E8" s="3">
        <f t="shared" ref="E8" si="22">IFERROR(E7-D7,"")</f>
        <v>797949000</v>
      </c>
      <c r="F8" s="3">
        <f t="shared" ref="F8" si="23">IFERROR(F7-E7,"")</f>
        <v>-766908000</v>
      </c>
      <c r="G8" s="3">
        <f t="shared" ref="G8" si="24">IFERROR(G7-F7,"")</f>
        <v>32389000</v>
      </c>
      <c r="H8" s="3">
        <f t="shared" ref="H8" si="25">IFERROR(H7-G7,"")</f>
        <v>1067363000</v>
      </c>
      <c r="I8" s="3">
        <f t="shared" ref="I8" si="26">IFERROR(I7-H7,"")</f>
        <v>1189529000</v>
      </c>
      <c r="J8" s="3">
        <f t="shared" ref="J8" si="27">IFERROR(J7-I7,"")</f>
        <v>526662000</v>
      </c>
      <c r="K8" s="3">
        <f t="shared" ref="K8" si="28">IFERROR(K7-J7,"")</f>
        <v>534876000</v>
      </c>
      <c r="L8" s="3">
        <f t="shared" ref="L8" si="29">IFERROR(L7-K7,"")</f>
        <v>1122366000</v>
      </c>
      <c r="M8" s="3">
        <f t="shared" ref="M8" si="30">IFERROR(M7-L7,"")</f>
        <v>3114249000</v>
      </c>
      <c r="N8" s="3">
        <f t="shared" ref="N8" si="31">IFERROR(N7-M7,"")</f>
        <v>-2995757000</v>
      </c>
      <c r="O8" s="3">
        <f t="shared" ref="O8" si="32">IFERROR(O7-N7,"")</f>
        <v>1034532000</v>
      </c>
      <c r="P8" s="3">
        <f t="shared" ref="P8" si="33">IFERROR(P7-O7,"")</f>
        <v>109186000</v>
      </c>
      <c r="Q8" s="3">
        <f t="shared" ref="Q8" si="34">IFERROR(Q7-P7,"")</f>
        <v>5450865000</v>
      </c>
      <c r="R8" s="3">
        <f t="shared" ref="R8" si="35">IFERROR(R7-Q7,"")</f>
        <v>-3116155000</v>
      </c>
      <c r="S8" s="3">
        <f t="shared" ref="S8" si="36">IFERROR(S7-R7,"")</f>
        <v>1415830000</v>
      </c>
      <c r="T8" s="3">
        <f t="shared" ref="T8" si="37">IFERROR(T7-S7,"")</f>
        <v>583848000</v>
      </c>
      <c r="U8" s="3">
        <f t="shared" ref="U8" si="38">IFERROR(U7-T7,"")</f>
        <v>3840408804</v>
      </c>
      <c r="V8" s="3">
        <f t="shared" ref="V8" si="39">IFERROR(V7-U7,"")</f>
        <v>4259900196</v>
      </c>
      <c r="W8" s="3">
        <f t="shared" ref="W8:X8" si="40">IFERROR(W7-V7,"")</f>
        <v>4472070000</v>
      </c>
      <c r="X8" s="3">
        <f t="shared" si="40"/>
        <v>-524907000</v>
      </c>
    </row>
    <row r="9" spans="1:26" x14ac:dyDescent="0.25">
      <c r="A9" t="str">
        <f>Data!A6</f>
        <v xml:space="preserve">  Ticari Alacaklar</v>
      </c>
      <c r="B9" s="2">
        <f>IFERROR(VLOOKUP($A9,Bilanço!$A:$X,Analiz!B$1,0),"")</f>
        <v>2726899000</v>
      </c>
      <c r="C9" s="2">
        <f>IFERROR(VLOOKUP($A9,Bilanço!$A:$X,Analiz!C$1,0),"")</f>
        <v>2577242000</v>
      </c>
      <c r="D9" s="2">
        <f>IFERROR(VLOOKUP($A9,Bilanço!$A:$X,Analiz!D$1,0),"")</f>
        <v>2889558000</v>
      </c>
      <c r="E9" s="2">
        <f>IFERROR(VLOOKUP($A9,Bilanço!$A:$X,Analiz!E$1,0),"")</f>
        <v>3092000000</v>
      </c>
      <c r="F9" s="2">
        <f>IFERROR(VLOOKUP($A9,Bilanço!$A:$X,Analiz!F$1,0),"")</f>
        <v>3256697000</v>
      </c>
      <c r="G9" s="2">
        <f>IFERROR(VLOOKUP($A9,Bilanço!$A:$X,Analiz!G$1,0),"")</f>
        <v>3284920000</v>
      </c>
      <c r="H9" s="2">
        <f>IFERROR(VLOOKUP($A9,Bilanço!$A:$X,Analiz!H$1,0),"")</f>
        <v>3642113000</v>
      </c>
      <c r="I9" s="2">
        <f>IFERROR(VLOOKUP($A9,Bilanço!$A:$X,Analiz!I$1,0),"")</f>
        <v>4687911000</v>
      </c>
      <c r="J9" s="2">
        <f>IFERROR(VLOOKUP($A9,Bilanço!$A:$X,Analiz!J$1,0),"")</f>
        <v>5856073000</v>
      </c>
      <c r="K9" s="2">
        <f>IFERROR(VLOOKUP($A9,Bilanço!$A:$X,Analiz!K$1,0),"")</f>
        <v>5789621000</v>
      </c>
      <c r="L9" s="2">
        <f>IFERROR(VLOOKUP($A9,Bilanço!$A:$X,Analiz!L$1,0),"")</f>
        <v>7042688000</v>
      </c>
      <c r="M9" s="2">
        <f>IFERROR(VLOOKUP($A9,Bilanço!$A:$X,Analiz!M$1,0),"")</f>
        <v>12173983000</v>
      </c>
      <c r="N9" s="2">
        <f>IFERROR(VLOOKUP($A9,Bilanço!$A:$X,Analiz!N$1,0),"")</f>
        <v>9524879000</v>
      </c>
      <c r="O9" s="2">
        <f>IFERROR(VLOOKUP($A9,Bilanço!$A:$X,Analiz!O$1,0),"")</f>
        <v>9892760000</v>
      </c>
      <c r="P9" s="2">
        <f>IFERROR(VLOOKUP($A9,Bilanço!$A:$X,Analiz!P$1,0),"")</f>
        <v>10893157000</v>
      </c>
      <c r="Q9" s="2">
        <f>IFERROR(VLOOKUP($A9,Bilanço!$A:$X,Analiz!Q$1,0),"")</f>
        <v>17421913000</v>
      </c>
      <c r="R9" s="2">
        <f>IFERROR(VLOOKUP($A9,Bilanço!$A:$X,Analiz!R$1,0),"")</f>
        <v>16356844000</v>
      </c>
      <c r="S9" s="2">
        <f>IFERROR(VLOOKUP($A9,Bilanço!$A:$X,Analiz!S$1,0),"")</f>
        <v>15131201000</v>
      </c>
      <c r="T9" s="2">
        <f>IFERROR(VLOOKUP($A9,Bilanço!$A:$X,Analiz!T$1,0),"")</f>
        <v>18441357000</v>
      </c>
      <c r="U9" s="2">
        <f>IFERROR(VLOOKUP($A9,Bilanço!$A:$X,Analiz!U$1,0),"")</f>
        <v>27468684631</v>
      </c>
      <c r="V9" s="2">
        <f>IFERROR(VLOOKUP($A9,Bilanço!$A:$X,Analiz!V$1,0),"")</f>
        <v>27378948000</v>
      </c>
      <c r="W9" s="2">
        <f>IFERROR(VLOOKUP($A9,Bilanço!$A:$X,Analiz!W$1,0),"")</f>
        <v>26522023000</v>
      </c>
      <c r="X9" s="2">
        <f>IFERROR(VLOOKUP($A9,Bilanço!$A:$X,Analiz!X$1,0),"")</f>
        <v>29618330000</v>
      </c>
    </row>
    <row r="10" spans="1:26" x14ac:dyDescent="0.25">
      <c r="C10" s="3">
        <f>IFERROR(C9-B9,"")</f>
        <v>-149657000</v>
      </c>
      <c r="D10" s="3">
        <f t="shared" ref="D10" si="41">IFERROR(D9-C9,"")</f>
        <v>312316000</v>
      </c>
      <c r="E10" s="3">
        <f t="shared" ref="E10" si="42">IFERROR(E9-D9,"")</f>
        <v>202442000</v>
      </c>
      <c r="F10" s="3">
        <f t="shared" ref="F10" si="43">IFERROR(F9-E9,"")</f>
        <v>164697000</v>
      </c>
      <c r="G10" s="3">
        <f t="shared" ref="G10" si="44">IFERROR(G9-F9,"")</f>
        <v>28223000</v>
      </c>
      <c r="H10" s="3">
        <f t="shared" ref="H10" si="45">IFERROR(H9-G9,"")</f>
        <v>357193000</v>
      </c>
      <c r="I10" s="3">
        <f t="shared" ref="I10" si="46">IFERROR(I9-H9,"")</f>
        <v>1045798000</v>
      </c>
      <c r="J10" s="3">
        <f t="shared" ref="J10" si="47">IFERROR(J9-I9,"")</f>
        <v>1168162000</v>
      </c>
      <c r="K10" s="3">
        <f t="shared" ref="K10" si="48">IFERROR(K9-J9,"")</f>
        <v>-66452000</v>
      </c>
      <c r="L10" s="3">
        <f t="shared" ref="L10" si="49">IFERROR(L9-K9,"")</f>
        <v>1253067000</v>
      </c>
      <c r="M10" s="3">
        <f t="shared" ref="M10" si="50">IFERROR(M9-L9,"")</f>
        <v>5131295000</v>
      </c>
      <c r="N10" s="3">
        <f t="shared" ref="N10" si="51">IFERROR(N9-M9,"")</f>
        <v>-2649104000</v>
      </c>
      <c r="O10" s="3">
        <f t="shared" ref="O10" si="52">IFERROR(O9-N9,"")</f>
        <v>367881000</v>
      </c>
      <c r="P10" s="3">
        <f t="shared" ref="P10" si="53">IFERROR(P9-O9,"")</f>
        <v>1000397000</v>
      </c>
      <c r="Q10" s="3">
        <f t="shared" ref="Q10" si="54">IFERROR(Q9-P9,"")</f>
        <v>6528756000</v>
      </c>
      <c r="R10" s="3">
        <f t="shared" ref="R10" si="55">IFERROR(R9-Q9,"")</f>
        <v>-1065069000</v>
      </c>
      <c r="S10" s="3">
        <f t="shared" ref="S10" si="56">IFERROR(S9-R9,"")</f>
        <v>-1225643000</v>
      </c>
      <c r="T10" s="3">
        <f t="shared" ref="T10" si="57">IFERROR(T9-S9,"")</f>
        <v>3310156000</v>
      </c>
      <c r="U10" s="3">
        <f t="shared" ref="U10" si="58">IFERROR(U9-T9,"")</f>
        <v>9027327631</v>
      </c>
      <c r="V10" s="3">
        <f>IFERROR(V9-U9,"")</f>
        <v>-89736631</v>
      </c>
      <c r="W10" s="3">
        <f>IFERROR(W9-V9,"")</f>
        <v>-856925000</v>
      </c>
      <c r="X10" s="3">
        <f>IFERROR(X9-W9,"")</f>
        <v>3096307000</v>
      </c>
    </row>
    <row r="11" spans="1:26" x14ac:dyDescent="0.25">
      <c r="A11" t="str">
        <f>Data!A36</f>
        <v xml:space="preserve">  Ticari Borçlar</v>
      </c>
      <c r="B11" s="2">
        <f>IFERROR(VLOOKUP($A11,Bilanço!$A:$X,Analiz!B$1,0),"")</f>
        <v>1163014000</v>
      </c>
      <c r="C11" s="2">
        <f>IFERROR(VLOOKUP($A11,Bilanço!$A:$X,Analiz!C$1,0),"")</f>
        <v>954499000</v>
      </c>
      <c r="D11" s="2">
        <f>IFERROR(VLOOKUP($A11,Bilanço!$A:$X,Analiz!D$1,0),"")</f>
        <v>1001858000</v>
      </c>
      <c r="E11" s="2">
        <f>IFERROR(VLOOKUP($A11,Bilanço!$A:$X,Analiz!E$1,0),"")</f>
        <v>1275410000</v>
      </c>
      <c r="F11" s="2">
        <f>IFERROR(VLOOKUP($A11,Bilanço!$A:$X,Analiz!F$1,0),"")</f>
        <v>1417206000</v>
      </c>
      <c r="G11" s="2">
        <f>IFERROR(VLOOKUP($A11,Bilanço!$A:$X,Analiz!G$1,0),"")</f>
        <v>1416899000</v>
      </c>
      <c r="H11" s="2">
        <f>IFERROR(VLOOKUP($A11,Bilanço!$A:$X,Analiz!H$1,0),"")</f>
        <v>1371172000</v>
      </c>
      <c r="I11" s="2">
        <f>IFERROR(VLOOKUP($A11,Bilanço!$A:$X,Analiz!I$1,0),"")</f>
        <v>2270421000</v>
      </c>
      <c r="J11" s="2">
        <f>IFERROR(VLOOKUP($A11,Bilanço!$A:$X,Analiz!J$1,0),"")</f>
        <v>2949594000</v>
      </c>
      <c r="K11" s="2">
        <f>IFERROR(VLOOKUP($A11,Bilanço!$A:$X,Analiz!K$1,0),"")</f>
        <v>3270039000</v>
      </c>
      <c r="L11" s="2">
        <f>IFERROR(VLOOKUP($A11,Bilanço!$A:$X,Analiz!L$1,0),"")</f>
        <v>3798057000</v>
      </c>
      <c r="M11" s="2">
        <f>IFERROR(VLOOKUP($A11,Bilanço!$A:$X,Analiz!M$1,0),"")</f>
        <v>6856641000</v>
      </c>
      <c r="N11" s="2">
        <f>IFERROR(VLOOKUP($A11,Bilanço!$A:$X,Analiz!N$1,0),"")</f>
        <v>3870680000</v>
      </c>
      <c r="O11" s="2">
        <f>IFERROR(VLOOKUP($A11,Bilanço!$A:$X,Analiz!O$1,0),"")</f>
        <v>4427747000</v>
      </c>
      <c r="P11" s="2">
        <f>IFERROR(VLOOKUP($A11,Bilanço!$A:$X,Analiz!P$1,0),"")</f>
        <v>5478692000</v>
      </c>
      <c r="Q11" s="2">
        <f>IFERROR(VLOOKUP($A11,Bilanço!$A:$X,Analiz!Q$1,0),"")</f>
        <v>11023403000</v>
      </c>
      <c r="R11" s="2">
        <f>IFERROR(VLOOKUP($A11,Bilanço!$A:$X,Analiz!R$1,0),"")</f>
        <v>6946481000</v>
      </c>
      <c r="S11" s="2">
        <f>IFERROR(VLOOKUP($A11,Bilanço!$A:$X,Analiz!S$1,0),"")</f>
        <v>7252905000</v>
      </c>
      <c r="T11" s="2">
        <f>IFERROR(VLOOKUP($A11,Bilanço!$A:$X,Analiz!T$1,0),"")</f>
        <v>7032123000</v>
      </c>
      <c r="U11" s="2">
        <f>IFERROR(VLOOKUP($A11,Bilanço!$A:$X,Analiz!U$1,0),"")</f>
        <v>12879723429</v>
      </c>
      <c r="V11" s="2">
        <f>IFERROR(VLOOKUP($A11,Bilanço!$A:$X,Analiz!V$1,0),"")</f>
        <v>9861088000</v>
      </c>
      <c r="W11" s="2">
        <f>IFERROR(VLOOKUP($A11,Bilanço!$A:$X,Analiz!W$1,0),"")</f>
        <v>10029705000</v>
      </c>
      <c r="X11" s="2">
        <f>IFERROR(VLOOKUP($A11,Bilanço!$A:$X,Analiz!X$1,0),"")</f>
        <v>9726239000</v>
      </c>
    </row>
    <row r="12" spans="1:26" x14ac:dyDescent="0.25">
      <c r="C12" s="3">
        <f>IFERROR(C11-B11,"")</f>
        <v>-208515000</v>
      </c>
      <c r="D12" s="3">
        <f t="shared" ref="D12" si="59">IFERROR(D11-C11,"")</f>
        <v>47359000</v>
      </c>
      <c r="E12" s="3">
        <f t="shared" ref="E12" si="60">IFERROR(E11-D11,"")</f>
        <v>273552000</v>
      </c>
      <c r="F12" s="3">
        <f t="shared" ref="F12" si="61">IFERROR(F11-E11,"")</f>
        <v>141796000</v>
      </c>
      <c r="G12" s="3">
        <f t="shared" ref="G12" si="62">IFERROR(G11-F11,"")</f>
        <v>-307000</v>
      </c>
      <c r="H12" s="3">
        <f t="shared" ref="H12" si="63">IFERROR(H11-G11,"")</f>
        <v>-45727000</v>
      </c>
      <c r="I12" s="3">
        <f t="shared" ref="I12" si="64">IFERROR(I11-H11,"")</f>
        <v>899249000</v>
      </c>
      <c r="J12" s="3">
        <f t="shared" ref="J12" si="65">IFERROR(J11-I11,"")</f>
        <v>679173000</v>
      </c>
      <c r="K12" s="3">
        <f t="shared" ref="K12" si="66">IFERROR(K11-J11,"")</f>
        <v>320445000</v>
      </c>
      <c r="L12" s="3">
        <f t="shared" ref="L12" si="67">IFERROR(L11-K11,"")</f>
        <v>528018000</v>
      </c>
      <c r="M12" s="3">
        <f t="shared" ref="M12" si="68">IFERROR(M11-L11,"")</f>
        <v>3058584000</v>
      </c>
      <c r="N12" s="3">
        <f t="shared" ref="N12" si="69">IFERROR(N11-M11,"")</f>
        <v>-2985961000</v>
      </c>
      <c r="O12" s="3">
        <f t="shared" ref="O12" si="70">IFERROR(O11-N11,"")</f>
        <v>557067000</v>
      </c>
      <c r="P12" s="3">
        <f t="shared" ref="P12" si="71">IFERROR(P11-O11,"")</f>
        <v>1050945000</v>
      </c>
      <c r="Q12" s="3">
        <f t="shared" ref="Q12" si="72">IFERROR(Q11-P11,"")</f>
        <v>5544711000</v>
      </c>
      <c r="R12" s="3">
        <f t="shared" ref="R12" si="73">IFERROR(R11-Q11,"")</f>
        <v>-4076922000</v>
      </c>
      <c r="S12" s="3">
        <f t="shared" ref="S12" si="74">IFERROR(S11-R11,"")</f>
        <v>306424000</v>
      </c>
      <c r="T12" s="3">
        <f t="shared" ref="T12" si="75">IFERROR(T11-S11,"")</f>
        <v>-220782000</v>
      </c>
      <c r="U12" s="3">
        <f t="shared" ref="U12" si="76">IFERROR(U11-T11,"")</f>
        <v>5847600429</v>
      </c>
      <c r="V12" s="3">
        <f t="shared" ref="V12" si="77">IFERROR(V11-U11,"")</f>
        <v>-3018635429</v>
      </c>
      <c r="W12" s="3">
        <f t="shared" ref="W12:X12" si="78">IFERROR(W11-V11,"")</f>
        <v>168617000</v>
      </c>
      <c r="X12" s="3">
        <f t="shared" si="78"/>
        <v>-303466000</v>
      </c>
    </row>
    <row r="13" spans="1:26" x14ac:dyDescent="0.25">
      <c r="A13" t="str">
        <f>Data!A15</f>
        <v>Duran Varlıklar</v>
      </c>
      <c r="B13" s="2">
        <f>IFERROR(VLOOKUP($A13,Bilanço!$A:$X,Analiz!B$1,0),"")</f>
        <v>4127780000</v>
      </c>
      <c r="C13" s="2">
        <f>IFERROR(VLOOKUP($A13,Bilanço!$A:$X,Analiz!C$1,0),"")</f>
        <v>4347719000</v>
      </c>
      <c r="D13" s="2">
        <f>IFERROR(VLOOKUP($A13,Bilanço!$A:$X,Analiz!D$1,0),"")</f>
        <v>4563249000</v>
      </c>
      <c r="E13" s="2">
        <f>IFERROR(VLOOKUP($A13,Bilanço!$A:$X,Analiz!E$1,0),"")</f>
        <v>4790555000</v>
      </c>
      <c r="F13" s="2">
        <f>IFERROR(VLOOKUP($A13,Bilanço!$A:$X,Analiz!F$1,0),"")</f>
        <v>4803511000</v>
      </c>
      <c r="G13" s="2">
        <f>IFERROR(VLOOKUP($A13,Bilanço!$A:$X,Analiz!G$1,0),"")</f>
        <v>4890296000</v>
      </c>
      <c r="H13" s="2">
        <f>IFERROR(VLOOKUP($A13,Bilanço!$A:$X,Analiz!H$1,0),"")</f>
        <v>5033462000</v>
      </c>
      <c r="I13" s="2">
        <f>IFERROR(VLOOKUP($A13,Bilanço!$A:$X,Analiz!I$1,0),"")</f>
        <v>7478685000</v>
      </c>
      <c r="J13" s="2">
        <f>IFERROR(VLOOKUP($A13,Bilanço!$A:$X,Analiz!J$1,0),"")</f>
        <v>7806122000</v>
      </c>
      <c r="K13" s="2">
        <f>IFERROR(VLOOKUP($A13,Bilanço!$A:$X,Analiz!K$1,0),"")</f>
        <v>8843321000</v>
      </c>
      <c r="L13" s="2">
        <f>IFERROR(VLOOKUP($A13,Bilanço!$A:$X,Analiz!L$1,0),"")</f>
        <v>9534207000</v>
      </c>
      <c r="M13" s="2">
        <f>IFERROR(VLOOKUP($A13,Bilanço!$A:$X,Analiz!M$1,0),"")</f>
        <v>24375958000</v>
      </c>
      <c r="N13" s="2">
        <f>IFERROR(VLOOKUP($A13,Bilanço!$A:$X,Analiz!N$1,0),"")</f>
        <v>12814875000</v>
      </c>
      <c r="O13" s="2">
        <f>IFERROR(VLOOKUP($A13,Bilanço!$A:$X,Analiz!O$1,0),"")</f>
        <v>15826788000</v>
      </c>
      <c r="P13" s="2">
        <f>IFERROR(VLOOKUP($A13,Bilanço!$A:$X,Analiz!P$1,0),"")</f>
        <v>16774736000</v>
      </c>
      <c r="Q13" s="2">
        <f>IFERROR(VLOOKUP($A13,Bilanço!$A:$X,Analiz!Q$1,0),"")</f>
        <v>35520636000</v>
      </c>
      <c r="R13" s="2">
        <f>IFERROR(VLOOKUP($A13,Bilanço!$A:$X,Analiz!R$1,0),"")</f>
        <v>26729474000</v>
      </c>
      <c r="S13" s="2">
        <f>IFERROR(VLOOKUP($A13,Bilanço!$A:$X,Analiz!S$1,0),"")</f>
        <v>28366804000</v>
      </c>
      <c r="T13" s="2">
        <f>IFERROR(VLOOKUP($A13,Bilanço!$A:$X,Analiz!T$1,0),"")</f>
        <v>31014857000</v>
      </c>
      <c r="U13" s="2">
        <f>IFERROR(VLOOKUP($A13,Bilanço!$A:$X,Analiz!U$1,0),"")</f>
        <v>40547718183</v>
      </c>
      <c r="V13" s="2">
        <f>IFERROR(VLOOKUP($A13,Bilanço!$A:$X,Analiz!V$1,0),"")</f>
        <v>34994743000</v>
      </c>
      <c r="W13" s="2">
        <f>IFERROR(VLOOKUP($A13,Bilanço!$A:$X,Analiz!W$1,0),"")</f>
        <v>37047265000</v>
      </c>
      <c r="X13" s="2">
        <f>IFERROR(VLOOKUP($A13,Bilanço!$A:$X,Analiz!X$1,0),"")</f>
        <v>39124999000</v>
      </c>
    </row>
    <row r="14" spans="1:26" x14ac:dyDescent="0.25">
      <c r="C14" s="3">
        <f>IFERROR(C13-B13,"")</f>
        <v>219939000</v>
      </c>
      <c r="D14" s="3">
        <f t="shared" ref="D14" si="79">IFERROR(D13-C13,"")</f>
        <v>215530000</v>
      </c>
      <c r="E14" s="3">
        <f t="shared" ref="E14" si="80">IFERROR(E13-D13,"")</f>
        <v>227306000</v>
      </c>
      <c r="F14" s="3">
        <f t="shared" ref="F14" si="81">IFERROR(F13-E13,"")</f>
        <v>12956000</v>
      </c>
      <c r="G14" s="3">
        <f t="shared" ref="G14" si="82">IFERROR(G13-F13,"")</f>
        <v>86785000</v>
      </c>
      <c r="H14" s="3">
        <f t="shared" ref="H14" si="83">IFERROR(H13-G13,"")</f>
        <v>143166000</v>
      </c>
      <c r="I14" s="3">
        <f t="shared" ref="I14" si="84">IFERROR(I13-H13,"")</f>
        <v>2445223000</v>
      </c>
      <c r="J14" s="3">
        <f t="shared" ref="J14" si="85">IFERROR(J13-I13,"")</f>
        <v>327437000</v>
      </c>
      <c r="K14" s="3">
        <f t="shared" ref="K14" si="86">IFERROR(K13-J13,"")</f>
        <v>1037199000</v>
      </c>
      <c r="L14" s="3">
        <f t="shared" ref="L14" si="87">IFERROR(L13-K13,"")</f>
        <v>690886000</v>
      </c>
      <c r="M14" s="3">
        <f t="shared" ref="M14" si="88">IFERROR(M13-L13,"")</f>
        <v>14841751000</v>
      </c>
      <c r="N14" s="3">
        <f t="shared" ref="N14" si="89">IFERROR(N13-M13,"")</f>
        <v>-11561083000</v>
      </c>
      <c r="O14" s="3">
        <f t="shared" ref="O14" si="90">IFERROR(O13-N13,"")</f>
        <v>3011913000</v>
      </c>
      <c r="P14" s="3">
        <f t="shared" ref="P14" si="91">IFERROR(P13-O13,"")</f>
        <v>947948000</v>
      </c>
      <c r="Q14" s="3">
        <f t="shared" ref="Q14" si="92">IFERROR(Q13-P13,"")</f>
        <v>18745900000</v>
      </c>
      <c r="R14" s="3">
        <f t="shared" ref="R14" si="93">IFERROR(R13-Q13,"")</f>
        <v>-8791162000</v>
      </c>
      <c r="S14" s="3">
        <f t="shared" ref="S14" si="94">IFERROR(S13-R13,"")</f>
        <v>1637330000</v>
      </c>
      <c r="T14" s="3">
        <f t="shared" ref="T14" si="95">IFERROR(T13-S13,"")</f>
        <v>2648053000</v>
      </c>
      <c r="U14" s="3">
        <f t="shared" ref="U14" si="96">IFERROR(U13-T13,"")</f>
        <v>9532861183</v>
      </c>
      <c r="V14" s="3">
        <f t="shared" ref="V14" si="97">IFERROR(V13-U13,"")</f>
        <v>-5552975183</v>
      </c>
      <c r="W14" s="3">
        <f t="shared" ref="W14:X14" si="98">IFERROR(W13-V13,"")</f>
        <v>2052522000</v>
      </c>
      <c r="X14" s="3">
        <f t="shared" si="98"/>
        <v>2077734000</v>
      </c>
    </row>
    <row r="15" spans="1:26" x14ac:dyDescent="0.25">
      <c r="A15" t="str">
        <f>Data!A61</f>
        <v xml:space="preserve">  Ana Ortaklığa Ait Özkaynaklar</v>
      </c>
      <c r="B15" s="2">
        <f>IFERROR(VLOOKUP($A15,Bilanço!$A:$X,Analiz!B$1,0),"")</f>
        <v>4320951000</v>
      </c>
      <c r="C15" s="2">
        <f>IFERROR(VLOOKUP($A15,Bilanço!$A:$X,Analiz!C$1,0),"")</f>
        <v>4970991000</v>
      </c>
      <c r="D15" s="2">
        <f>IFERROR(VLOOKUP($A15,Bilanço!$A:$X,Analiz!D$1,0),"")</f>
        <v>5372639000</v>
      </c>
      <c r="E15" s="2">
        <f>IFERROR(VLOOKUP($A15,Bilanço!$A:$X,Analiz!E$1,0),"")</f>
        <v>6036780000</v>
      </c>
      <c r="F15" s="2">
        <f>IFERROR(VLOOKUP($A15,Bilanço!$A:$X,Analiz!F$1,0),"")</f>
        <v>6266620000</v>
      </c>
      <c r="G15" s="2">
        <f>IFERROR(VLOOKUP($A15,Bilanço!$A:$X,Analiz!G$1,0),"")</f>
        <v>6232316000</v>
      </c>
      <c r="H15" s="2">
        <f>IFERROR(VLOOKUP($A15,Bilanço!$A:$X,Analiz!H$1,0),"")</f>
        <v>2800809000</v>
      </c>
      <c r="I15" s="2">
        <f>IFERROR(VLOOKUP($A15,Bilanço!$A:$X,Analiz!I$1,0),"")</f>
        <v>2986714000</v>
      </c>
      <c r="J15" s="2">
        <f>IFERROR(VLOOKUP($A15,Bilanço!$A:$X,Analiz!J$1,0),"")</f>
        <v>2588162000</v>
      </c>
      <c r="K15" s="2">
        <f>IFERROR(VLOOKUP($A15,Bilanço!$A:$X,Analiz!K$1,0),"")</f>
        <v>2516873000</v>
      </c>
      <c r="L15" s="2">
        <f>IFERROR(VLOOKUP($A15,Bilanço!$A:$X,Analiz!L$1,0),"")</f>
        <v>2734275000</v>
      </c>
      <c r="M15" s="2">
        <f>IFERROR(VLOOKUP($A15,Bilanço!$A:$X,Analiz!M$1,0),"")</f>
        <v>12035858000</v>
      </c>
      <c r="N15" s="2">
        <f>IFERROR(VLOOKUP($A15,Bilanço!$A:$X,Analiz!N$1,0),"")</f>
        <v>6511844000</v>
      </c>
      <c r="O15" s="2">
        <f>IFERROR(VLOOKUP($A15,Bilanço!$A:$X,Analiz!O$1,0),"")</f>
        <v>5908268000</v>
      </c>
      <c r="P15" s="2">
        <f>IFERROR(VLOOKUP($A15,Bilanço!$A:$X,Analiz!P$1,0),"")</f>
        <v>8896407000</v>
      </c>
      <c r="Q15" s="2">
        <f>IFERROR(VLOOKUP($A15,Bilanço!$A:$X,Analiz!Q$1,0),"")</f>
        <v>25946933000</v>
      </c>
      <c r="R15" s="2">
        <f>IFERROR(VLOOKUP($A15,Bilanço!$A:$X,Analiz!R$1,0),"")</f>
        <v>21407330000</v>
      </c>
      <c r="S15" s="2">
        <f>IFERROR(VLOOKUP($A15,Bilanço!$A:$X,Analiz!S$1,0),"")</f>
        <v>24127966000</v>
      </c>
      <c r="T15" s="2">
        <f>IFERROR(VLOOKUP($A15,Bilanço!$A:$X,Analiz!T$1,0),"")</f>
        <v>27015414000</v>
      </c>
      <c r="U15" s="2">
        <f>IFERROR(VLOOKUP($A15,Bilanço!$A:$X,Analiz!U$1,0),"")</f>
        <v>39237845709</v>
      </c>
      <c r="V15" s="2">
        <f>IFERROR(VLOOKUP($A15,Bilanço!$A:$X,Analiz!V$1,0),"")</f>
        <v>36650682000</v>
      </c>
      <c r="W15" s="2">
        <f>IFERROR(VLOOKUP($A15,Bilanço!$A:$X,Analiz!W$1,0),"")</f>
        <v>36116656000</v>
      </c>
      <c r="X15" s="2">
        <f>IFERROR(VLOOKUP($A15,Bilanço!$A:$X,Analiz!X$1,0),"")</f>
        <v>40151407000</v>
      </c>
    </row>
    <row r="16" spans="1:26" x14ac:dyDescent="0.25">
      <c r="C16" s="3">
        <f>IFERROR(C15-B15,"")</f>
        <v>650040000</v>
      </c>
      <c r="D16" s="3">
        <f t="shared" ref="D16" si="99">IFERROR(D15-C15,"")</f>
        <v>401648000</v>
      </c>
      <c r="E16" s="3">
        <f t="shared" ref="E16" si="100">IFERROR(E15-D15,"")</f>
        <v>664141000</v>
      </c>
      <c r="F16" s="3">
        <f t="shared" ref="F16" si="101">IFERROR(F15-E15,"")</f>
        <v>229840000</v>
      </c>
      <c r="G16" s="3">
        <f t="shared" ref="G16" si="102">IFERROR(G15-F15,"")</f>
        <v>-34304000</v>
      </c>
      <c r="H16" s="3">
        <f t="shared" ref="H16" si="103">IFERROR(H15-G15,"")</f>
        <v>-3431507000</v>
      </c>
      <c r="I16" s="3">
        <f t="shared" ref="I16" si="104">IFERROR(I15-H15,"")</f>
        <v>185905000</v>
      </c>
      <c r="J16" s="3">
        <f t="shared" ref="J16" si="105">IFERROR(J15-I15,"")</f>
        <v>-398552000</v>
      </c>
      <c r="K16" s="3">
        <f t="shared" ref="K16" si="106">IFERROR(K15-J15,"")</f>
        <v>-71289000</v>
      </c>
      <c r="L16" s="3">
        <f t="shared" ref="L16" si="107">IFERROR(L15-K15,"")</f>
        <v>217402000</v>
      </c>
      <c r="M16" s="3">
        <f t="shared" ref="M16" si="108">IFERROR(M15-L15,"")</f>
        <v>9301583000</v>
      </c>
      <c r="N16" s="3">
        <f t="shared" ref="N16" si="109">IFERROR(N15-M15,"")</f>
        <v>-5524014000</v>
      </c>
      <c r="O16" s="3">
        <f t="shared" ref="O16" si="110">IFERROR(O15-N15,"")</f>
        <v>-603576000</v>
      </c>
      <c r="P16" s="3">
        <f t="shared" ref="P16" si="111">IFERROR(P15-O15,"")</f>
        <v>2988139000</v>
      </c>
      <c r="Q16" s="3">
        <f t="shared" ref="Q16" si="112">IFERROR(Q15-P15,"")</f>
        <v>17050526000</v>
      </c>
      <c r="R16" s="3">
        <f t="shared" ref="R16" si="113">IFERROR(R15-Q15,"")</f>
        <v>-4539603000</v>
      </c>
      <c r="S16" s="3">
        <f t="shared" ref="S16" si="114">IFERROR(S15-R15,"")</f>
        <v>2720636000</v>
      </c>
      <c r="T16" s="3">
        <f t="shared" ref="T16" si="115">IFERROR(T15-S15,"")</f>
        <v>2887448000</v>
      </c>
      <c r="U16" s="3">
        <f t="shared" ref="U16" si="116">IFERROR(U15-T15,"")</f>
        <v>12222431709</v>
      </c>
      <c r="V16" s="3">
        <f t="shared" ref="V16" si="117">IFERROR(V15-U15,"")</f>
        <v>-2587163709</v>
      </c>
      <c r="W16" s="3">
        <f t="shared" ref="W16:X16" si="118">IFERROR(W15-V15,"")</f>
        <v>-534026000</v>
      </c>
      <c r="X16" s="3">
        <f t="shared" si="118"/>
        <v>4034751000</v>
      </c>
    </row>
    <row r="17" spans="1:24" x14ac:dyDescent="0.25">
      <c r="A17" t="str">
        <f>Data!A33</f>
        <v>Kısa Vadeli Yükümlülükler</v>
      </c>
      <c r="B17" s="2">
        <f>IFERROR(VLOOKUP($A17,Bilanço!$A:$X,Analiz!B$1,0),"")</f>
        <v>7422098000</v>
      </c>
      <c r="C17" s="2">
        <f>IFERROR(VLOOKUP($A17,Bilanço!$A:$X,Analiz!C$1,0),"")</f>
        <v>4960025000</v>
      </c>
      <c r="D17" s="2">
        <f>IFERROR(VLOOKUP($A17,Bilanço!$A:$X,Analiz!D$1,0),"")</f>
        <v>5627811000</v>
      </c>
      <c r="E17" s="2">
        <f>IFERROR(VLOOKUP($A17,Bilanço!$A:$X,Analiz!E$1,0),"")</f>
        <v>3230685000</v>
      </c>
      <c r="F17" s="2">
        <f>IFERROR(VLOOKUP($A17,Bilanço!$A:$X,Analiz!F$1,0),"")</f>
        <v>2965605000</v>
      </c>
      <c r="G17" s="2">
        <f>IFERROR(VLOOKUP($A17,Bilanço!$A:$X,Analiz!G$1,0),"")</f>
        <v>2897939000</v>
      </c>
      <c r="H17" s="2">
        <f>IFERROR(VLOOKUP($A17,Bilanço!$A:$X,Analiz!H$1,0),"")</f>
        <v>4209866000</v>
      </c>
      <c r="I17" s="2">
        <f>IFERROR(VLOOKUP($A17,Bilanço!$A:$X,Analiz!I$1,0),"")</f>
        <v>6134222000</v>
      </c>
      <c r="J17" s="2">
        <f>IFERROR(VLOOKUP($A17,Bilanço!$A:$X,Analiz!J$1,0),"")</f>
        <v>7257234000</v>
      </c>
      <c r="K17" s="2">
        <f>IFERROR(VLOOKUP($A17,Bilanço!$A:$X,Analiz!K$1,0),"")</f>
        <v>15092084000</v>
      </c>
      <c r="L17" s="2">
        <f>IFERROR(VLOOKUP($A17,Bilanço!$A:$X,Analiz!L$1,0),"")</f>
        <v>16538508000</v>
      </c>
      <c r="M17" s="2">
        <f>IFERROR(VLOOKUP($A17,Bilanço!$A:$X,Analiz!M$1,0),"")</f>
        <v>27825778000</v>
      </c>
      <c r="N17" s="2">
        <f>IFERROR(VLOOKUP($A17,Bilanço!$A:$X,Analiz!N$1,0),"")</f>
        <v>18784494000</v>
      </c>
      <c r="O17" s="2">
        <f>IFERROR(VLOOKUP($A17,Bilanço!$A:$X,Analiz!O$1,0),"")</f>
        <v>11932732000</v>
      </c>
      <c r="P17" s="2">
        <f>IFERROR(VLOOKUP($A17,Bilanço!$A:$X,Analiz!P$1,0),"")</f>
        <v>12796632000</v>
      </c>
      <c r="Q17" s="2">
        <f>IFERROR(VLOOKUP($A17,Bilanço!$A:$X,Analiz!Q$1,0),"")</f>
        <v>22302898000</v>
      </c>
      <c r="R17" s="2">
        <f>IFERROR(VLOOKUP($A17,Bilanço!$A:$X,Analiz!R$1,0),"")</f>
        <v>17102472000</v>
      </c>
      <c r="S17" s="2">
        <f>IFERROR(VLOOKUP($A17,Bilanço!$A:$X,Analiz!S$1,0),"")</f>
        <v>16466405000</v>
      </c>
      <c r="T17" s="2">
        <f>IFERROR(VLOOKUP($A17,Bilanço!$A:$X,Analiz!T$1,0),"")</f>
        <v>17692904000</v>
      </c>
      <c r="U17" s="2">
        <f>IFERROR(VLOOKUP($A17,Bilanço!$A:$X,Analiz!U$1,0),"")</f>
        <v>35677697443</v>
      </c>
      <c r="V17" s="2">
        <f>IFERROR(VLOOKUP($A17,Bilanço!$A:$X,Analiz!V$1,0),"")</f>
        <v>33982563000</v>
      </c>
      <c r="W17" s="2">
        <f>IFERROR(VLOOKUP($A17,Bilanço!$A:$X,Analiz!W$1,0),"")</f>
        <v>58458705000</v>
      </c>
      <c r="X17" s="2">
        <f>IFERROR(VLOOKUP($A17,Bilanço!$A:$X,Analiz!X$1,0),"")</f>
        <v>60835483000</v>
      </c>
    </row>
    <row r="18" spans="1:24" x14ac:dyDescent="0.25">
      <c r="C18" s="3">
        <f>IFERROR(C17-B17,"")</f>
        <v>-2462073000</v>
      </c>
      <c r="D18" s="3">
        <f t="shared" ref="D18" si="119">IFERROR(D17-C17,"")</f>
        <v>667786000</v>
      </c>
      <c r="E18" s="3">
        <f t="shared" ref="E18" si="120">IFERROR(E17-D17,"")</f>
        <v>-2397126000</v>
      </c>
      <c r="F18" s="3">
        <f t="shared" ref="F18" si="121">IFERROR(F17-E17,"")</f>
        <v>-265080000</v>
      </c>
      <c r="G18" s="3">
        <f t="shared" ref="G18" si="122">IFERROR(G17-F17,"")</f>
        <v>-67666000</v>
      </c>
      <c r="H18" s="3">
        <f t="shared" ref="H18" si="123">IFERROR(H17-G17,"")</f>
        <v>1311927000</v>
      </c>
      <c r="I18" s="3">
        <f t="shared" ref="I18" si="124">IFERROR(I17-H17,"")</f>
        <v>1924356000</v>
      </c>
      <c r="J18" s="3">
        <f t="shared" ref="J18" si="125">IFERROR(J17-I17,"")</f>
        <v>1123012000</v>
      </c>
      <c r="K18" s="3">
        <f t="shared" ref="K18" si="126">IFERROR(K17-J17,"")</f>
        <v>7834850000</v>
      </c>
      <c r="L18" s="3">
        <f t="shared" ref="L18" si="127">IFERROR(L17-K17,"")</f>
        <v>1446424000</v>
      </c>
      <c r="M18" s="3">
        <f t="shared" ref="M18" si="128">IFERROR(M17-L17,"")</f>
        <v>11287270000</v>
      </c>
      <c r="N18" s="3">
        <f t="shared" ref="N18" si="129">IFERROR(N17-M17,"")</f>
        <v>-9041284000</v>
      </c>
      <c r="O18" s="3">
        <f t="shared" ref="O18" si="130">IFERROR(O17-N17,"")</f>
        <v>-6851762000</v>
      </c>
      <c r="P18" s="3">
        <f t="shared" ref="P18" si="131">IFERROR(P17-O17,"")</f>
        <v>863900000</v>
      </c>
      <c r="Q18" s="3">
        <f t="shared" ref="Q18" si="132">IFERROR(Q17-P17,"")</f>
        <v>9506266000</v>
      </c>
      <c r="R18" s="3">
        <f t="shared" ref="R18" si="133">IFERROR(R17-Q17,"")</f>
        <v>-5200426000</v>
      </c>
      <c r="S18" s="3">
        <f t="shared" ref="S18" si="134">IFERROR(S17-R17,"")</f>
        <v>-636067000</v>
      </c>
      <c r="T18" s="3">
        <f t="shared" ref="T18" si="135">IFERROR(T17-S17,"")</f>
        <v>1226499000</v>
      </c>
      <c r="U18" s="3">
        <f t="shared" ref="U18" si="136">IFERROR(U17-T17,"")</f>
        <v>17984793443</v>
      </c>
      <c r="V18" s="3">
        <f t="shared" ref="V18" si="137">IFERROR(V17-U17,"")</f>
        <v>-1695134443</v>
      </c>
      <c r="W18" s="3">
        <f t="shared" ref="W18:X18" si="138">IFERROR(W17-V17,"")</f>
        <v>24476142000</v>
      </c>
      <c r="X18" s="3">
        <f t="shared" si="138"/>
        <v>2376778000</v>
      </c>
    </row>
    <row r="19" spans="1:24" x14ac:dyDescent="0.25">
      <c r="A19" t="str">
        <f>Data!A47</f>
        <v>Uzun Vadeli Yükümlülükler</v>
      </c>
      <c r="B19" s="2">
        <f>IFERROR(VLOOKUP($A19,Bilanço!$A:$X,Analiz!B$1,0),"")</f>
        <v>1000094000</v>
      </c>
      <c r="C19" s="2">
        <f>IFERROR(VLOOKUP($A19,Bilanço!$A:$X,Analiz!C$1,0),"")</f>
        <v>4057727000</v>
      </c>
      <c r="D19" s="2">
        <f>IFERROR(VLOOKUP($A19,Bilanço!$A:$X,Analiz!D$1,0),"")</f>
        <v>4723797000</v>
      </c>
      <c r="E19" s="2">
        <f>IFERROR(VLOOKUP($A19,Bilanço!$A:$X,Analiz!E$1,0),"")</f>
        <v>9444296000</v>
      </c>
      <c r="F19" s="2">
        <f>IFERROR(VLOOKUP($A19,Bilanço!$A:$X,Analiz!F$1,0),"")</f>
        <v>10103946000</v>
      </c>
      <c r="G19" s="2">
        <f>IFERROR(VLOOKUP($A19,Bilanço!$A:$X,Analiz!G$1,0),"")</f>
        <v>10294116000</v>
      </c>
      <c r="H19" s="2">
        <f>IFERROR(VLOOKUP($A19,Bilanço!$A:$X,Analiz!H$1,0),"")</f>
        <v>10962464000</v>
      </c>
      <c r="I19" s="2">
        <f>IFERROR(VLOOKUP($A19,Bilanço!$A:$X,Analiz!I$1,0),"")</f>
        <v>15795501000</v>
      </c>
      <c r="J19" s="2">
        <f>IFERROR(VLOOKUP($A19,Bilanço!$A:$X,Analiz!J$1,0),"")</f>
        <v>17408642000</v>
      </c>
      <c r="K19" s="2">
        <f>IFERROR(VLOOKUP($A19,Bilanço!$A:$X,Analiz!K$1,0),"")</f>
        <v>12005655000</v>
      </c>
      <c r="L19" s="2">
        <f>IFERROR(VLOOKUP($A19,Bilanço!$A:$X,Analiz!L$1,0),"")</f>
        <v>13518395000</v>
      </c>
      <c r="M19" s="2">
        <f>IFERROR(VLOOKUP($A19,Bilanço!$A:$X,Analiz!M$1,0),"")</f>
        <v>22680279000</v>
      </c>
      <c r="N19" s="2">
        <f>IFERROR(VLOOKUP($A19,Bilanço!$A:$X,Analiz!N$1,0),"")</f>
        <v>13816036000</v>
      </c>
      <c r="O19" s="2">
        <f>IFERROR(VLOOKUP($A19,Bilanço!$A:$X,Analiz!O$1,0),"")</f>
        <v>24354012000</v>
      </c>
      <c r="P19" s="2">
        <f>IFERROR(VLOOKUP($A19,Bilanço!$A:$X,Analiz!P$1,0),"")</f>
        <v>24755025000</v>
      </c>
      <c r="Q19" s="2">
        <f>IFERROR(VLOOKUP($A19,Bilanço!$A:$X,Analiz!Q$1,0),"")</f>
        <v>38029627000</v>
      </c>
      <c r="R19" s="2">
        <f>IFERROR(VLOOKUP($A19,Bilanço!$A:$X,Analiz!R$1,0),"")</f>
        <v>29664747000</v>
      </c>
      <c r="S19" s="2">
        <f>IFERROR(VLOOKUP($A19,Bilanço!$A:$X,Analiz!S$1,0),"")</f>
        <v>33776513000</v>
      </c>
      <c r="T19" s="2">
        <f>IFERROR(VLOOKUP($A19,Bilanço!$A:$X,Analiz!T$1,0),"")</f>
        <v>43137967000</v>
      </c>
      <c r="U19" s="2">
        <f>IFERROR(VLOOKUP($A19,Bilanço!$A:$X,Analiz!U$1,0),"")</f>
        <v>44548745179</v>
      </c>
      <c r="V19" s="2">
        <f>IFERROR(VLOOKUP($A19,Bilanço!$A:$X,Analiz!V$1,0),"")</f>
        <v>39120533000</v>
      </c>
      <c r="W19" s="2">
        <f>IFERROR(VLOOKUP($A19,Bilanço!$A:$X,Analiz!W$1,0),"")</f>
        <v>24883203000</v>
      </c>
      <c r="X19" s="2">
        <f>IFERROR(VLOOKUP($A19,Bilanço!$A:$X,Analiz!X$1,0),"")</f>
        <v>25789527000</v>
      </c>
    </row>
    <row r="20" spans="1:24" x14ac:dyDescent="0.25">
      <c r="C20" s="3">
        <f>IFERROR(C19-B19,"")</f>
        <v>3057633000</v>
      </c>
      <c r="D20" s="3">
        <f t="shared" ref="D20" si="139">IFERROR(D19-C19,"")</f>
        <v>666070000</v>
      </c>
      <c r="E20" s="3">
        <f t="shared" ref="E20" si="140">IFERROR(E19-D19,"")</f>
        <v>4720499000</v>
      </c>
      <c r="F20" s="3">
        <f t="shared" ref="F20" si="141">IFERROR(F19-E19,"")</f>
        <v>659650000</v>
      </c>
      <c r="G20" s="3">
        <f t="shared" ref="G20" si="142">IFERROR(G19-F19,"")</f>
        <v>190170000</v>
      </c>
      <c r="H20" s="3">
        <f t="shared" ref="H20" si="143">IFERROR(H19-G19,"")</f>
        <v>668348000</v>
      </c>
      <c r="I20" s="3">
        <f t="shared" ref="I20" si="144">IFERROR(I19-H19,"")</f>
        <v>4833037000</v>
      </c>
      <c r="J20" s="3">
        <f t="shared" ref="J20" si="145">IFERROR(J19-I19,"")</f>
        <v>1613141000</v>
      </c>
      <c r="K20" s="3">
        <f t="shared" ref="K20" si="146">IFERROR(K19-J19,"")</f>
        <v>-5402987000</v>
      </c>
      <c r="L20" s="3">
        <f t="shared" ref="L20" si="147">IFERROR(L19-K19,"")</f>
        <v>1512740000</v>
      </c>
      <c r="M20" s="3">
        <f t="shared" ref="M20" si="148">IFERROR(M19-L19,"")</f>
        <v>9161884000</v>
      </c>
      <c r="N20" s="3">
        <f t="shared" ref="N20" si="149">IFERROR(N19-M19,"")</f>
        <v>-8864243000</v>
      </c>
      <c r="O20" s="3">
        <f t="shared" ref="O20" si="150">IFERROR(O19-N19,"")</f>
        <v>10537976000</v>
      </c>
      <c r="P20" s="3">
        <f t="shared" ref="P20" si="151">IFERROR(P19-O19,"")</f>
        <v>401013000</v>
      </c>
      <c r="Q20" s="3">
        <f t="shared" ref="Q20" si="152">IFERROR(Q19-P19,"")</f>
        <v>13274602000</v>
      </c>
      <c r="R20" s="3">
        <f t="shared" ref="R20" si="153">IFERROR(R19-Q19,"")</f>
        <v>-8364880000</v>
      </c>
      <c r="S20" s="3">
        <f t="shared" ref="S20" si="154">IFERROR(S19-R19,"")</f>
        <v>4111766000</v>
      </c>
      <c r="T20" s="3">
        <f t="shared" ref="T20" si="155">IFERROR(T19-S19,"")</f>
        <v>9361454000</v>
      </c>
      <c r="U20" s="3">
        <f t="shared" ref="U20" si="156">IFERROR(U19-T19,"")</f>
        <v>1410778179</v>
      </c>
      <c r="V20" s="3">
        <f t="shared" ref="V20" si="157">IFERROR(V19-U19,"")</f>
        <v>-5428212179</v>
      </c>
      <c r="W20" s="3">
        <f t="shared" ref="W20:X20" si="158">IFERROR(W19-V19,"")</f>
        <v>-14237330000</v>
      </c>
      <c r="X20" s="3">
        <f t="shared" si="158"/>
        <v>906324000</v>
      </c>
    </row>
    <row r="21" spans="1:24" x14ac:dyDescent="0.25">
      <c r="A21" t="str">
        <f>Data!A74</f>
        <v>Satış Gelirleri</v>
      </c>
      <c r="B21" s="2">
        <f>IFERROR(VLOOKUP($A21,Bilanço!$A:$X,Analiz!B$1,0),"")</f>
        <v>2376126000</v>
      </c>
      <c r="C21" s="2">
        <f>IFERROR(VLOOKUP($A21,Bilanço!$A:$X,Analiz!C$1,0),"")</f>
        <v>4520767000</v>
      </c>
      <c r="D21" s="2">
        <f>IFERROR(VLOOKUP($A21,Bilanço!$A:$X,Analiz!D$1,0),"")</f>
        <v>6976612000</v>
      </c>
      <c r="E21" s="2">
        <f>IFERROR(VLOOKUP($A21,Bilanço!$A:$X,Analiz!E$1,0),"")</f>
        <v>9715630000</v>
      </c>
      <c r="F21" s="2">
        <f>IFERROR(VLOOKUP($A21,Bilanço!$A:$X,Analiz!F$1,0),"")</f>
        <v>2783757000</v>
      </c>
      <c r="G21" s="2">
        <f>IFERROR(VLOOKUP($A21,Bilanço!$A:$X,Analiz!G$1,0),"")</f>
        <v>5442824000</v>
      </c>
      <c r="H21" s="2">
        <f>IFERROR(VLOOKUP($A21,Bilanço!$A:$X,Analiz!H$1,0),"")</f>
        <v>8418957000</v>
      </c>
      <c r="I21" s="2">
        <f>IFERROR(VLOOKUP($A21,Bilanço!$A:$X,Analiz!I$1,0),"")</f>
        <v>12537080000</v>
      </c>
      <c r="J21" s="2">
        <f>IFERROR(VLOOKUP($A21,Bilanço!$A:$X,Analiz!J$1,0),"")</f>
        <v>5886018000</v>
      </c>
      <c r="K21" s="2">
        <f>IFERROR(VLOOKUP($A21,Bilanço!$A:$X,Analiz!K$1,0),"")</f>
        <v>11877060000</v>
      </c>
      <c r="L21" s="2">
        <f>IFERROR(VLOOKUP($A21,Bilanço!$A:$X,Analiz!L$1,0),"")</f>
        <v>19178880000</v>
      </c>
      <c r="M21" s="2">
        <f>IFERROR(VLOOKUP($A21,Bilanço!$A:$X,Analiz!M$1,0),"")</f>
        <v>51981208000</v>
      </c>
      <c r="N21" s="2">
        <f>IFERROR(VLOOKUP($A21,Bilanço!$A:$X,Analiz!N$1,0),"")</f>
        <v>18804838000</v>
      </c>
      <c r="O21" s="2">
        <f>IFERROR(VLOOKUP($A21,Bilanço!$A:$X,Analiz!O$1,0),"")</f>
        <v>38340257000</v>
      </c>
      <c r="P21" s="2">
        <f>IFERROR(VLOOKUP($A21,Bilanço!$A:$X,Analiz!P$1,0),"")</f>
        <v>56149663000</v>
      </c>
      <c r="Q21" s="2">
        <f>IFERROR(VLOOKUP($A21,Bilanço!$A:$X,Analiz!Q$1,0),"")</f>
        <v>80615534000</v>
      </c>
      <c r="R21" s="2">
        <f>IFERROR(VLOOKUP($A21,Bilanço!$A:$X,Analiz!R$1,0),"")</f>
        <v>27069643000</v>
      </c>
      <c r="S21" s="2">
        <f>IFERROR(VLOOKUP($A21,Bilanço!$A:$X,Analiz!S$1,0),"")</f>
        <v>49370684000</v>
      </c>
      <c r="T21" s="2">
        <f>IFERROR(VLOOKUP($A21,Bilanço!$A:$X,Analiz!T$1,0),"")</f>
        <v>77330367000</v>
      </c>
      <c r="U21" s="2">
        <f>IFERROR(VLOOKUP($A21,Bilanço!$A:$X,Analiz!U$1,0),"")</f>
        <v>105483659375</v>
      </c>
      <c r="V21" s="2">
        <f>IFERROR(VLOOKUP($A21,Bilanço!$A:$X,Analiz!V$1,0),"")</f>
        <v>26962317000</v>
      </c>
      <c r="W21" s="2">
        <f>IFERROR(VLOOKUP($A21,Bilanço!$A:$X,Analiz!W$1,0),"")</f>
        <v>51639553000</v>
      </c>
      <c r="X21" s="2">
        <f>IFERROR(VLOOKUP($A21,Bilanço!$A:$X,Analiz!X$1,0),"")</f>
        <v>80925915000</v>
      </c>
    </row>
    <row r="22" spans="1:24" x14ac:dyDescent="0.25">
      <c r="C22" s="3">
        <f>IFERROR(C21-B21,"")</f>
        <v>2144641000</v>
      </c>
      <c r="D22" s="3">
        <f t="shared" ref="D22" si="159">IFERROR(D21-C21,"")</f>
        <v>2455845000</v>
      </c>
      <c r="E22" s="3">
        <f t="shared" ref="E22" si="160">IFERROR(E21-D21,"")</f>
        <v>2739018000</v>
      </c>
      <c r="F22" s="3">
        <f t="shared" ref="F22" si="161">IFERROR(F21-E21,"")</f>
        <v>-6931873000</v>
      </c>
      <c r="G22" s="3">
        <f t="shared" ref="G22" si="162">IFERROR(G21-F21,"")</f>
        <v>2659067000</v>
      </c>
      <c r="H22" s="3">
        <f t="shared" ref="H22" si="163">IFERROR(H21-G21,"")</f>
        <v>2976133000</v>
      </c>
      <c r="I22" s="3">
        <f t="shared" ref="I22" si="164">IFERROR(I21-H21,"")</f>
        <v>4118123000</v>
      </c>
      <c r="J22" s="3">
        <f t="shared" ref="J22" si="165">IFERROR(J21-I21,"")</f>
        <v>-6651062000</v>
      </c>
      <c r="K22" s="3">
        <f t="shared" ref="K22" si="166">IFERROR(K21-J21,"")</f>
        <v>5991042000</v>
      </c>
      <c r="L22" s="3">
        <f t="shared" ref="L22" si="167">IFERROR(L21-K21,"")</f>
        <v>7301820000</v>
      </c>
      <c r="M22" s="3">
        <f t="shared" ref="M22" si="168">IFERROR(M21-L21,"")</f>
        <v>32802328000</v>
      </c>
      <c r="N22" s="3">
        <f t="shared" ref="N22" si="169">IFERROR(N21-M21,"")</f>
        <v>-33176370000</v>
      </c>
      <c r="O22" s="3">
        <f t="shared" ref="O22" si="170">IFERROR(O21-N21,"")</f>
        <v>19535419000</v>
      </c>
      <c r="P22" s="3">
        <f t="shared" ref="P22" si="171">IFERROR(P21-O21,"")</f>
        <v>17809406000</v>
      </c>
      <c r="Q22" s="3">
        <f t="shared" ref="Q22" si="172">IFERROR(Q21-P21,"")</f>
        <v>24465871000</v>
      </c>
      <c r="R22" s="3">
        <f t="shared" ref="R22" si="173">IFERROR(R21-Q21,"")</f>
        <v>-53545891000</v>
      </c>
      <c r="S22" s="3">
        <f t="shared" ref="S22" si="174">IFERROR(S21-R21,"")</f>
        <v>22301041000</v>
      </c>
      <c r="T22" s="3">
        <f t="shared" ref="T22" si="175">IFERROR(T21-S21,"")</f>
        <v>27959683000</v>
      </c>
      <c r="U22" s="3">
        <f t="shared" ref="U22" si="176">IFERROR(U21-T21,"")</f>
        <v>28153292375</v>
      </c>
      <c r="V22" s="3">
        <f t="shared" ref="V22" si="177">IFERROR(V21-U21,"")</f>
        <v>-78521342375</v>
      </c>
      <c r="W22" s="3">
        <f t="shared" ref="W22:X22" si="178">IFERROR(W21-V21,"")</f>
        <v>24677236000</v>
      </c>
      <c r="X22" s="3">
        <f t="shared" si="178"/>
        <v>29286362000</v>
      </c>
    </row>
    <row r="23" spans="1:24" x14ac:dyDescent="0.25">
      <c r="A23" t="str">
        <f>Data!A83</f>
        <v>BRÜT KAR (ZARAR)</v>
      </c>
      <c r="B23" s="2">
        <f>IFERROR(VLOOKUP($A23,Bilanço!$A:$X,Analiz!B$1,0),"")</f>
        <v>716281000</v>
      </c>
      <c r="C23" s="2">
        <f>IFERROR(VLOOKUP($A23,Bilanço!$A:$X,Analiz!C$1,0),"")</f>
        <v>1303416000</v>
      </c>
      <c r="D23" s="2">
        <f>IFERROR(VLOOKUP($A23,Bilanço!$A:$X,Analiz!D$1,0),"")</f>
        <v>2112332000</v>
      </c>
      <c r="E23" s="2">
        <f>IFERROR(VLOOKUP($A23,Bilanço!$A:$X,Analiz!E$1,0),"")</f>
        <v>2937258000</v>
      </c>
      <c r="F23" s="2">
        <f>IFERROR(VLOOKUP($A23,Bilanço!$A:$X,Analiz!F$1,0),"")</f>
        <v>862338000</v>
      </c>
      <c r="G23" s="2">
        <f>IFERROR(VLOOKUP($A23,Bilanço!$A:$X,Analiz!G$1,0),"")</f>
        <v>1573696000</v>
      </c>
      <c r="H23" s="2">
        <f>IFERROR(VLOOKUP($A23,Bilanço!$A:$X,Analiz!H$1,0),"")</f>
        <v>2377880000</v>
      </c>
      <c r="I23" s="2">
        <f>IFERROR(VLOOKUP($A23,Bilanço!$A:$X,Analiz!I$1,0),"")</f>
        <v>3612415000</v>
      </c>
      <c r="J23" s="2">
        <f>IFERROR(VLOOKUP($A23,Bilanço!$A:$X,Analiz!J$1,0),"")</f>
        <v>1849090000</v>
      </c>
      <c r="K23" s="2">
        <f>IFERROR(VLOOKUP($A23,Bilanço!$A:$X,Analiz!K$1,0),"")</f>
        <v>3546800000</v>
      </c>
      <c r="L23" s="2">
        <f>IFERROR(VLOOKUP($A23,Bilanço!$A:$X,Analiz!L$1,0),"")</f>
        <v>5567702000</v>
      </c>
      <c r="M23" s="2">
        <f>IFERROR(VLOOKUP($A23,Bilanço!$A:$X,Analiz!M$1,0),"")</f>
        <v>11328190000</v>
      </c>
      <c r="N23" s="2">
        <f>IFERROR(VLOOKUP($A23,Bilanço!$A:$X,Analiz!N$1,0),"")</f>
        <v>5779735000</v>
      </c>
      <c r="O23" s="2">
        <f>IFERROR(VLOOKUP($A23,Bilanço!$A:$X,Analiz!O$1,0),"")</f>
        <v>11180160000</v>
      </c>
      <c r="P23" s="2">
        <f>IFERROR(VLOOKUP($A23,Bilanço!$A:$X,Analiz!P$1,0),"")</f>
        <v>16580874000</v>
      </c>
      <c r="Q23" s="2">
        <f>IFERROR(VLOOKUP($A23,Bilanço!$A:$X,Analiz!Q$1,0),"")</f>
        <v>23355518000</v>
      </c>
      <c r="R23" s="2">
        <f>IFERROR(VLOOKUP($A23,Bilanço!$A:$X,Analiz!R$1,0),"")</f>
        <v>8652263000</v>
      </c>
      <c r="S23" s="2">
        <f>IFERROR(VLOOKUP($A23,Bilanço!$A:$X,Analiz!S$1,0),"")</f>
        <v>15488538000</v>
      </c>
      <c r="T23" s="2">
        <f>IFERROR(VLOOKUP($A23,Bilanço!$A:$X,Analiz!T$1,0),"")</f>
        <v>23223495000</v>
      </c>
      <c r="U23" s="2">
        <f>IFERROR(VLOOKUP($A23,Bilanço!$A:$X,Analiz!U$1,0),"")</f>
        <v>31440632031</v>
      </c>
      <c r="V23" s="2">
        <f>IFERROR(VLOOKUP($A23,Bilanço!$A:$X,Analiz!V$1,0),"")</f>
        <v>9015462000</v>
      </c>
      <c r="W23" s="2">
        <f>IFERROR(VLOOKUP($A23,Bilanço!$A:$X,Analiz!W$1,0),"")</f>
        <v>15838395000</v>
      </c>
      <c r="X23" s="2">
        <f>IFERROR(VLOOKUP($A23,Bilanço!$A:$X,Analiz!X$1,0),"")</f>
        <v>24456981000</v>
      </c>
    </row>
    <row r="24" spans="1:24" x14ac:dyDescent="0.25">
      <c r="C24" s="3">
        <f>IFERROR(C23-B23,"")</f>
        <v>587135000</v>
      </c>
      <c r="D24" s="3">
        <f t="shared" ref="D24" si="179">IFERROR(D23-C23,"")</f>
        <v>808916000</v>
      </c>
      <c r="E24" s="3">
        <f t="shared" ref="E24" si="180">IFERROR(E23-D23,"")</f>
        <v>824926000</v>
      </c>
      <c r="F24" s="3">
        <f t="shared" ref="F24" si="181">IFERROR(F23-E23,"")</f>
        <v>-2074920000</v>
      </c>
      <c r="G24" s="3">
        <f t="shared" ref="G24" si="182">IFERROR(G23-F23,"")</f>
        <v>711358000</v>
      </c>
      <c r="H24" s="3">
        <f t="shared" ref="H24" si="183">IFERROR(H23-G23,"")</f>
        <v>804184000</v>
      </c>
      <c r="I24" s="3">
        <f t="shared" ref="I24" si="184">IFERROR(I23-H23,"")</f>
        <v>1234535000</v>
      </c>
      <c r="J24" s="3">
        <f t="shared" ref="J24" si="185">IFERROR(J23-I23,"")</f>
        <v>-1763325000</v>
      </c>
      <c r="K24" s="3">
        <f t="shared" ref="K24" si="186">IFERROR(K23-J23,"")</f>
        <v>1697710000</v>
      </c>
      <c r="L24" s="3">
        <f t="shared" ref="L24" si="187">IFERROR(L23-K23,"")</f>
        <v>2020902000</v>
      </c>
      <c r="M24" s="3">
        <f t="shared" ref="M24" si="188">IFERROR(M23-L23,"")</f>
        <v>5760488000</v>
      </c>
      <c r="N24" s="3">
        <f t="shared" ref="N24" si="189">IFERROR(N23-M23,"")</f>
        <v>-5548455000</v>
      </c>
      <c r="O24" s="3">
        <f t="shared" ref="O24" si="190">IFERROR(O23-N23,"")</f>
        <v>5400425000</v>
      </c>
      <c r="P24" s="3">
        <f t="shared" ref="P24" si="191">IFERROR(P23-O23,"")</f>
        <v>5400714000</v>
      </c>
      <c r="Q24" s="3">
        <f t="shared" ref="Q24" si="192">IFERROR(Q23-P23,"")</f>
        <v>6774644000</v>
      </c>
      <c r="R24" s="3">
        <f t="shared" ref="R24" si="193">IFERROR(R23-Q23,"")</f>
        <v>-14703255000</v>
      </c>
      <c r="S24" s="3">
        <f t="shared" ref="S24" si="194">IFERROR(S23-R23,"")</f>
        <v>6836275000</v>
      </c>
      <c r="T24" s="3">
        <f t="shared" ref="T24" si="195">IFERROR(T23-S23,"")</f>
        <v>7734957000</v>
      </c>
      <c r="U24" s="3">
        <f t="shared" ref="U24" si="196">IFERROR(U23-T23,"")</f>
        <v>8217137031</v>
      </c>
      <c r="V24" s="3">
        <f t="shared" ref="V24" si="197">IFERROR(V23-U23,"")</f>
        <v>-22425170031</v>
      </c>
      <c r="W24" s="3">
        <f t="shared" ref="W24:X24" si="198">IFERROR(W23-V23,"")</f>
        <v>6822933000</v>
      </c>
      <c r="X24" s="3">
        <f t="shared" si="198"/>
        <v>8618586000</v>
      </c>
    </row>
    <row r="25" spans="1:24" x14ac:dyDescent="0.25">
      <c r="A25" t="str">
        <f>Data!A91</f>
        <v>Net Faaliyet Kar/Zararı</v>
      </c>
      <c r="B25" s="2">
        <f>IFERROR(VLOOKUP($A25,Bilanço!$A:$X,Analiz!B$1,0),"")</f>
        <v>371152000</v>
      </c>
      <c r="C25" s="2">
        <f>IFERROR(VLOOKUP($A25,Bilanço!$A:$X,Analiz!C$1,0),"")</f>
        <v>705161000</v>
      </c>
      <c r="D25" s="2">
        <f>IFERROR(VLOOKUP($A25,Bilanço!$A:$X,Analiz!D$1,0),"")</f>
        <v>1228698000</v>
      </c>
      <c r="E25" s="2">
        <f>IFERROR(VLOOKUP($A25,Bilanço!$A:$X,Analiz!E$1,0),"")</f>
        <v>1722766000</v>
      </c>
      <c r="F25" s="2">
        <f>IFERROR(VLOOKUP($A25,Bilanço!$A:$X,Analiz!F$1,0),"")</f>
        <v>493412000</v>
      </c>
      <c r="G25" s="2">
        <f>IFERROR(VLOOKUP($A25,Bilanço!$A:$X,Analiz!G$1,0),"")</f>
        <v>883898000</v>
      </c>
      <c r="H25" s="2">
        <f>IFERROR(VLOOKUP($A25,Bilanço!$A:$X,Analiz!H$1,0),"")</f>
        <v>1327262000</v>
      </c>
      <c r="I25" s="2">
        <f>IFERROR(VLOOKUP($A25,Bilanço!$A:$X,Analiz!I$1,0),"")</f>
        <v>2098350000</v>
      </c>
      <c r="J25" s="2">
        <f>IFERROR(VLOOKUP($A25,Bilanço!$A:$X,Analiz!J$1,0),"")</f>
        <v>1166560000</v>
      </c>
      <c r="K25" s="2">
        <f>IFERROR(VLOOKUP($A25,Bilanço!$A:$X,Analiz!K$1,0),"")</f>
        <v>2217442000</v>
      </c>
      <c r="L25" s="2">
        <f>IFERROR(VLOOKUP($A25,Bilanço!$A:$X,Analiz!L$1,0),"")</f>
        <v>3382337000</v>
      </c>
      <c r="M25" s="2">
        <f>IFERROR(VLOOKUP($A25,Bilanço!$A:$X,Analiz!M$1,0),"")</f>
        <v>5535137000</v>
      </c>
      <c r="N25" s="2">
        <f>IFERROR(VLOOKUP($A25,Bilanço!$A:$X,Analiz!N$1,0),"")</f>
        <v>3481161000</v>
      </c>
      <c r="O25" s="2">
        <f>IFERROR(VLOOKUP($A25,Bilanço!$A:$X,Analiz!O$1,0),"")</f>
        <v>6488723000</v>
      </c>
      <c r="P25" s="2">
        <f>IFERROR(VLOOKUP($A25,Bilanço!$A:$X,Analiz!P$1,0),"")</f>
        <v>9771819000</v>
      </c>
      <c r="Q25" s="2">
        <f>IFERROR(VLOOKUP($A25,Bilanço!$A:$X,Analiz!Q$1,0),"")</f>
        <v>13595398000</v>
      </c>
      <c r="R25" s="2">
        <f>IFERROR(VLOOKUP($A25,Bilanço!$A:$X,Analiz!R$1,0),"")</f>
        <v>5061872000</v>
      </c>
      <c r="S25" s="2">
        <f>IFERROR(VLOOKUP($A25,Bilanço!$A:$X,Analiz!S$1,0),"")</f>
        <v>8834542000</v>
      </c>
      <c r="T25" s="2">
        <f>IFERROR(VLOOKUP($A25,Bilanço!$A:$X,Analiz!T$1,0),"")</f>
        <v>12859513000</v>
      </c>
      <c r="U25" s="2">
        <f>IFERROR(VLOOKUP($A25,Bilanço!$A:$X,Analiz!U$1,0),"")</f>
        <v>17278338386</v>
      </c>
      <c r="V25" s="2">
        <f>IFERROR(VLOOKUP($A25,Bilanço!$A:$X,Analiz!V$1,0),"")</f>
        <v>4963471000</v>
      </c>
      <c r="W25" s="2">
        <f>IFERROR(VLOOKUP($A25,Bilanço!$A:$X,Analiz!W$1,0),"")</f>
        <v>8119730000</v>
      </c>
      <c r="X25" s="2">
        <f>IFERROR(VLOOKUP($A25,Bilanço!$A:$X,Analiz!X$1,0),"")</f>
        <v>12611523000</v>
      </c>
    </row>
    <row r="26" spans="1:24" x14ac:dyDescent="0.25">
      <c r="C26" s="3">
        <f>IFERROR(C25-B25,"")</f>
        <v>334009000</v>
      </c>
      <c r="D26" s="3">
        <f t="shared" ref="D26" si="199">IFERROR(D25-C25,"")</f>
        <v>523537000</v>
      </c>
      <c r="E26" s="3">
        <f t="shared" ref="E26" si="200">IFERROR(E25-D25,"")</f>
        <v>494068000</v>
      </c>
      <c r="F26" s="3">
        <f t="shared" ref="F26" si="201">IFERROR(F25-E25,"")</f>
        <v>-1229354000</v>
      </c>
      <c r="G26" s="3">
        <f t="shared" ref="G26" si="202">IFERROR(G25-F25,"")</f>
        <v>390486000</v>
      </c>
      <c r="H26" s="3">
        <f t="shared" ref="H26" si="203">IFERROR(H25-G25,"")</f>
        <v>443364000</v>
      </c>
      <c r="I26" s="3">
        <f t="shared" ref="I26" si="204">IFERROR(I25-H25,"")</f>
        <v>771088000</v>
      </c>
      <c r="J26" s="3">
        <f t="shared" ref="J26" si="205">IFERROR(J25-I25,"")</f>
        <v>-931790000</v>
      </c>
      <c r="K26" s="3">
        <f t="shared" ref="K26" si="206">IFERROR(K25-J25,"")</f>
        <v>1050882000</v>
      </c>
      <c r="L26" s="3">
        <f t="shared" ref="L26" si="207">IFERROR(L25-K25,"")</f>
        <v>1164895000</v>
      </c>
      <c r="M26" s="3">
        <f t="shared" ref="M26" si="208">IFERROR(M25-L25,"")</f>
        <v>2152800000</v>
      </c>
      <c r="N26" s="3">
        <f t="shared" ref="N26" si="209">IFERROR(N25-M25,"")</f>
        <v>-2053976000</v>
      </c>
      <c r="O26" s="3">
        <f t="shared" ref="O26" si="210">IFERROR(O25-N25,"")</f>
        <v>3007562000</v>
      </c>
      <c r="P26" s="3">
        <f t="shared" ref="P26" si="211">IFERROR(P25-O25,"")</f>
        <v>3283096000</v>
      </c>
      <c r="Q26" s="3">
        <f t="shared" ref="Q26" si="212">IFERROR(Q25-P25,"")</f>
        <v>3823579000</v>
      </c>
      <c r="R26" s="3">
        <f t="shared" ref="R26" si="213">IFERROR(R25-Q25,"")</f>
        <v>-8533526000</v>
      </c>
      <c r="S26" s="3">
        <f t="shared" ref="S26" si="214">IFERROR(S25-R25,"")</f>
        <v>3772670000</v>
      </c>
      <c r="T26" s="3">
        <f t="shared" ref="T26" si="215">IFERROR(T25-S25,"")</f>
        <v>4024971000</v>
      </c>
      <c r="U26" s="3">
        <f t="shared" ref="U26" si="216">IFERROR(U25-T25,"")</f>
        <v>4418825386</v>
      </c>
      <c r="V26" s="3">
        <f t="shared" ref="V26" si="217">IFERROR(V25-U25,"")</f>
        <v>-12314867386</v>
      </c>
      <c r="W26" s="3">
        <f t="shared" ref="W26:X26" si="218">IFERROR(W25-V25,"")</f>
        <v>3156259000</v>
      </c>
      <c r="X26" s="3">
        <f t="shared" si="218"/>
        <v>4491793000</v>
      </c>
    </row>
    <row r="27" spans="1:24" x14ac:dyDescent="0.25">
      <c r="A27" t="str">
        <f>Data!A111</f>
        <v>Ana Ortaklık Payları</v>
      </c>
      <c r="B27" s="2">
        <f>IFERROR(VLOOKUP($A27,Bilanço!$A:$X,Analiz!B$1,0),"")</f>
        <v>-98292000</v>
      </c>
      <c r="C27" s="2">
        <f>IFERROR(VLOOKUP($A27,Bilanço!$A:$X,Analiz!C$1,0),"")</f>
        <v>406151000</v>
      </c>
      <c r="D27" s="2">
        <f>IFERROR(VLOOKUP($A27,Bilanço!$A:$X,Analiz!D$1,0),"")</f>
        <v>681533000</v>
      </c>
      <c r="E27" s="2">
        <f>IFERROR(VLOOKUP($A27,Bilanço!$A:$X,Analiz!E$1,0),"")</f>
        <v>1081394000</v>
      </c>
      <c r="F27" s="2">
        <f>IFERROR(VLOOKUP($A27,Bilanço!$A:$X,Analiz!F$1,0),"")</f>
        <v>431147000</v>
      </c>
      <c r="G27" s="2">
        <f>IFERROR(VLOOKUP($A27,Bilanço!$A:$X,Analiz!G$1,0),"")</f>
        <v>652197000</v>
      </c>
      <c r="H27" s="2">
        <f>IFERROR(VLOOKUP($A27,Bilanço!$A:$X,Analiz!H$1,0),"")</f>
        <v>654654000</v>
      </c>
      <c r="I27" s="2">
        <f>IFERROR(VLOOKUP($A27,Bilanço!$A:$X,Analiz!I$1,0),"")</f>
        <v>-464332000</v>
      </c>
      <c r="J27" s="2">
        <f>IFERROR(VLOOKUP($A27,Bilanço!$A:$X,Analiz!J$1,0),"")</f>
        <v>-470705000</v>
      </c>
      <c r="K27" s="2">
        <f>IFERROR(VLOOKUP($A27,Bilanço!$A:$X,Analiz!K$1,0),"")</f>
        <v>-1119340000</v>
      </c>
      <c r="L27" s="2">
        <f>IFERROR(VLOOKUP($A27,Bilanço!$A:$X,Analiz!L$1,0),"")</f>
        <v>-1336418000</v>
      </c>
      <c r="M27" s="2">
        <f>IFERROR(VLOOKUP($A27,Bilanço!$A:$X,Analiz!M$1,0),"")</f>
        <v>984793000</v>
      </c>
      <c r="N27" s="2">
        <f>IFERROR(VLOOKUP($A27,Bilanço!$A:$X,Analiz!N$1,0),"")</f>
        <v>2412933000</v>
      </c>
      <c r="O27" s="2">
        <f>IFERROR(VLOOKUP($A27,Bilanço!$A:$X,Analiz!O$1,0),"")</f>
        <v>-63660000</v>
      </c>
      <c r="P27" s="2">
        <f>IFERROR(VLOOKUP($A27,Bilanço!$A:$X,Analiz!P$1,0),"")</f>
        <v>2988743000</v>
      </c>
      <c r="Q27" s="2">
        <f>IFERROR(VLOOKUP($A27,Bilanço!$A:$X,Analiz!Q$1,0),"")</f>
        <v>4878383000</v>
      </c>
      <c r="R27" s="2">
        <f>IFERROR(VLOOKUP($A27,Bilanço!$A:$X,Analiz!R$1,0),"")</f>
        <v>2993134000</v>
      </c>
      <c r="S27" s="2">
        <f>IFERROR(VLOOKUP($A27,Bilanço!$A:$X,Analiz!S$1,0),"")</f>
        <v>4875008000</v>
      </c>
      <c r="T27" s="2">
        <f>IFERROR(VLOOKUP($A27,Bilanço!$A:$X,Analiz!T$1,0),"")</f>
        <v>5867970000</v>
      </c>
      <c r="U27" s="2">
        <f>IFERROR(VLOOKUP($A27,Bilanço!$A:$X,Analiz!U$1,0),"")</f>
        <v>9282439224</v>
      </c>
      <c r="V27" s="2">
        <f>IFERROR(VLOOKUP($A27,Bilanço!$A:$X,Analiz!V$1,0),"")</f>
        <v>2413368000</v>
      </c>
      <c r="W27" s="2">
        <f>IFERROR(VLOOKUP($A27,Bilanço!$A:$X,Analiz!W$1,0),"")</f>
        <v>3279913000</v>
      </c>
      <c r="X27" s="2">
        <f>IFERROR(VLOOKUP($A27,Bilanço!$A:$X,Analiz!X$1,0),"")</f>
        <v>4593516000</v>
      </c>
    </row>
    <row r="28" spans="1:24" x14ac:dyDescent="0.25">
      <c r="C28" s="3">
        <f>IFERROR(C27-B27,"")</f>
        <v>504443000</v>
      </c>
      <c r="D28" s="3">
        <f t="shared" ref="D28" si="219">IFERROR(D27-C27,"")</f>
        <v>275382000</v>
      </c>
      <c r="E28" s="3">
        <f t="shared" ref="E28" si="220">IFERROR(E27-D27,"")</f>
        <v>399861000</v>
      </c>
      <c r="F28" s="3">
        <f t="shared" ref="F28" si="221">IFERROR(F27-E27,"")</f>
        <v>-650247000</v>
      </c>
      <c r="G28" s="3">
        <f t="shared" ref="G28" si="222">IFERROR(G27-F27,"")</f>
        <v>221050000</v>
      </c>
      <c r="H28" s="3">
        <f t="shared" ref="H28" si="223">IFERROR(H27-G27,"")</f>
        <v>2457000</v>
      </c>
      <c r="I28" s="3">
        <f t="shared" ref="I28" si="224">IFERROR(I27-H27,"")</f>
        <v>-1118986000</v>
      </c>
      <c r="J28" s="3">
        <f t="shared" ref="J28" si="225">IFERROR(J27-I27,"")</f>
        <v>-6373000</v>
      </c>
      <c r="K28" s="3">
        <f t="shared" ref="K28" si="226">IFERROR(K27-J27,"")</f>
        <v>-648635000</v>
      </c>
      <c r="L28" s="3">
        <f t="shared" ref="L28" si="227">IFERROR(L27-K27,"")</f>
        <v>-217078000</v>
      </c>
      <c r="M28" s="3">
        <f t="shared" ref="M28" si="228">IFERROR(M27-L27,"")</f>
        <v>2321211000</v>
      </c>
      <c r="N28" s="3">
        <f t="shared" ref="N28" si="229">IFERROR(N27-M27,"")</f>
        <v>1428140000</v>
      </c>
      <c r="O28" s="3">
        <f t="shared" ref="O28" si="230">IFERROR(O27-N27,"")</f>
        <v>-2476593000</v>
      </c>
      <c r="P28" s="3">
        <f t="shared" ref="P28" si="231">IFERROR(P27-O27,"")</f>
        <v>3052403000</v>
      </c>
      <c r="Q28" s="3">
        <f t="shared" ref="Q28" si="232">IFERROR(Q27-P27,"")</f>
        <v>1889640000</v>
      </c>
      <c r="R28" s="3">
        <f t="shared" ref="R28" si="233">IFERROR(R27-Q27,"")</f>
        <v>-1885249000</v>
      </c>
      <c r="S28" s="3">
        <f t="shared" ref="S28" si="234">IFERROR(S27-R27,"")</f>
        <v>1881874000</v>
      </c>
      <c r="T28" s="3">
        <f t="shared" ref="T28" si="235">IFERROR(T27-S27,"")</f>
        <v>992962000</v>
      </c>
      <c r="U28" s="3">
        <f t="shared" ref="U28" si="236">IFERROR(U27-T27,"")</f>
        <v>3414469224</v>
      </c>
      <c r="V28" s="3">
        <f t="shared" ref="V28" si="237">IFERROR(V27-U27,"")</f>
        <v>-6869071224</v>
      </c>
      <c r="W28" s="3">
        <f t="shared" ref="W28:X28" si="238">IFERROR(W27-V27,"")</f>
        <v>866545000</v>
      </c>
      <c r="X28" s="3">
        <f t="shared" si="238"/>
        <v>1313603000</v>
      </c>
    </row>
    <row r="29" spans="1:24" x14ac:dyDescent="0.25">
      <c r="A29" t="str">
        <f>Bilanço!A90</f>
        <v>FAALİYET KARI (ZARARI)</v>
      </c>
      <c r="B29" s="2">
        <f>IFERROR(VLOOKUP($A29,Bilanço!$A:$X,Analiz!B$1,0),"")</f>
        <v>397207000</v>
      </c>
      <c r="C29" s="2">
        <f>IFERROR(VLOOKUP($A29,Bilanço!$A:$X,Analiz!C$1,0),"")</f>
        <v>740598000</v>
      </c>
      <c r="D29" s="2">
        <f>IFERROR(VLOOKUP($A29,Bilanço!$A:$X,Analiz!D$1,0),"")</f>
        <v>1312480000</v>
      </c>
      <c r="E29" s="2">
        <f>IFERROR(VLOOKUP($A29,Bilanço!$A:$X,Analiz!E$1,0),"")</f>
        <v>1738516000</v>
      </c>
      <c r="F29" s="2">
        <f>IFERROR(VLOOKUP($A29,Bilanço!$A:$X,Analiz!F$1,0),"")</f>
        <v>497303000</v>
      </c>
      <c r="G29" s="2">
        <f>IFERROR(VLOOKUP($A29,Bilanço!$A:$X,Analiz!G$1,0),"")</f>
        <v>850574000</v>
      </c>
      <c r="H29" s="2">
        <f>IFERROR(VLOOKUP($A29,Bilanço!$A:$X,Analiz!H$1,0),"")</f>
        <v>1299879000</v>
      </c>
      <c r="I29" s="2">
        <f>IFERROR(VLOOKUP($A29,Bilanço!$A:$X,Analiz!I$1,0),"")</f>
        <v>2429990000</v>
      </c>
      <c r="J29" s="2">
        <f>IFERROR(VLOOKUP($A29,Bilanço!$A:$X,Analiz!J$1,0),"")</f>
        <v>1334594000</v>
      </c>
      <c r="K29" s="2">
        <f>IFERROR(VLOOKUP($A29,Bilanço!$A:$X,Analiz!K$1,0),"")</f>
        <v>2619713000</v>
      </c>
      <c r="L29" s="2">
        <f>IFERROR(VLOOKUP($A29,Bilanço!$A:$X,Analiz!L$1,0),"")</f>
        <v>4165585000</v>
      </c>
      <c r="M29" s="2">
        <f>IFERROR(VLOOKUP($A29,Bilanço!$A:$X,Analiz!M$1,0),"")</f>
        <v>7058007000</v>
      </c>
      <c r="N29" s="2">
        <f>IFERROR(VLOOKUP($A29,Bilanço!$A:$X,Analiz!N$1,0),"")</f>
        <v>3527709000</v>
      </c>
      <c r="O29" s="2">
        <f>IFERROR(VLOOKUP($A29,Bilanço!$A:$X,Analiz!O$1,0),"")</f>
        <v>8467601000</v>
      </c>
      <c r="P29" s="2">
        <f>IFERROR(VLOOKUP($A29,Bilanço!$A:$X,Analiz!P$1,0),"")</f>
        <v>11646314000</v>
      </c>
      <c r="Q29" s="2">
        <f>IFERROR(VLOOKUP($A29,Bilanço!$A:$X,Analiz!Q$1,0),"")</f>
        <v>15871436000</v>
      </c>
      <c r="R29" s="2">
        <f>IFERROR(VLOOKUP($A29,Bilanço!$A:$X,Analiz!R$1,0),"")</f>
        <v>5785593000</v>
      </c>
      <c r="S29" s="2">
        <f>IFERROR(VLOOKUP($A29,Bilanço!$A:$X,Analiz!S$1,0),"")</f>
        <v>9603445000</v>
      </c>
      <c r="T29" s="2">
        <f>IFERROR(VLOOKUP($A29,Bilanço!$A:$X,Analiz!T$1,0),"")</f>
        <v>13578327000</v>
      </c>
      <c r="U29" s="2">
        <f>IFERROR(VLOOKUP($A29,Bilanço!$A:$X,Analiz!U$1,0),"")</f>
        <v>17909096189</v>
      </c>
      <c r="V29" s="2">
        <f>IFERROR(VLOOKUP($A29,Bilanço!$A:$X,Analiz!V$1,0),"")</f>
        <v>5374605000</v>
      </c>
      <c r="W29" s="2">
        <f>IFERROR(VLOOKUP($A29,Bilanço!$A:$X,Analiz!W$1,0),"")</f>
        <v>8617784000</v>
      </c>
      <c r="X29" s="2">
        <f>IFERROR(VLOOKUP($A29,Bilanço!$A:$X,Analiz!X$1,0),"")</f>
        <v>13352178000</v>
      </c>
    </row>
    <row r="30" spans="1:24" x14ac:dyDescent="0.25">
      <c r="C30" s="3">
        <f>IFERROR(C29-B29,"")</f>
        <v>343391000</v>
      </c>
      <c r="D30" s="3">
        <f t="shared" ref="D30" si="239">IFERROR(D29-C29,"")</f>
        <v>571882000</v>
      </c>
      <c r="E30" s="3">
        <f t="shared" ref="E30" si="240">IFERROR(E29-D29,"")</f>
        <v>426036000</v>
      </c>
      <c r="F30" s="3">
        <f t="shared" ref="F30" si="241">IFERROR(F29-E29,"")</f>
        <v>-1241213000</v>
      </c>
      <c r="G30" s="3">
        <f t="shared" ref="G30" si="242">IFERROR(G29-F29,"")</f>
        <v>353271000</v>
      </c>
      <c r="H30" s="3">
        <f t="shared" ref="H30" si="243">IFERROR(H29-G29,"")</f>
        <v>449305000</v>
      </c>
      <c r="I30" s="3">
        <f t="shared" ref="I30" si="244">IFERROR(I29-H29,"")</f>
        <v>1130111000</v>
      </c>
      <c r="J30" s="3">
        <f t="shared" ref="J30" si="245">IFERROR(J29-I29,"")</f>
        <v>-1095396000</v>
      </c>
      <c r="K30" s="3">
        <f t="shared" ref="K30" si="246">IFERROR(K29-J29,"")</f>
        <v>1285119000</v>
      </c>
      <c r="L30" s="3">
        <f t="shared" ref="L30" si="247">IFERROR(L29-K29,"")</f>
        <v>1545872000</v>
      </c>
      <c r="M30" s="3">
        <f t="shared" ref="M30" si="248">IFERROR(M29-L29,"")</f>
        <v>2892422000</v>
      </c>
      <c r="N30" s="3">
        <f t="shared" ref="N30" si="249">IFERROR(N29-M29,"")</f>
        <v>-3530298000</v>
      </c>
      <c r="O30" s="3">
        <f t="shared" ref="O30" si="250">IFERROR(O29-N29,"")</f>
        <v>4939892000</v>
      </c>
      <c r="P30" s="3">
        <f t="shared" ref="P30" si="251">IFERROR(P29-O29,"")</f>
        <v>3178713000</v>
      </c>
      <c r="Q30" s="3">
        <f t="shared" ref="Q30" si="252">IFERROR(Q29-P29,"")</f>
        <v>4225122000</v>
      </c>
      <c r="R30" s="3">
        <f t="shared" ref="R30" si="253">IFERROR(R29-Q29,"")</f>
        <v>-10085843000</v>
      </c>
      <c r="S30" s="3">
        <f t="shared" ref="S30" si="254">IFERROR(S29-R29,"")</f>
        <v>3817852000</v>
      </c>
      <c r="T30" s="3">
        <f t="shared" ref="T30" si="255">IFERROR(T29-S29,"")</f>
        <v>3974882000</v>
      </c>
      <c r="U30" s="3">
        <f t="shared" ref="U30" si="256">IFERROR(U29-T29,"")</f>
        <v>4330769189</v>
      </c>
      <c r="V30" s="3">
        <f t="shared" ref="V30" si="257">IFERROR(V29-U29,"")</f>
        <v>-12534491189</v>
      </c>
      <c r="W30" s="3">
        <f t="shared" ref="W30:X30" si="258">IFERROR(W29-V29,"")</f>
        <v>3243179000</v>
      </c>
      <c r="X30" s="3">
        <f t="shared" si="258"/>
        <v>4734394000</v>
      </c>
    </row>
    <row r="31" spans="1:24" x14ac:dyDescent="0.25">
      <c r="A31" t="str">
        <f>Bilanço!A150</f>
        <v>FAVÖK</v>
      </c>
      <c r="B31" s="2">
        <f>IFERROR(VLOOKUP($A31,Bilanço!$A:$X,Analiz!B$1,0),"")</f>
        <v>415167000</v>
      </c>
      <c r="C31" s="2">
        <f>IFERROR(VLOOKUP($A31,Bilanço!$A:$X,Analiz!C$1,0),"")</f>
        <v>794946000</v>
      </c>
      <c r="D31" s="2">
        <f>IFERROR(VLOOKUP($A31,Bilanço!$A:$X,Analiz!D$1,0),"")</f>
        <v>1374511000</v>
      </c>
      <c r="E31" s="2">
        <f>IFERROR(VLOOKUP($A31,Bilanço!$A:$X,Analiz!E$1,0),"")</f>
        <v>1922060000</v>
      </c>
      <c r="F31" s="2">
        <f>IFERROR(VLOOKUP($A31,Bilanço!$A:$X,Analiz!F$1,0),"")</f>
        <v>546384000</v>
      </c>
      <c r="G31" s="2">
        <f>IFERROR(VLOOKUP($A31,Bilanço!$A:$X,Analiz!G$1,0),"")</f>
        <v>993008000</v>
      </c>
      <c r="H31" s="2">
        <f>IFERROR(VLOOKUP($A31,Bilanço!$A:$X,Analiz!H$1,0),"")</f>
        <v>1495751000</v>
      </c>
      <c r="I31" s="2">
        <f>IFERROR(VLOOKUP($A31,Bilanço!$A:$X,Analiz!I$1,0),"")</f>
        <v>2328359000</v>
      </c>
      <c r="J31" s="2">
        <f>IFERROR(VLOOKUP($A31,Bilanço!$A:$X,Analiz!J$1,0),"")</f>
        <v>1244625000</v>
      </c>
      <c r="K31" s="2">
        <f>IFERROR(VLOOKUP($A31,Bilanço!$A:$X,Analiz!K$1,0),"")</f>
        <v>2378996000</v>
      </c>
      <c r="L31" s="2">
        <f>IFERROR(VLOOKUP($A31,Bilanço!$A:$X,Analiz!L$1,0),"")</f>
        <v>3632746000</v>
      </c>
      <c r="M31" s="2">
        <f>IFERROR(VLOOKUP($A31,Bilanço!$A:$X,Analiz!M$1,0),"")</f>
        <v>6702904000</v>
      </c>
      <c r="N31" s="2">
        <f>IFERROR(VLOOKUP($A31,Bilanço!$A:$X,Analiz!N$1,0),"")</f>
        <v>3841997000</v>
      </c>
      <c r="O31" s="2">
        <f>IFERROR(VLOOKUP($A31,Bilanço!$A:$X,Analiz!O$1,0),"")</f>
        <v>7265239000</v>
      </c>
      <c r="P31" s="2">
        <f>IFERROR(VLOOKUP($A31,Bilanço!$A:$X,Analiz!P$1,0),"")</f>
        <v>11002053000</v>
      </c>
      <c r="Q31" s="2">
        <f>IFERROR(VLOOKUP($A31,Bilanço!$A:$X,Analiz!Q$1,0),"")</f>
        <v>15304999000</v>
      </c>
      <c r="R31" s="2">
        <f>IFERROR(VLOOKUP($A31,Bilanço!$A:$X,Analiz!R$1,0),"")</f>
        <v>5582526000</v>
      </c>
      <c r="S31" s="2">
        <f>IFERROR(VLOOKUP($A31,Bilanço!$A:$X,Analiz!S$1,0),"")</f>
        <v>9881632000</v>
      </c>
      <c r="T31" s="2">
        <f>IFERROR(VLOOKUP($A31,Bilanço!$A:$X,Analiz!T$1,0),"")</f>
        <v>14491393000</v>
      </c>
      <c r="U31" s="2">
        <f>IFERROR(VLOOKUP($A31,Bilanço!$A:$X,Analiz!U$1,0),"")</f>
        <v>19561942075</v>
      </c>
      <c r="V31" s="2">
        <f>IFERROR(VLOOKUP($A31,Bilanço!$A:$X,Analiz!V$1,0),"")</f>
        <v>5484460000</v>
      </c>
      <c r="W31" s="2">
        <f>IFERROR(VLOOKUP($A31,Bilanço!$A:$X,Analiz!W$1,0),"")</f>
        <v>9185725000</v>
      </c>
      <c r="X31" s="2">
        <f>IFERROR(VLOOKUP($A31,Bilanço!$A:$X,Analiz!X$1,0),"")</f>
        <v>14382507000</v>
      </c>
    </row>
    <row r="32" spans="1:24" x14ac:dyDescent="0.25">
      <c r="C32" s="3">
        <f>IFERROR(C31-B31,"")</f>
        <v>379779000</v>
      </c>
      <c r="D32" s="3">
        <f t="shared" ref="D32" si="259">IFERROR(D31-C31,"")</f>
        <v>579565000</v>
      </c>
      <c r="E32" s="3">
        <f t="shared" ref="E32" si="260">IFERROR(E31-D31,"")</f>
        <v>547549000</v>
      </c>
      <c r="F32" s="3">
        <f t="shared" ref="F32" si="261">IFERROR(F31-E31,"")</f>
        <v>-1375676000</v>
      </c>
      <c r="G32" s="3">
        <f t="shared" ref="G32" si="262">IFERROR(G31-F31,"")</f>
        <v>446624000</v>
      </c>
      <c r="H32" s="3">
        <f t="shared" ref="H32" si="263">IFERROR(H31-G31,"")</f>
        <v>502743000</v>
      </c>
      <c r="I32" s="3">
        <f t="shared" ref="I32" si="264">IFERROR(I31-H31,"")</f>
        <v>832608000</v>
      </c>
      <c r="J32" s="3">
        <f t="shared" ref="J32" si="265">IFERROR(J31-I31,"")</f>
        <v>-1083734000</v>
      </c>
      <c r="K32" s="3">
        <f t="shared" ref="K32" si="266">IFERROR(K31-J31,"")</f>
        <v>1134371000</v>
      </c>
      <c r="L32" s="3">
        <f t="shared" ref="L32" si="267">IFERROR(L31-K31,"")</f>
        <v>1253750000</v>
      </c>
      <c r="M32" s="3">
        <f t="shared" ref="M32" si="268">IFERROR(M31-L31,"")</f>
        <v>3070158000</v>
      </c>
      <c r="N32" s="3">
        <f t="shared" ref="N32" si="269">IFERROR(N31-M31,"")</f>
        <v>-2860907000</v>
      </c>
      <c r="O32" s="3">
        <f t="shared" ref="O32" si="270">IFERROR(O31-N31,"")</f>
        <v>3423242000</v>
      </c>
      <c r="P32" s="3">
        <f t="shared" ref="P32" si="271">IFERROR(P31-O31,"")</f>
        <v>3736814000</v>
      </c>
      <c r="Q32" s="3">
        <f t="shared" ref="Q32" si="272">IFERROR(Q31-P31,"")</f>
        <v>4302946000</v>
      </c>
      <c r="R32" s="3">
        <f t="shared" ref="R32" si="273">IFERROR(R31-Q31,"")</f>
        <v>-9722473000</v>
      </c>
      <c r="S32" s="3">
        <f t="shared" ref="S32" si="274">IFERROR(S31-R31,"")</f>
        <v>4299106000</v>
      </c>
      <c r="T32" s="3">
        <f t="shared" ref="T32" si="275">IFERROR(T31-S31,"")</f>
        <v>4609761000</v>
      </c>
      <c r="U32" s="3">
        <f t="shared" ref="U32" si="276">IFERROR(U31-T31,"")</f>
        <v>5070549075</v>
      </c>
      <c r="V32" s="3">
        <f t="shared" ref="V32" si="277">IFERROR(V31-U31,"")</f>
        <v>-14077482075</v>
      </c>
      <c r="W32" s="3">
        <f t="shared" ref="W32:X32" si="278">IFERROR(W31-V31,"")</f>
        <v>3701265000</v>
      </c>
      <c r="X32" s="3">
        <f t="shared" si="278"/>
        <v>5196782000</v>
      </c>
    </row>
    <row r="33" spans="1:24" x14ac:dyDescent="0.25">
      <c r="A33" t="str">
        <f>Data!A31</f>
        <v>TOPLAM VARLIKLAR</v>
      </c>
      <c r="B33" s="2">
        <f>IFERROR(VLOOKUP($A33,Bilanço!$A:$X,Analiz!B$1,0),"")</f>
        <v>13352306000</v>
      </c>
      <c r="C33" s="2">
        <f>IFERROR(VLOOKUP($A33,Bilanço!$A:$X,Analiz!C$1,0),"")</f>
        <v>14646534000</v>
      </c>
      <c r="D33" s="2">
        <f>IFERROR(VLOOKUP($A33,Bilanço!$A:$X,Analiz!D$1,0),"")</f>
        <v>16490984000</v>
      </c>
      <c r="E33" s="2">
        <f>IFERROR(VLOOKUP($A33,Bilanço!$A:$X,Analiz!E$1,0),"")</f>
        <v>19491674000</v>
      </c>
      <c r="F33" s="2">
        <f>IFERROR(VLOOKUP($A33,Bilanço!$A:$X,Analiz!F$1,0),"")</f>
        <v>20168907000</v>
      </c>
      <c r="G33" s="2">
        <f>IFERROR(VLOOKUP($A33,Bilanço!$A:$X,Analiz!G$1,0),"")</f>
        <v>20295531000</v>
      </c>
      <c r="H33" s="2">
        <f>IFERROR(VLOOKUP($A33,Bilanço!$A:$X,Analiz!H$1,0),"")</f>
        <v>18886371000</v>
      </c>
      <c r="I33" s="2">
        <f>IFERROR(VLOOKUP($A33,Bilanço!$A:$X,Analiz!I$1,0),"")</f>
        <v>26243625000</v>
      </c>
      <c r="J33" s="2">
        <f>IFERROR(VLOOKUP($A33,Bilanço!$A:$X,Analiz!J$1,0),"")</f>
        <v>28760684000</v>
      </c>
      <c r="K33" s="2">
        <f>IFERROR(VLOOKUP($A33,Bilanço!$A:$X,Analiz!K$1,0),"")</f>
        <v>31330846000</v>
      </c>
      <c r="L33" s="2">
        <f>IFERROR(VLOOKUP($A33,Bilanço!$A:$X,Analiz!L$1,0),"")</f>
        <v>34607753000</v>
      </c>
      <c r="M33" s="2">
        <f>IFERROR(VLOOKUP($A33,Bilanço!$A:$X,Analiz!M$1,0),"")</f>
        <v>66149172000</v>
      </c>
      <c r="N33" s="2">
        <f>IFERROR(VLOOKUP($A33,Bilanço!$A:$X,Analiz!N$1,0),"")</f>
        <v>41322972000</v>
      </c>
      <c r="O33" s="2">
        <f>IFERROR(VLOOKUP($A33,Bilanço!$A:$X,Analiz!O$1,0),"")</f>
        <v>44926068000</v>
      </c>
      <c r="P33" s="2">
        <f>IFERROR(VLOOKUP($A33,Bilanço!$A:$X,Analiz!P$1,0),"")</f>
        <v>48060699000</v>
      </c>
      <c r="Q33" s="2">
        <f>IFERROR(VLOOKUP($A33,Bilanço!$A:$X,Analiz!Q$1,0),"")</f>
        <v>88922371000</v>
      </c>
      <c r="R33" s="2">
        <f>IFERROR(VLOOKUP($A33,Bilanço!$A:$X,Analiz!R$1,0),"")</f>
        <v>70253658000</v>
      </c>
      <c r="S33" s="2">
        <f>IFERROR(VLOOKUP($A33,Bilanço!$A:$X,Analiz!S$1,0),"")</f>
        <v>76252568000</v>
      </c>
      <c r="T33" s="2">
        <f>IFERROR(VLOOKUP($A33,Bilanço!$A:$X,Analiz!T$1,0),"")</f>
        <v>89877783000</v>
      </c>
      <c r="U33" s="2">
        <f>IFERROR(VLOOKUP($A33,Bilanço!$A:$X,Analiz!U$1,0),"")</f>
        <v>122215375618</v>
      </c>
      <c r="V33" s="2">
        <f>IFERROR(VLOOKUP($A33,Bilanço!$A:$X,Analiz!V$1,0),"")</f>
        <v>112279639000</v>
      </c>
      <c r="W33" s="2">
        <f>IFERROR(VLOOKUP($A33,Bilanço!$A:$X,Analiz!W$1,0),"")</f>
        <v>121715463000</v>
      </c>
      <c r="X33" s="2">
        <f>IFERROR(VLOOKUP($A33,Bilanço!$A:$X,Analiz!X$1,0),"")</f>
        <v>129208588000</v>
      </c>
    </row>
    <row r="34" spans="1:24" x14ac:dyDescent="0.25">
      <c r="C34" s="3">
        <f>IFERROR(C33-B33,"")</f>
        <v>1294228000</v>
      </c>
      <c r="D34" s="3">
        <f t="shared" ref="D34" si="279">IFERROR(D33-C33,"")</f>
        <v>1844450000</v>
      </c>
      <c r="E34" s="3">
        <f t="shared" ref="E34" si="280">IFERROR(E33-D33,"")</f>
        <v>3000690000</v>
      </c>
      <c r="F34" s="3">
        <f t="shared" ref="F34" si="281">IFERROR(F33-E33,"")</f>
        <v>677233000</v>
      </c>
      <c r="G34" s="3">
        <f t="shared" ref="G34" si="282">IFERROR(G33-F33,"")</f>
        <v>126624000</v>
      </c>
      <c r="H34" s="3">
        <f t="shared" ref="H34" si="283">IFERROR(H33-G33,"")</f>
        <v>-1409160000</v>
      </c>
      <c r="I34" s="3">
        <f t="shared" ref="I34" si="284">IFERROR(I33-H33,"")</f>
        <v>7357254000</v>
      </c>
      <c r="J34" s="3">
        <f t="shared" ref="J34" si="285">IFERROR(J33-I33,"")</f>
        <v>2517059000</v>
      </c>
      <c r="K34" s="3">
        <f t="shared" ref="K34" si="286">IFERROR(K33-J33,"")</f>
        <v>2570162000</v>
      </c>
      <c r="L34" s="3">
        <f t="shared" ref="L34" si="287">IFERROR(L33-K33,"")</f>
        <v>3276907000</v>
      </c>
      <c r="M34" s="3">
        <f t="shared" ref="M34" si="288">IFERROR(M33-L33,"")</f>
        <v>31541419000</v>
      </c>
      <c r="N34" s="3">
        <f t="shared" ref="N34" si="289">IFERROR(N33-M33,"")</f>
        <v>-24826200000</v>
      </c>
      <c r="O34" s="3">
        <f t="shared" ref="O34" si="290">IFERROR(O33-N33,"")</f>
        <v>3603096000</v>
      </c>
      <c r="P34" s="3">
        <f t="shared" ref="P34" si="291">IFERROR(P33-O33,"")</f>
        <v>3134631000</v>
      </c>
      <c r="Q34" s="3">
        <f t="shared" ref="Q34" si="292">IFERROR(Q33-P33,"")</f>
        <v>40861672000</v>
      </c>
      <c r="R34" s="3">
        <f t="shared" ref="R34" si="293">IFERROR(R33-Q33,"")</f>
        <v>-18668713000</v>
      </c>
      <c r="S34" s="3">
        <f t="shared" ref="S34" si="294">IFERROR(S33-R33,"")</f>
        <v>5998910000</v>
      </c>
      <c r="T34" s="3">
        <f t="shared" ref="T34" si="295">IFERROR(T33-S33,"")</f>
        <v>13625215000</v>
      </c>
      <c r="U34" s="3">
        <f t="shared" ref="U34" si="296">IFERROR(U33-T33,"")</f>
        <v>32337592618</v>
      </c>
      <c r="V34" s="3">
        <f t="shared" ref="V34" si="297">IFERROR(V33-U33,"")</f>
        <v>-9935736618</v>
      </c>
      <c r="W34" s="3">
        <f t="shared" ref="W34:X34" si="298">IFERROR(W33-V33,"")</f>
        <v>9435824000</v>
      </c>
      <c r="X34" s="3">
        <f t="shared" si="298"/>
        <v>7493125000</v>
      </c>
    </row>
    <row r="35" spans="1:24" x14ac:dyDescent="0.25">
      <c r="A35" t="str">
        <f>Data!A62</f>
        <v xml:space="preserve">  Ödenmiş Sermaye</v>
      </c>
      <c r="B35" s="2">
        <f>IFERROR(VLOOKUP($A35,Bilanço!$A:$X,Analiz!B$1,0),"")</f>
        <v>342000000</v>
      </c>
      <c r="C35" s="2">
        <f>IFERROR(VLOOKUP($A35,Bilanço!$A:$X,Analiz!C$1,0),"")</f>
        <v>342000000</v>
      </c>
      <c r="D35" s="2">
        <f>IFERROR(VLOOKUP($A35,Bilanço!$A:$X,Analiz!D$1,0),"")</f>
        <v>342000000</v>
      </c>
      <c r="E35" s="2">
        <f>IFERROR(VLOOKUP($A35,Bilanço!$A:$X,Analiz!E$1,0),"")</f>
        <v>342000000</v>
      </c>
      <c r="F35" s="2">
        <f>IFERROR(VLOOKUP($A35,Bilanço!$A:$X,Analiz!F$1,0),"")</f>
        <v>342000000</v>
      </c>
      <c r="G35" s="2">
        <f>IFERROR(VLOOKUP($A35,Bilanço!$A:$X,Analiz!G$1,0),"")</f>
        <v>342000000</v>
      </c>
      <c r="H35" s="2">
        <f>IFERROR(VLOOKUP($A35,Bilanço!$A:$X,Analiz!H$1,0),"")</f>
        <v>342000000</v>
      </c>
      <c r="I35" s="2">
        <f>IFERROR(VLOOKUP($A35,Bilanço!$A:$X,Analiz!I$1,0),"")</f>
        <v>342000000</v>
      </c>
      <c r="J35" s="2">
        <f>IFERROR(VLOOKUP($A35,Bilanço!$A:$X,Analiz!J$1,0),"")</f>
        <v>342000000</v>
      </c>
      <c r="K35" s="2">
        <f>IFERROR(VLOOKUP($A35,Bilanço!$A:$X,Analiz!K$1,0),"")</f>
        <v>342000000</v>
      </c>
      <c r="L35" s="2">
        <f>IFERROR(VLOOKUP($A35,Bilanço!$A:$X,Analiz!L$1,0),"")</f>
        <v>342000000</v>
      </c>
      <c r="M35" s="2">
        <f>IFERROR(VLOOKUP($A35,Bilanço!$A:$X,Analiz!M$1,0),"")</f>
        <v>342000000</v>
      </c>
      <c r="N35" s="2">
        <f>IFERROR(VLOOKUP($A35,Bilanço!$A:$X,Analiz!N$1,0),"")</f>
        <v>342000000</v>
      </c>
      <c r="O35" s="2">
        <f>IFERROR(VLOOKUP($A35,Bilanço!$A:$X,Analiz!O$1,0),"")</f>
        <v>342000000</v>
      </c>
      <c r="P35" s="2">
        <f>IFERROR(VLOOKUP($A35,Bilanço!$A:$X,Analiz!P$1,0),"")</f>
        <v>369276000</v>
      </c>
      <c r="Q35" s="2">
        <f>IFERROR(VLOOKUP($A35,Bilanço!$A:$X,Analiz!Q$1,0),"")</f>
        <v>369276000</v>
      </c>
      <c r="R35" s="2">
        <f>IFERROR(VLOOKUP($A35,Bilanço!$A:$X,Analiz!R$1,0),"")</f>
        <v>369276000</v>
      </c>
      <c r="S35" s="2">
        <f>IFERROR(VLOOKUP($A35,Bilanço!$A:$X,Analiz!S$1,0),"")</f>
        <v>369276000</v>
      </c>
      <c r="T35" s="2">
        <f>IFERROR(VLOOKUP($A35,Bilanço!$A:$X,Analiz!T$1,0),"")</f>
        <v>369276000</v>
      </c>
      <c r="U35" s="2">
        <f>IFERROR(VLOOKUP($A35,Bilanço!$A:$X,Analiz!U$1,0),"")</f>
        <v>369276000</v>
      </c>
      <c r="V35" s="2">
        <f>IFERROR(VLOOKUP($A35,Bilanço!$A:$X,Analiz!V$1,0),"")</f>
        <v>369276000</v>
      </c>
      <c r="W35" s="2">
        <f>IFERROR(VLOOKUP($A35,Bilanço!$A:$X,Analiz!W$1,0),"")</f>
        <v>369276000</v>
      </c>
      <c r="X35" s="2">
        <f>IFERROR(VLOOKUP($A35,Bilanço!$A:$X,Analiz!X$1,0),"")</f>
        <v>369276000</v>
      </c>
    </row>
    <row r="36" spans="1:24" x14ac:dyDescent="0.25">
      <c r="A36" t="str">
        <f>Bilanço!A151</f>
        <v>HBK</v>
      </c>
      <c r="B36" s="6">
        <f>IFERROR(B27/B35,"")</f>
        <v>-0.28740350877192983</v>
      </c>
      <c r="C36" s="6">
        <f t="shared" ref="C36:S36" si="299">IFERROR(C27/C35,"")</f>
        <v>1.1875760233918129</v>
      </c>
      <c r="D36" s="6">
        <f t="shared" si="299"/>
        <v>1.9927865497076023</v>
      </c>
      <c r="E36" s="6">
        <f t="shared" si="299"/>
        <v>3.1619707602339182</v>
      </c>
      <c r="F36" s="6">
        <f t="shared" si="299"/>
        <v>1.2606637426900584</v>
      </c>
      <c r="G36" s="6">
        <f t="shared" si="299"/>
        <v>1.9070087719298245</v>
      </c>
      <c r="H36" s="6">
        <f t="shared" si="299"/>
        <v>1.9141929824561403</v>
      </c>
      <c r="I36" s="6">
        <f t="shared" si="299"/>
        <v>-1.3576959064327485</v>
      </c>
      <c r="J36" s="6">
        <f t="shared" si="299"/>
        <v>-1.3763304093567252</v>
      </c>
      <c r="K36" s="6">
        <f t="shared" si="299"/>
        <v>-3.2729239766081872</v>
      </c>
      <c r="L36" s="6">
        <f t="shared" si="299"/>
        <v>-3.9076549707602339</v>
      </c>
      <c r="M36" s="6">
        <f t="shared" si="299"/>
        <v>2.8795116959064329</v>
      </c>
      <c r="N36" s="6">
        <f t="shared" si="299"/>
        <v>7.0553596491228072</v>
      </c>
      <c r="O36" s="6">
        <f>IFERROR(O27/O35,"")</f>
        <v>-0.18614035087719299</v>
      </c>
      <c r="P36" s="6">
        <f t="shared" si="299"/>
        <v>8.093520835364334</v>
      </c>
      <c r="Q36" s="6">
        <f t="shared" si="299"/>
        <v>13.210668984716039</v>
      </c>
      <c r="R36" s="6">
        <f t="shared" si="299"/>
        <v>8.1054116704037096</v>
      </c>
      <c r="S36" s="6">
        <f t="shared" si="299"/>
        <v>13.201529479305451</v>
      </c>
      <c r="T36" s="6">
        <f>IFERROR(T27/T35,"")</f>
        <v>15.890472167159523</v>
      </c>
      <c r="U36" s="6">
        <f t="shared" ref="U36:V36" si="300">IFERROR(U27/U35,"")</f>
        <v>25.136860299613296</v>
      </c>
      <c r="V36" s="6">
        <f t="shared" si="300"/>
        <v>6.5354044129594122</v>
      </c>
      <c r="W36" s="6">
        <f>IFERROR(W27/W35,"")</f>
        <v>8.88200966214972</v>
      </c>
      <c r="X36" s="6">
        <f>IFERROR(X27/X35,"")</f>
        <v>12.439248692035227</v>
      </c>
    </row>
    <row r="37" spans="1:24" x14ac:dyDescent="0.25">
      <c r="C37" s="3"/>
      <c r="D37" s="3"/>
      <c r="E37" s="3"/>
      <c r="F37" s="3"/>
      <c r="G37" s="3"/>
    </row>
    <row r="38" spans="1:24" x14ac:dyDescent="0.25">
      <c r="A38" t="str">
        <f>Data!A4</f>
        <v xml:space="preserve">  Nakit ve Nakit Benzerleri</v>
      </c>
      <c r="B38" s="6">
        <f>IFERROR(VLOOKUP($A38,Bilanço!$A:$X,Analiz!B$1,0),"")</f>
        <v>1219355000</v>
      </c>
      <c r="C38" s="6">
        <f>IFERROR(VLOOKUP($A38,Bilanço!$A:$X,Analiz!C$1,0),"")</f>
        <v>2956000000</v>
      </c>
      <c r="D38" s="6">
        <f>IFERROR(VLOOKUP($A38,Bilanço!$A:$X,Analiz!D$1,0),"")</f>
        <v>3532368000</v>
      </c>
      <c r="E38" s="6">
        <f>IFERROR(VLOOKUP($A38,Bilanço!$A:$X,Analiz!E$1,0),"")</f>
        <v>3835520000</v>
      </c>
      <c r="F38" s="6">
        <f>IFERROR(VLOOKUP($A38,Bilanço!$A:$X,Analiz!F$1,0),"")</f>
        <v>3367634000</v>
      </c>
      <c r="G38" s="6">
        <f>IFERROR(VLOOKUP($A38,Bilanço!$A:$X,Analiz!G$1,0),"")</f>
        <v>2762136000</v>
      </c>
      <c r="H38" s="6">
        <f>IFERROR(VLOOKUP($A38,Bilanço!$A:$X,Analiz!H$1,0),"")</f>
        <v>2862609000</v>
      </c>
      <c r="I38" s="6">
        <f>IFERROR(VLOOKUP($A38,Bilanço!$A:$X,Analiz!I$1,0),"")</f>
        <v>3004834000</v>
      </c>
      <c r="J38" s="6">
        <f>IFERROR(VLOOKUP($A38,Bilanço!$A:$X,Analiz!J$1,0),"")</f>
        <v>2985113000</v>
      </c>
      <c r="K38" s="6">
        <f>IFERROR(VLOOKUP($A38,Bilanço!$A:$X,Analiz!K$1,0),"")</f>
        <v>3324052000</v>
      </c>
      <c r="L38" s="6">
        <f>IFERROR(VLOOKUP($A38,Bilanço!$A:$X,Analiz!L$1,0),"")</f>
        <v>3765411000</v>
      </c>
      <c r="M38" s="6">
        <f>IFERROR(VLOOKUP($A38,Bilanço!$A:$X,Analiz!M$1,0),"")</f>
        <v>15249460000</v>
      </c>
      <c r="N38" s="6">
        <f>IFERROR(VLOOKUP($A38,Bilanço!$A:$X,Analiz!N$1,0),"")</f>
        <v>9861492000</v>
      </c>
      <c r="O38" s="6">
        <f>IFERROR(VLOOKUP($A38,Bilanço!$A:$X,Analiz!O$1,0),"")</f>
        <v>8758014000</v>
      </c>
      <c r="P38" s="6">
        <f>IFERROR(VLOOKUP($A38,Bilanço!$A:$X,Analiz!P$1,0),"")</f>
        <v>9682950000</v>
      </c>
      <c r="Q38" s="6">
        <f>IFERROR(VLOOKUP($A38,Bilanço!$A:$X,Analiz!Q$1,0),"")</f>
        <v>16830554000</v>
      </c>
      <c r="R38" s="6">
        <f>IFERROR(VLOOKUP($A38,Bilanço!$A:$X,Analiz!R$1,0),"")</f>
        <v>12662493000</v>
      </c>
      <c r="S38" s="6">
        <f>IFERROR(VLOOKUP($A38,Bilanço!$A:$X,Analiz!S$1,0),"")</f>
        <v>16724845000</v>
      </c>
      <c r="T38" s="6">
        <f>IFERROR(VLOOKUP($A38,Bilanço!$A:$X,Analiz!T$1,0),"")</f>
        <v>23329331000</v>
      </c>
      <c r="U38" s="6">
        <f>IFERROR(VLOOKUP($A38,Bilanço!$A:$X,Analiz!U$1,0),"")</f>
        <v>32998196584</v>
      </c>
      <c r="V38" s="6">
        <f>IFERROR(VLOOKUP($A38,Bilanço!$A:$X,Analiz!V$1,0),"")</f>
        <v>23936928000</v>
      </c>
      <c r="W38" s="6">
        <f>IFERROR(VLOOKUP($A38,Bilanço!$A:$X,Analiz!W$1,0),"")</f>
        <v>27391388000</v>
      </c>
      <c r="X38" s="6">
        <f>IFERROR(VLOOKUP($A38,Bilanço!$A:$X,Analiz!X$1,0),"")</f>
        <v>29570256000</v>
      </c>
    </row>
    <row r="39" spans="1:24" x14ac:dyDescent="0.25">
      <c r="A39" t="str">
        <f>Data!A5</f>
        <v xml:space="preserve">  Finansal Yatırımlar</v>
      </c>
      <c r="B39" s="6">
        <f>IFERROR(VLOOKUP($A39,Bilanço!$A:$X,Analiz!B$1,0),"")</f>
        <v>3820230000</v>
      </c>
      <c r="C39" s="6">
        <f>IFERROR(VLOOKUP($A39,Bilanço!$A:$X,Analiz!C$1,0),"")</f>
        <v>3605728000</v>
      </c>
      <c r="D39" s="6">
        <f>IFERROR(VLOOKUP($A39,Bilanço!$A:$X,Analiz!D$1,0),"")</f>
        <v>2374641000</v>
      </c>
      <c r="E39" s="6">
        <f>IFERROR(VLOOKUP($A39,Bilanço!$A:$X,Analiz!E$1,0),"")</f>
        <v>3639474000</v>
      </c>
      <c r="F39" s="6">
        <f>IFERROR(VLOOKUP($A39,Bilanço!$A:$X,Analiz!F$1,0),"")</f>
        <v>5597490000</v>
      </c>
      <c r="G39" s="6">
        <f>IFERROR(VLOOKUP($A39,Bilanço!$A:$X,Analiz!G$1,0),"")</f>
        <v>6005890000</v>
      </c>
      <c r="H39" s="6">
        <f>IFERROR(VLOOKUP($A39,Bilanço!$A:$X,Analiz!H$1,0),"")</f>
        <v>4277960000</v>
      </c>
      <c r="I39" s="6">
        <f>IFERROR(VLOOKUP($A39,Bilanço!$A:$X,Analiz!I$1,0),"")</f>
        <v>6414869000</v>
      </c>
      <c r="J39" s="6">
        <f>IFERROR(VLOOKUP($A39,Bilanço!$A:$X,Analiz!J$1,0),"")</f>
        <v>6345108000</v>
      </c>
      <c r="K39" s="6">
        <f>IFERROR(VLOOKUP($A39,Bilanço!$A:$X,Analiz!K$1,0),"")</f>
        <v>6366126000</v>
      </c>
      <c r="L39" s="6">
        <f>IFERROR(VLOOKUP($A39,Bilanço!$A:$X,Analiz!L$1,0),"")</f>
        <v>5721346000</v>
      </c>
      <c r="M39" s="6">
        <f>IFERROR(VLOOKUP($A39,Bilanço!$A:$X,Analiz!M$1,0),"")</f>
        <v>346842000</v>
      </c>
      <c r="N39" s="6">
        <f>IFERROR(VLOOKUP($A39,Bilanço!$A:$X,Analiz!N$1,0),"")</f>
        <v>3200000</v>
      </c>
      <c r="O39" s="6">
        <f>IFERROR(VLOOKUP($A39,Bilanço!$A:$X,Analiz!O$1,0),"")</f>
        <v>3957000</v>
      </c>
      <c r="P39" s="6">
        <f>IFERROR(VLOOKUP($A39,Bilanço!$A:$X,Analiz!P$1,0),"")</f>
        <v>3565000</v>
      </c>
      <c r="Q39" s="6">
        <f>IFERROR(VLOOKUP($A39,Bilanço!$A:$X,Analiz!Q$1,0),"")</f>
        <v>6107000</v>
      </c>
      <c r="R39" s="6">
        <f>IFERROR(VLOOKUP($A39,Bilanço!$A:$X,Analiz!R$1,0),"")</f>
        <v>4594000</v>
      </c>
      <c r="S39" s="6">
        <f>IFERROR(VLOOKUP($A39,Bilanço!$A:$X,Analiz!S$1,0),"")</f>
        <v>4664000</v>
      </c>
      <c r="T39" s="6">
        <f>IFERROR(VLOOKUP($A39,Bilanço!$A:$X,Analiz!T$1,0),"")</f>
        <v>4825000</v>
      </c>
      <c r="U39" s="6">
        <f>IFERROR(VLOOKUP($A39,Bilanço!$A:$X,Analiz!U$1,0),"")</f>
        <v>6827132</v>
      </c>
      <c r="V39" s="6">
        <f>IFERROR(VLOOKUP($A39,Bilanço!$A:$X,Analiz!V$1,0),"")</f>
        <v>5768000</v>
      </c>
      <c r="W39" s="6">
        <f>IFERROR(VLOOKUP($A39,Bilanço!$A:$X,Analiz!W$1,0),"")</f>
        <v>6021000</v>
      </c>
      <c r="X39" s="6">
        <f>IFERROR(VLOOKUP($A39,Bilanço!$A:$X,Analiz!X$1,0),"")</f>
        <v>6245000</v>
      </c>
    </row>
    <row r="40" spans="1:24" x14ac:dyDescent="0.25">
      <c r="A40" t="s">
        <v>142</v>
      </c>
      <c r="B40" s="2">
        <f>IFERROR(B38+B39,"")</f>
        <v>5039585000</v>
      </c>
      <c r="C40" s="2">
        <f t="shared" ref="C40:X40" si="301">IFERROR(C38+C39,"")</f>
        <v>6561728000</v>
      </c>
      <c r="D40" s="2">
        <f t="shared" si="301"/>
        <v>5907009000</v>
      </c>
      <c r="E40" s="2">
        <f t="shared" si="301"/>
        <v>7474994000</v>
      </c>
      <c r="F40" s="2">
        <f t="shared" si="301"/>
        <v>8965124000</v>
      </c>
      <c r="G40" s="2">
        <f t="shared" si="301"/>
        <v>8768026000</v>
      </c>
      <c r="H40" s="2">
        <f t="shared" si="301"/>
        <v>7140569000</v>
      </c>
      <c r="I40" s="2">
        <f t="shared" si="301"/>
        <v>9419703000</v>
      </c>
      <c r="J40" s="2">
        <f t="shared" si="301"/>
        <v>9330221000</v>
      </c>
      <c r="K40" s="2">
        <f t="shared" si="301"/>
        <v>9690178000</v>
      </c>
      <c r="L40" s="2">
        <f t="shared" si="301"/>
        <v>9486757000</v>
      </c>
      <c r="M40" s="2">
        <f t="shared" si="301"/>
        <v>15596302000</v>
      </c>
      <c r="N40" s="2">
        <f t="shared" si="301"/>
        <v>9864692000</v>
      </c>
      <c r="O40" s="2">
        <f t="shared" si="301"/>
        <v>8761971000</v>
      </c>
      <c r="P40" s="2">
        <f t="shared" si="301"/>
        <v>9686515000</v>
      </c>
      <c r="Q40" s="2">
        <f t="shared" si="301"/>
        <v>16836661000</v>
      </c>
      <c r="R40" s="2">
        <f t="shared" si="301"/>
        <v>12667087000</v>
      </c>
      <c r="S40" s="2">
        <f t="shared" si="301"/>
        <v>16729509000</v>
      </c>
      <c r="T40" s="2">
        <f t="shared" si="301"/>
        <v>23334156000</v>
      </c>
      <c r="U40" s="2">
        <f t="shared" si="301"/>
        <v>33005023716</v>
      </c>
      <c r="V40" s="2">
        <f t="shared" si="301"/>
        <v>23942696000</v>
      </c>
      <c r="W40" s="2">
        <f t="shared" si="301"/>
        <v>27397409000</v>
      </c>
      <c r="X40" s="2">
        <f t="shared" si="301"/>
        <v>29576501000</v>
      </c>
    </row>
    <row r="41" spans="1:24" x14ac:dyDescent="0.25">
      <c r="A41" t="s">
        <v>143</v>
      </c>
      <c r="B41" s="6">
        <f>IFERROR(B40/B17,"")</f>
        <v>0.67899736705174196</v>
      </c>
      <c r="C41" s="6">
        <f t="shared" ref="C41:V41" si="302">IFERROR(C40/C17,"")</f>
        <v>1.3229223643025994</v>
      </c>
      <c r="D41" s="6">
        <f t="shared" si="302"/>
        <v>1.0496104080254294</v>
      </c>
      <c r="E41" s="6">
        <f t="shared" si="302"/>
        <v>2.3137489417878871</v>
      </c>
      <c r="F41" s="6">
        <f t="shared" si="302"/>
        <v>3.0230337485943002</v>
      </c>
      <c r="G41" s="6">
        <f t="shared" si="302"/>
        <v>3.0256075093368078</v>
      </c>
      <c r="H41" s="6">
        <f t="shared" si="302"/>
        <v>1.6961511364019661</v>
      </c>
      <c r="I41" s="6">
        <f t="shared" si="302"/>
        <v>1.5355986464135143</v>
      </c>
      <c r="J41" s="6">
        <f t="shared" si="302"/>
        <v>1.2856442275390321</v>
      </c>
      <c r="K41" s="6">
        <f>IFERROR(K40/K17,"")</f>
        <v>0.64207024026635418</v>
      </c>
      <c r="L41" s="6">
        <f t="shared" si="302"/>
        <v>0.57361625365480373</v>
      </c>
      <c r="M41" s="6">
        <f t="shared" si="302"/>
        <v>0.56049832640798036</v>
      </c>
      <c r="N41" s="6">
        <f t="shared" si="302"/>
        <v>0.52515079724798552</v>
      </c>
      <c r="O41" s="6">
        <f t="shared" si="302"/>
        <v>0.73428038105607329</v>
      </c>
      <c r="P41" s="6">
        <f t="shared" si="302"/>
        <v>0.75695815899058438</v>
      </c>
      <c r="Q41" s="6">
        <f t="shared" si="302"/>
        <v>0.75490911539836658</v>
      </c>
      <c r="R41" s="6">
        <f t="shared" si="302"/>
        <v>0.74065825104113603</v>
      </c>
      <c r="S41" s="6">
        <f t="shared" si="302"/>
        <v>1.0159782296135678</v>
      </c>
      <c r="T41" s="6">
        <f t="shared" si="302"/>
        <v>1.3188426275302234</v>
      </c>
      <c r="U41" s="6">
        <f t="shared" si="302"/>
        <v>0.92508839082819283</v>
      </c>
      <c r="V41" s="6">
        <f t="shared" si="302"/>
        <v>0.70455827596052711</v>
      </c>
      <c r="W41" s="6">
        <f>IFERROR(W40/W17,"")</f>
        <v>0.46866260550930783</v>
      </c>
      <c r="X41" s="6">
        <f>IFERROR(X40/X17,"")</f>
        <v>0.48617187768526471</v>
      </c>
    </row>
    <row r="42" spans="1:24" x14ac:dyDescent="0.25">
      <c r="A42" t="s">
        <v>140</v>
      </c>
      <c r="B42" s="5">
        <f>IFERROR(B5/B17,"")</f>
        <v>1.2428461602096874</v>
      </c>
      <c r="C42" s="5">
        <f t="shared" ref="C42:X42" si="303">IFERROR(C5/C17,"")</f>
        <v>2.0763635263935161</v>
      </c>
      <c r="D42" s="5">
        <f t="shared" si="303"/>
        <v>2.1194270738658423</v>
      </c>
      <c r="E42" s="5">
        <f t="shared" si="303"/>
        <v>4.5504649942659219</v>
      </c>
      <c r="F42" s="5">
        <f t="shared" si="303"/>
        <v>5.1812011377105174</v>
      </c>
      <c r="G42" s="5">
        <f t="shared" si="303"/>
        <v>5.3159279750194877</v>
      </c>
      <c r="H42" s="5">
        <f t="shared" si="303"/>
        <v>3.2905819330116444</v>
      </c>
      <c r="I42" s="5">
        <f t="shared" si="303"/>
        <v>3.0590578560736796</v>
      </c>
      <c r="J42" s="5">
        <f t="shared" si="303"/>
        <v>2.887403382611061</v>
      </c>
      <c r="K42" s="5">
        <f t="shared" si="303"/>
        <v>1.4900211925669113</v>
      </c>
      <c r="L42" s="5">
        <f t="shared" si="303"/>
        <v>1.5160706153178993</v>
      </c>
      <c r="M42" s="5">
        <f t="shared" si="303"/>
        <v>1.501241546597547</v>
      </c>
      <c r="N42" s="5">
        <f t="shared" si="303"/>
        <v>1.5176398682871095</v>
      </c>
      <c r="O42" s="5">
        <f t="shared" si="303"/>
        <v>2.4386100349861204</v>
      </c>
      <c r="P42" s="5">
        <f t="shared" si="303"/>
        <v>2.4448591629422491</v>
      </c>
      <c r="Q42" s="5">
        <f t="shared" si="303"/>
        <v>2.3943854740312225</v>
      </c>
      <c r="R42" s="5">
        <f t="shared" si="303"/>
        <v>2.5449060229421807</v>
      </c>
      <c r="S42" s="5">
        <f t="shared" si="303"/>
        <v>2.90808855970687</v>
      </c>
      <c r="T42" s="5">
        <f t="shared" si="303"/>
        <v>3.3269228160623037</v>
      </c>
      <c r="U42" s="5">
        <f t="shared" si="303"/>
        <v>2.2890394640930865</v>
      </c>
      <c r="V42" s="5">
        <f t="shared" si="303"/>
        <v>2.2742515330582922</v>
      </c>
      <c r="W42" s="5">
        <f t="shared" si="303"/>
        <v>1.4483420048391424</v>
      </c>
      <c r="X42" s="5">
        <f t="shared" si="303"/>
        <v>1.4807737944646548</v>
      </c>
    </row>
    <row r="43" spans="1:24" x14ac:dyDescent="0.25">
      <c r="A43" t="s">
        <v>141</v>
      </c>
      <c r="B43" s="3">
        <f>IFERROR(B5-B17,"")</f>
        <v>1802428000</v>
      </c>
      <c r="C43" s="3">
        <f t="shared" ref="C43:X43" si="304">IFERROR(C5-C17,"")</f>
        <v>5338790000</v>
      </c>
      <c r="D43" s="3">
        <f t="shared" si="304"/>
        <v>6299924000</v>
      </c>
      <c r="E43" s="3">
        <f t="shared" si="304"/>
        <v>11470434000</v>
      </c>
      <c r="F43" s="3">
        <f t="shared" si="304"/>
        <v>12399791000</v>
      </c>
      <c r="G43" s="3">
        <f t="shared" si="304"/>
        <v>12507296000</v>
      </c>
      <c r="H43" s="3">
        <f t="shared" si="304"/>
        <v>9643043000</v>
      </c>
      <c r="I43" s="3">
        <f t="shared" si="304"/>
        <v>12630718000</v>
      </c>
      <c r="J43" s="3">
        <f t="shared" si="304"/>
        <v>13697328000</v>
      </c>
      <c r="K43" s="3">
        <f t="shared" si="304"/>
        <v>7395441000</v>
      </c>
      <c r="L43" s="3">
        <f t="shared" si="304"/>
        <v>8535038000</v>
      </c>
      <c r="M43" s="3">
        <f t="shared" si="304"/>
        <v>13947436000</v>
      </c>
      <c r="N43" s="3">
        <f t="shared" si="304"/>
        <v>9723603000</v>
      </c>
      <c r="O43" s="3">
        <f t="shared" si="304"/>
        <v>17166548000</v>
      </c>
      <c r="P43" s="3">
        <f t="shared" si="304"/>
        <v>18489331000</v>
      </c>
      <c r="Q43" s="3">
        <f t="shared" si="304"/>
        <v>31098837000</v>
      </c>
      <c r="R43" s="3">
        <f t="shared" si="304"/>
        <v>26421712000</v>
      </c>
      <c r="S43" s="3">
        <f t="shared" si="304"/>
        <v>31419359000</v>
      </c>
      <c r="T43" s="3">
        <f t="shared" si="304"/>
        <v>41170022000</v>
      </c>
      <c r="U43" s="3">
        <f t="shared" si="304"/>
        <v>45989959992</v>
      </c>
      <c r="V43" s="3">
        <f t="shared" si="304"/>
        <v>43302333000</v>
      </c>
      <c r="W43" s="3">
        <f t="shared" si="304"/>
        <v>26209493000</v>
      </c>
      <c r="X43" s="3">
        <f t="shared" si="304"/>
        <v>29248106000</v>
      </c>
    </row>
    <row r="44" spans="1:24" x14ac:dyDescent="0.25">
      <c r="A44" t="s">
        <v>144</v>
      </c>
      <c r="B44" s="4">
        <f>IFERROR((B17+B19)/(B5+B13),"")</f>
        <v>0.63076685031035085</v>
      </c>
      <c r="C44" s="4">
        <f t="shared" ref="C44:V44" si="305">IFERROR((C17+C19)/(C5+C13),"")</f>
        <v>0.61569187631694977</v>
      </c>
      <c r="D44" s="4">
        <f t="shared" si="305"/>
        <v>0.62771317951675898</v>
      </c>
      <c r="E44" s="4">
        <f t="shared" si="305"/>
        <v>0.65027667710838999</v>
      </c>
      <c r="F44" s="4">
        <f t="shared" si="305"/>
        <v>0.64800492163506929</v>
      </c>
      <c r="G44" s="4">
        <f t="shared" si="305"/>
        <v>0.64999802173197641</v>
      </c>
      <c r="H44" s="4">
        <f t="shared" si="305"/>
        <v>0.80334808629990373</v>
      </c>
      <c r="I44" s="4">
        <f t="shared" si="305"/>
        <v>0.83562095556539917</v>
      </c>
      <c r="J44" s="4">
        <f t="shared" si="305"/>
        <v>0.85762480475081881</v>
      </c>
      <c r="K44" s="4">
        <f t="shared" si="305"/>
        <v>0.86489011500040569</v>
      </c>
      <c r="L44" s="4">
        <f t="shared" si="305"/>
        <v>0.86850200878398554</v>
      </c>
      <c r="M44" s="4">
        <f t="shared" si="305"/>
        <v>0.76351759928302654</v>
      </c>
      <c r="N44" s="4">
        <f t="shared" si="305"/>
        <v>0.78892026449598063</v>
      </c>
      <c r="O44" s="4">
        <f t="shared" si="305"/>
        <v>0.80769908463834406</v>
      </c>
      <c r="P44" s="4">
        <f t="shared" si="305"/>
        <v>0.78133813659264506</v>
      </c>
      <c r="Q44" s="4">
        <f t="shared" si="305"/>
        <v>0.67848533863317706</v>
      </c>
      <c r="R44" s="4">
        <f t="shared" si="305"/>
        <v>0.6656908740609635</v>
      </c>
      <c r="S44" s="4">
        <f t="shared" si="305"/>
        <v>0.6589013238216449</v>
      </c>
      <c r="T44" s="4">
        <f t="shared" si="305"/>
        <v>0.67681766249174169</v>
      </c>
      <c r="U44" s="4">
        <f t="shared" si="305"/>
        <v>0.65643493886365123</v>
      </c>
      <c r="V44" s="4">
        <f t="shared" si="305"/>
        <v>0.65108061132971762</v>
      </c>
      <c r="W44" s="4">
        <f>IFERROR((W17+W19)/(W5+W13),"")</f>
        <v>0.68472736286596547</v>
      </c>
      <c r="X44" s="4">
        <f>IFERROR((X17+X19)/(X5+X13),"")</f>
        <v>0.67042764990203285</v>
      </c>
    </row>
    <row r="45" spans="1:24" x14ac:dyDescent="0.25">
      <c r="A45" t="s">
        <v>145</v>
      </c>
      <c r="B45" s="4">
        <f>IFERROR(B15/(B17+B19),"")</f>
        <v>0.51304351646222268</v>
      </c>
      <c r="C45" s="4">
        <f t="shared" ref="C45:X45" si="306">IFERROR(C15/(C17+C19),"")</f>
        <v>0.55124503313020801</v>
      </c>
      <c r="D45" s="4">
        <f t="shared" si="306"/>
        <v>0.51901492019404138</v>
      </c>
      <c r="E45" s="4">
        <f t="shared" si="306"/>
        <v>0.47627527015622351</v>
      </c>
      <c r="F45" s="4">
        <f t="shared" si="306"/>
        <v>0.47948242445360212</v>
      </c>
      <c r="G45" s="4">
        <f t="shared" si="306"/>
        <v>0.47242950397038219</v>
      </c>
      <c r="H45" s="4">
        <f t="shared" si="306"/>
        <v>0.1845997944943196</v>
      </c>
      <c r="I45" s="4">
        <f t="shared" si="306"/>
        <v>0.1361947891453075</v>
      </c>
      <c r="J45" s="4">
        <f t="shared" si="306"/>
        <v>0.10492884988151242</v>
      </c>
      <c r="K45" s="4">
        <f t="shared" si="306"/>
        <v>9.2881291682675074E-2</v>
      </c>
      <c r="L45" s="4">
        <f t="shared" si="306"/>
        <v>9.0969951228840842E-2</v>
      </c>
      <c r="M45" s="4">
        <f t="shared" si="306"/>
        <v>0.23830523931020789</v>
      </c>
      <c r="N45" s="4">
        <f t="shared" si="306"/>
        <v>0.19974656853738268</v>
      </c>
      <c r="O45" s="4">
        <f t="shared" si="306"/>
        <v>0.16282166291910896</v>
      </c>
      <c r="P45" s="4">
        <f t="shared" si="306"/>
        <v>0.23691117012492952</v>
      </c>
      <c r="Q45" s="4">
        <f t="shared" si="306"/>
        <v>0.4300654249096984</v>
      </c>
      <c r="R45" s="4">
        <f t="shared" si="306"/>
        <v>0.45774220613802158</v>
      </c>
      <c r="S45" s="4">
        <f t="shared" si="306"/>
        <v>0.48022620819913364</v>
      </c>
      <c r="T45" s="4">
        <f t="shared" si="306"/>
        <v>0.44410697325047344</v>
      </c>
      <c r="U45" s="4">
        <f t="shared" si="306"/>
        <v>0.48908868979615017</v>
      </c>
      <c r="V45" s="4">
        <f t="shared" si="306"/>
        <v>0.50135608483668048</v>
      </c>
      <c r="W45" s="4">
        <f t="shared" si="306"/>
        <v>0.43335528147495733</v>
      </c>
      <c r="X45" s="4">
        <f t="shared" si="306"/>
        <v>0.46350825240885973</v>
      </c>
    </row>
    <row r="46" spans="1:24" x14ac:dyDescent="0.25">
      <c r="B46" s="4"/>
      <c r="C46" s="4"/>
      <c r="D46" s="4"/>
      <c r="E46" s="4"/>
      <c r="F46" s="4"/>
      <c r="G46" s="4"/>
    </row>
    <row r="47" spans="1:24" x14ac:dyDescent="0.25">
      <c r="A47" t="s">
        <v>146</v>
      </c>
      <c r="B47" s="4">
        <f>IFERROR(B23/B21,"")</f>
        <v>0.30144908140393228</v>
      </c>
      <c r="C47" s="4">
        <f t="shared" ref="C47:S47" si="307">IFERROR(C23/C21,"")</f>
        <v>0.28831744701728712</v>
      </c>
      <c r="D47" s="4">
        <f t="shared" si="307"/>
        <v>0.30277332321189709</v>
      </c>
      <c r="E47" s="4">
        <f t="shared" si="307"/>
        <v>0.30232295795537706</v>
      </c>
      <c r="F47" s="4">
        <f t="shared" si="307"/>
        <v>0.30977488336805259</v>
      </c>
      <c r="G47" s="4">
        <f t="shared" si="307"/>
        <v>0.28913225928304864</v>
      </c>
      <c r="H47" s="4">
        <f t="shared" si="307"/>
        <v>0.28244353783966353</v>
      </c>
      <c r="I47" s="4">
        <f t="shared" si="307"/>
        <v>0.28813846605429655</v>
      </c>
      <c r="J47" s="4">
        <f t="shared" si="307"/>
        <v>0.31414956597142585</v>
      </c>
      <c r="K47" s="4">
        <f t="shared" si="307"/>
        <v>0.2986260909686404</v>
      </c>
      <c r="L47" s="4">
        <f t="shared" si="307"/>
        <v>0.29030381336136418</v>
      </c>
      <c r="M47" s="4">
        <f t="shared" si="307"/>
        <v>0.21792856372248987</v>
      </c>
      <c r="N47" s="4">
        <f t="shared" si="307"/>
        <v>0.30735361825504692</v>
      </c>
      <c r="O47" s="4">
        <f t="shared" si="307"/>
        <v>0.29160367913026769</v>
      </c>
      <c r="P47" s="4">
        <f t="shared" si="307"/>
        <v>0.29529783642690788</v>
      </c>
      <c r="Q47" s="4">
        <f t="shared" si="307"/>
        <v>0.2897148581810548</v>
      </c>
      <c r="R47" s="4">
        <f t="shared" si="307"/>
        <v>0.31962974169995517</v>
      </c>
      <c r="S47" s="4">
        <f t="shared" si="307"/>
        <v>0.31371933190149848</v>
      </c>
      <c r="T47" s="4">
        <f>IFERROR(T23/T21,"")</f>
        <v>0.3003153340782671</v>
      </c>
      <c r="U47" s="4">
        <f t="shared" ref="U47:W47" si="308">IFERROR(U23/U21,"")</f>
        <v>0.29806163549206127</v>
      </c>
      <c r="V47" s="4">
        <f t="shared" si="308"/>
        <v>0.33437267279366234</v>
      </c>
      <c r="W47" s="4">
        <f t="shared" si="308"/>
        <v>0.30671053639833018</v>
      </c>
      <c r="X47" s="4">
        <f t="shared" ref="X47" si="309">IFERROR(X23/X21,"")</f>
        <v>0.30221445132872454</v>
      </c>
    </row>
    <row r="48" spans="1:24" x14ac:dyDescent="0.25">
      <c r="A48" t="s">
        <v>148</v>
      </c>
      <c r="B48" s="4">
        <f>IFERROR(B29/B21,"")</f>
        <v>0.16716579844671536</v>
      </c>
      <c r="C48" s="4">
        <f t="shared" ref="C48:S48" si="310">IFERROR(C29/C21,"")</f>
        <v>0.16382131616161594</v>
      </c>
      <c r="D48" s="4">
        <f t="shared" si="310"/>
        <v>0.18812569768821888</v>
      </c>
      <c r="E48" s="4">
        <f t="shared" si="310"/>
        <v>0.17894012019807259</v>
      </c>
      <c r="F48" s="4">
        <f t="shared" si="310"/>
        <v>0.17864454404604999</v>
      </c>
      <c r="G48" s="4">
        <f t="shared" si="310"/>
        <v>0.15627438991229553</v>
      </c>
      <c r="H48" s="4">
        <f t="shared" si="310"/>
        <v>0.15439905441968643</v>
      </c>
      <c r="I48" s="4">
        <f t="shared" si="310"/>
        <v>0.19382423977513105</v>
      </c>
      <c r="J48" s="4">
        <f t="shared" si="310"/>
        <v>0.22673970755780903</v>
      </c>
      <c r="K48" s="4">
        <f t="shared" si="310"/>
        <v>0.22056914758366128</v>
      </c>
      <c r="L48" s="4">
        <f t="shared" si="310"/>
        <v>0.21719646819835153</v>
      </c>
      <c r="M48" s="4">
        <f t="shared" si="310"/>
        <v>0.13577997263934305</v>
      </c>
      <c r="N48" s="4">
        <f t="shared" si="310"/>
        <v>0.18759581975659667</v>
      </c>
      <c r="O48" s="4">
        <f t="shared" si="310"/>
        <v>0.22085404904823669</v>
      </c>
      <c r="P48" s="4">
        <f t="shared" si="310"/>
        <v>0.20741556365173555</v>
      </c>
      <c r="Q48" s="4">
        <f t="shared" si="310"/>
        <v>0.19687813517429531</v>
      </c>
      <c r="R48" s="4">
        <f t="shared" si="310"/>
        <v>0.21372993356432518</v>
      </c>
      <c r="S48" s="4">
        <f t="shared" si="310"/>
        <v>0.19451715516033766</v>
      </c>
      <c r="T48" s="4">
        <f>IFERROR(T29/T21,"")</f>
        <v>0.17558854983838368</v>
      </c>
      <c r="U48" s="4">
        <f t="shared" ref="U48:W48" si="311">IFERROR(U29/U21,"")</f>
        <v>0.16978076315434046</v>
      </c>
      <c r="V48" s="4">
        <f t="shared" si="311"/>
        <v>0.19933765336265424</v>
      </c>
      <c r="W48" s="4">
        <f t="shared" si="311"/>
        <v>0.16688339653133713</v>
      </c>
      <c r="X48" s="4">
        <f t="shared" ref="X48" si="312">IFERROR(X29/X21,"")</f>
        <v>0.16499261083424266</v>
      </c>
    </row>
    <row r="49" spans="1:24" x14ac:dyDescent="0.25">
      <c r="A49" t="s">
        <v>147</v>
      </c>
      <c r="B49" s="4">
        <f>IFERROR(B25/B21,"")</f>
        <v>0.15620047085045152</v>
      </c>
      <c r="C49" s="4">
        <f t="shared" ref="C49:S49" si="313">IFERROR(C25/C21,"")</f>
        <v>0.15598260206730408</v>
      </c>
      <c r="D49" s="4">
        <f t="shared" si="313"/>
        <v>0.1761167168247281</v>
      </c>
      <c r="E49" s="4">
        <f t="shared" si="313"/>
        <v>0.17731902100018218</v>
      </c>
      <c r="F49" s="4">
        <f t="shared" si="313"/>
        <v>0.17724679273370483</v>
      </c>
      <c r="G49" s="4">
        <f t="shared" si="313"/>
        <v>0.1623969468790466</v>
      </c>
      <c r="H49" s="4">
        <f t="shared" si="313"/>
        <v>0.15765159508475932</v>
      </c>
      <c r="I49" s="4">
        <f t="shared" si="313"/>
        <v>0.1673715091552419</v>
      </c>
      <c r="J49" s="4">
        <f t="shared" si="313"/>
        <v>0.19819171467025756</v>
      </c>
      <c r="K49" s="4">
        <f t="shared" si="313"/>
        <v>0.18669957043241342</v>
      </c>
      <c r="L49" s="4">
        <f t="shared" si="313"/>
        <v>0.17635737853305303</v>
      </c>
      <c r="M49" s="4">
        <f t="shared" si="313"/>
        <v>0.10648342377883946</v>
      </c>
      <c r="N49" s="4">
        <f t="shared" si="313"/>
        <v>0.18512049930980529</v>
      </c>
      <c r="O49" s="4">
        <f t="shared" si="313"/>
        <v>0.16924046701095405</v>
      </c>
      <c r="P49" s="4">
        <f t="shared" si="313"/>
        <v>0.17403165892553976</v>
      </c>
      <c r="Q49" s="4">
        <f t="shared" si="313"/>
        <v>0.16864489169047742</v>
      </c>
      <c r="R49" s="4">
        <f t="shared" si="313"/>
        <v>0.1869944128927005</v>
      </c>
      <c r="S49" s="4">
        <f t="shared" si="313"/>
        <v>0.17894307480123225</v>
      </c>
      <c r="T49" s="4">
        <f>IFERROR(T25/T21,"")</f>
        <v>0.16629318466832052</v>
      </c>
      <c r="U49" s="4">
        <f t="shared" ref="U49:W49" si="314">IFERROR(U25/U21,"")</f>
        <v>0.1638010900302064</v>
      </c>
      <c r="V49" s="4">
        <f t="shared" si="314"/>
        <v>0.18408918640041211</v>
      </c>
      <c r="W49" s="4">
        <f t="shared" si="314"/>
        <v>0.15723858027973248</v>
      </c>
      <c r="X49" s="4">
        <f t="shared" ref="X49" si="315">IFERROR(X25/X21,"")</f>
        <v>0.15584035101734717</v>
      </c>
    </row>
    <row r="50" spans="1:24" x14ac:dyDescent="0.25">
      <c r="A50" t="s">
        <v>149</v>
      </c>
      <c r="B50" s="4">
        <f>IFERROR(B27/B21,"")</f>
        <v>-4.136649319101765E-2</v>
      </c>
      <c r="C50" s="4">
        <f t="shared" ref="C50:S50" si="316">IFERROR(C27/C21,"")</f>
        <v>8.9841170757086128E-2</v>
      </c>
      <c r="D50" s="4">
        <f t="shared" si="316"/>
        <v>9.7688247533329928E-2</v>
      </c>
      <c r="E50" s="4">
        <f t="shared" si="316"/>
        <v>0.11130456800022233</v>
      </c>
      <c r="F50" s="4">
        <f t="shared" si="316"/>
        <v>0.15487953869536744</v>
      </c>
      <c r="G50" s="4">
        <f t="shared" si="316"/>
        <v>0.11982695012736036</v>
      </c>
      <c r="H50" s="4">
        <f t="shared" si="316"/>
        <v>7.7759513440916736E-2</v>
      </c>
      <c r="I50" s="4">
        <f t="shared" si="316"/>
        <v>-3.7036694349880515E-2</v>
      </c>
      <c r="J50" s="4">
        <f t="shared" si="316"/>
        <v>-7.9970023876923244E-2</v>
      </c>
      <c r="K50" s="4">
        <f t="shared" si="316"/>
        <v>-9.4243861696413092E-2</v>
      </c>
      <c r="L50" s="4">
        <f t="shared" si="316"/>
        <v>-6.9681754096172457E-2</v>
      </c>
      <c r="M50" s="4">
        <f t="shared" si="316"/>
        <v>1.8945173417285723E-2</v>
      </c>
      <c r="N50" s="4">
        <f t="shared" si="316"/>
        <v>0.12831447949724428</v>
      </c>
      <c r="O50" s="4">
        <f t="shared" si="316"/>
        <v>-1.6603957558239634E-3</v>
      </c>
      <c r="P50" s="4">
        <f t="shared" si="316"/>
        <v>5.3228155616891239E-2</v>
      </c>
      <c r="Q50" s="4">
        <f t="shared" si="316"/>
        <v>6.0514180802920689E-2</v>
      </c>
      <c r="R50" s="4">
        <f t="shared" si="316"/>
        <v>0.11057160968099948</v>
      </c>
      <c r="S50" s="4">
        <f t="shared" si="316"/>
        <v>9.8742970626050072E-2</v>
      </c>
      <c r="T50" s="4">
        <f>IFERROR(T27/T21,"")</f>
        <v>7.5881833070829727E-2</v>
      </c>
      <c r="U50" s="4">
        <f t="shared" ref="U50:W50" si="317">IFERROR(U27/U21,"")</f>
        <v>8.7998835829163236E-2</v>
      </c>
      <c r="V50" s="4">
        <f t="shared" si="317"/>
        <v>8.950892462246475E-2</v>
      </c>
      <c r="W50" s="4">
        <f t="shared" si="317"/>
        <v>6.3515518811713953E-2</v>
      </c>
      <c r="X50" s="4">
        <f t="shared" ref="X50" si="318">IFERROR(X27/X21,"")</f>
        <v>5.6761990272213791E-2</v>
      </c>
    </row>
    <row r="51" spans="1:24" x14ac:dyDescent="0.25">
      <c r="A51" t="s">
        <v>151</v>
      </c>
      <c r="B51" s="4">
        <f>IFERROR(B31/B21,"")</f>
        <v>0.17472432017494022</v>
      </c>
      <c r="C51" s="4">
        <f t="shared" ref="C51:S51" si="319">IFERROR(C31/C21,"")</f>
        <v>0.17584316997536037</v>
      </c>
      <c r="D51" s="4">
        <f t="shared" si="319"/>
        <v>0.1970169761483081</v>
      </c>
      <c r="E51" s="4">
        <f t="shared" si="319"/>
        <v>0.19783174122522162</v>
      </c>
      <c r="F51" s="4">
        <f t="shared" si="319"/>
        <v>0.1962757525171917</v>
      </c>
      <c r="G51" s="4">
        <f t="shared" si="319"/>
        <v>0.18244352564036612</v>
      </c>
      <c r="H51" s="4">
        <f t="shared" si="319"/>
        <v>0.17766464420711497</v>
      </c>
      <c r="I51" s="4">
        <f t="shared" si="319"/>
        <v>0.18571780669821042</v>
      </c>
      <c r="J51" s="4">
        <f t="shared" si="319"/>
        <v>0.21145450115850817</v>
      </c>
      <c r="K51" s="4">
        <f t="shared" si="319"/>
        <v>0.2003017581792127</v>
      </c>
      <c r="L51" s="4">
        <f t="shared" si="319"/>
        <v>0.18941387609704008</v>
      </c>
      <c r="M51" s="4">
        <f t="shared" si="319"/>
        <v>0.12894860004022993</v>
      </c>
      <c r="N51" s="4">
        <f t="shared" si="319"/>
        <v>0.20430896559704476</v>
      </c>
      <c r="O51" s="4">
        <f t="shared" si="319"/>
        <v>0.18949374804660282</v>
      </c>
      <c r="P51" s="4">
        <f t="shared" si="319"/>
        <v>0.19594156780602584</v>
      </c>
      <c r="Q51" s="4">
        <f t="shared" si="319"/>
        <v>0.18985173502665131</v>
      </c>
      <c r="R51" s="4">
        <f t="shared" si="319"/>
        <v>0.20622828309926364</v>
      </c>
      <c r="S51" s="4">
        <f t="shared" si="319"/>
        <v>0.20015181478952165</v>
      </c>
      <c r="T51" s="4">
        <f>IFERROR(T31/T21,"")</f>
        <v>0.18739589067254783</v>
      </c>
      <c r="U51" s="4">
        <f t="shared" ref="U51:W51" si="320">IFERROR(U31/U21,"")</f>
        <v>0.18544997576786998</v>
      </c>
      <c r="V51" s="4">
        <f t="shared" si="320"/>
        <v>0.20341204355693912</v>
      </c>
      <c r="W51" s="4">
        <f t="shared" si="320"/>
        <v>0.17788157461393983</v>
      </c>
      <c r="X51" s="4">
        <f t="shared" ref="X51" si="321">IFERROR(X31/X21,"")</f>
        <v>0.17772436678658499</v>
      </c>
    </row>
    <row r="52" spans="1:24" x14ac:dyDescent="0.25">
      <c r="A52" t="s">
        <v>152</v>
      </c>
      <c r="B52" s="4">
        <f>IFERROR(B27/B33,"")</f>
        <v>-7.3614250602105731E-3</v>
      </c>
      <c r="C52" s="4">
        <f t="shared" ref="C52:R52" si="322">IFERROR(C27/C33,"")</f>
        <v>2.7730178347996872E-2</v>
      </c>
      <c r="D52" s="4">
        <f t="shared" si="322"/>
        <v>4.1327612712497935E-2</v>
      </c>
      <c r="E52" s="4">
        <f t="shared" si="322"/>
        <v>5.5479791012306073E-2</v>
      </c>
      <c r="F52" s="4">
        <f t="shared" si="322"/>
        <v>2.1376815312798062E-2</v>
      </c>
      <c r="G52" s="4">
        <f t="shared" si="322"/>
        <v>3.2135005484704986E-2</v>
      </c>
      <c r="H52" s="4">
        <f t="shared" si="322"/>
        <v>3.466277348888254E-2</v>
      </c>
      <c r="I52" s="4">
        <f t="shared" si="322"/>
        <v>-1.7693134999452249E-2</v>
      </c>
      <c r="J52" s="4">
        <f t="shared" si="322"/>
        <v>-1.6366265837071192E-2</v>
      </c>
      <c r="K52" s="4">
        <f t="shared" si="322"/>
        <v>-3.572645309354238E-2</v>
      </c>
      <c r="L52" s="4">
        <f t="shared" si="322"/>
        <v>-3.8616144769641647E-2</v>
      </c>
      <c r="M52" s="4">
        <f t="shared" si="322"/>
        <v>1.4887457699394938E-2</v>
      </c>
      <c r="N52" s="4">
        <f t="shared" si="322"/>
        <v>5.8392048858441258E-2</v>
      </c>
      <c r="O52" s="4">
        <f t="shared" si="322"/>
        <v>-1.4169946944833898E-3</v>
      </c>
      <c r="P52" s="4">
        <f t="shared" si="322"/>
        <v>6.2186840020782883E-2</v>
      </c>
      <c r="Q52" s="4">
        <f t="shared" si="322"/>
        <v>5.4861143997161299E-2</v>
      </c>
      <c r="R52" s="4">
        <f t="shared" si="322"/>
        <v>4.260467120445173E-2</v>
      </c>
      <c r="S52" s="4">
        <f>IFERROR(S27/S33,"")</f>
        <v>6.3932377988896061E-2</v>
      </c>
      <c r="T52" s="4">
        <f>IFERROR(T27/T33,"")</f>
        <v>6.5288326037147584E-2</v>
      </c>
      <c r="U52" s="4">
        <f t="shared" ref="U52:W52" si="323">IFERROR(U27/U33,"")</f>
        <v>7.595148463981706E-2</v>
      </c>
      <c r="V52" s="4">
        <f t="shared" si="323"/>
        <v>2.1494262196550169E-2</v>
      </c>
      <c r="W52" s="4">
        <f t="shared" si="323"/>
        <v>2.6947381369284196E-2</v>
      </c>
      <c r="X52" s="4">
        <f t="shared" ref="X52" si="324">IFERROR(X27/X33,"")</f>
        <v>3.5551166304827971E-2</v>
      </c>
    </row>
    <row r="53" spans="1:24" x14ac:dyDescent="0.25">
      <c r="B53" s="4"/>
      <c r="C53" s="4"/>
      <c r="D53" s="4"/>
      <c r="E53" s="4"/>
      <c r="F53" s="4"/>
      <c r="G53" s="4"/>
    </row>
    <row r="54" spans="1:24" x14ac:dyDescent="0.25">
      <c r="B54">
        <f>ROW(A4)-1</f>
        <v>3</v>
      </c>
      <c r="C54">
        <f>B54+2</f>
        <v>5</v>
      </c>
      <c r="D54">
        <f t="shared" ref="D54:G54" si="325">C54+2</f>
        <v>7</v>
      </c>
      <c r="E54">
        <f t="shared" si="325"/>
        <v>9</v>
      </c>
      <c r="F54">
        <f t="shared" si="325"/>
        <v>11</v>
      </c>
      <c r="G54">
        <f t="shared" si="325"/>
        <v>13</v>
      </c>
      <c r="H54">
        <f t="shared" ref="H54" si="326">G54+2</f>
        <v>15</v>
      </c>
      <c r="I54">
        <f t="shared" ref="I54" si="327">H54+2</f>
        <v>17</v>
      </c>
      <c r="J54">
        <f t="shared" ref="J54" si="328">I54+2</f>
        <v>19</v>
      </c>
      <c r="K54">
        <f t="shared" ref="K54" si="329">J54+2</f>
        <v>21</v>
      </c>
      <c r="L54">
        <f t="shared" ref="L54" si="330">K54+2</f>
        <v>23</v>
      </c>
      <c r="M54">
        <f t="shared" ref="M54" si="331">L54+2</f>
        <v>25</v>
      </c>
    </row>
    <row r="55" spans="1:24" x14ac:dyDescent="0.25">
      <c r="B55" t="str">
        <f>A5</f>
        <v>Dönen Varlıklar</v>
      </c>
      <c r="C55" t="str">
        <f>A7</f>
        <v xml:space="preserve">  Stoklar</v>
      </c>
      <c r="D55" t="str">
        <f>A9</f>
        <v xml:space="preserve">  Ticari Alacaklar</v>
      </c>
      <c r="E55" t="str">
        <f>A11</f>
        <v xml:space="preserve">  Ticari Borçlar</v>
      </c>
      <c r="F55" t="str">
        <f>A13</f>
        <v>Duran Varlıklar</v>
      </c>
      <c r="G55" t="str">
        <f>A15</f>
        <v xml:space="preserve">  Ana Ortaklığa Ait Özkaynaklar</v>
      </c>
      <c r="H55" t="str">
        <f>A17</f>
        <v>Kısa Vadeli Yükümlülükler</v>
      </c>
      <c r="I55" t="str">
        <f>A19</f>
        <v>Uzun Vadeli Yükümlülükler</v>
      </c>
      <c r="J55" t="str">
        <f>A21</f>
        <v>Satış Gelirleri</v>
      </c>
      <c r="K55" t="str">
        <f>A23</f>
        <v>BRÜT KAR (ZARAR)</v>
      </c>
      <c r="L55" t="str">
        <f>A25</f>
        <v>Net Faaliyet Kar/Zararı</v>
      </c>
      <c r="M55" t="str">
        <f>A27</f>
        <v>Ana Ortaklık Payları</v>
      </c>
    </row>
    <row r="56" spans="1:24" x14ac:dyDescent="0.25">
      <c r="A56" t="str">
        <f t="shared" ref="A56:A71" si="332">IFERROR(HLOOKUP(N56,$B$3:$W$4,2,0),"")</f>
        <v>2020/6</v>
      </c>
      <c r="B56" s="2">
        <f>IFERROR(HLOOKUP($A56,$4:$44,B$54,0),"")</f>
        <v>1074289000</v>
      </c>
      <c r="C56" s="2">
        <f t="shared" ref="B56:M65" si="333">IFERROR(HLOOKUP($A56,$4:$44,C$54,0),"")</f>
        <v>132774000</v>
      </c>
      <c r="D56" s="2">
        <f t="shared" si="333"/>
        <v>-149657000</v>
      </c>
      <c r="E56" s="2">
        <f t="shared" si="333"/>
        <v>-208515000</v>
      </c>
      <c r="F56" s="2">
        <f t="shared" si="333"/>
        <v>219939000</v>
      </c>
      <c r="G56" s="2">
        <f t="shared" si="333"/>
        <v>650040000</v>
      </c>
      <c r="H56" s="2">
        <f t="shared" si="333"/>
        <v>-2462073000</v>
      </c>
      <c r="I56" s="2">
        <f t="shared" si="333"/>
        <v>3057633000</v>
      </c>
      <c r="J56" s="2">
        <f t="shared" si="333"/>
        <v>2144641000</v>
      </c>
      <c r="K56" s="2">
        <f t="shared" si="333"/>
        <v>587135000</v>
      </c>
      <c r="L56" s="2">
        <f t="shared" si="333"/>
        <v>334009000</v>
      </c>
      <c r="M56" s="2">
        <f t="shared" si="333"/>
        <v>504443000</v>
      </c>
      <c r="N56" s="2">
        <f>C3</f>
        <v>23</v>
      </c>
    </row>
    <row r="57" spans="1:24" x14ac:dyDescent="0.25">
      <c r="A57" t="str">
        <f t="shared" si="332"/>
        <v>2020/9</v>
      </c>
      <c r="B57" s="2">
        <f>IFERROR(HLOOKUP($A57,$4:$44,B$54,0),"")</f>
        <v>1628920000</v>
      </c>
      <c r="C57" s="2">
        <f t="shared" si="333"/>
        <v>93206000</v>
      </c>
      <c r="D57" s="2">
        <f t="shared" si="333"/>
        <v>312316000</v>
      </c>
      <c r="E57" s="2">
        <f t="shared" si="333"/>
        <v>47359000</v>
      </c>
      <c r="F57" s="2">
        <f t="shared" si="333"/>
        <v>215530000</v>
      </c>
      <c r="G57" s="2">
        <f t="shared" si="333"/>
        <v>401648000</v>
      </c>
      <c r="H57" s="2">
        <f t="shared" si="333"/>
        <v>667786000</v>
      </c>
      <c r="I57" s="2">
        <f t="shared" si="333"/>
        <v>666070000</v>
      </c>
      <c r="J57" s="2">
        <f t="shared" si="333"/>
        <v>2455845000</v>
      </c>
      <c r="K57" s="2">
        <f t="shared" si="333"/>
        <v>808916000</v>
      </c>
      <c r="L57" s="2">
        <f t="shared" si="333"/>
        <v>523537000</v>
      </c>
      <c r="M57" s="2">
        <f t="shared" si="333"/>
        <v>275382000</v>
      </c>
      <c r="N57" s="3">
        <f>N56-1</f>
        <v>22</v>
      </c>
    </row>
    <row r="58" spans="1:24" x14ac:dyDescent="0.25">
      <c r="A58" t="str">
        <f t="shared" si="332"/>
        <v>2020/12</v>
      </c>
      <c r="B58" s="2">
        <f t="shared" si="333"/>
        <v>2773384000</v>
      </c>
      <c r="C58" s="2">
        <f t="shared" si="333"/>
        <v>797949000</v>
      </c>
      <c r="D58" s="2">
        <f t="shared" si="333"/>
        <v>202442000</v>
      </c>
      <c r="E58" s="2">
        <f t="shared" si="333"/>
        <v>273552000</v>
      </c>
      <c r="F58" s="2">
        <f t="shared" si="333"/>
        <v>227306000</v>
      </c>
      <c r="G58" s="2">
        <f t="shared" si="333"/>
        <v>664141000</v>
      </c>
      <c r="H58" s="2">
        <f t="shared" si="333"/>
        <v>-2397126000</v>
      </c>
      <c r="I58" s="2">
        <f t="shared" si="333"/>
        <v>4720499000</v>
      </c>
      <c r="J58" s="2">
        <f t="shared" si="333"/>
        <v>2739018000</v>
      </c>
      <c r="K58" s="2">
        <f t="shared" si="333"/>
        <v>824926000</v>
      </c>
      <c r="L58" s="2">
        <f t="shared" si="333"/>
        <v>494068000</v>
      </c>
      <c r="M58" s="2">
        <f t="shared" si="333"/>
        <v>399861000</v>
      </c>
      <c r="N58" s="3">
        <f t="shared" ref="N58:N78" si="334">N57-1</f>
        <v>21</v>
      </c>
    </row>
    <row r="59" spans="1:24" x14ac:dyDescent="0.25">
      <c r="A59" t="str">
        <f t="shared" si="332"/>
        <v>2021/3</v>
      </c>
      <c r="B59" s="2">
        <f t="shared" si="333"/>
        <v>664277000</v>
      </c>
      <c r="C59" s="2">
        <f t="shared" si="333"/>
        <v>-766908000</v>
      </c>
      <c r="D59" s="2">
        <f t="shared" si="333"/>
        <v>164697000</v>
      </c>
      <c r="E59" s="2">
        <f t="shared" si="333"/>
        <v>141796000</v>
      </c>
      <c r="F59" s="2">
        <f t="shared" si="333"/>
        <v>12956000</v>
      </c>
      <c r="G59" s="2">
        <f t="shared" si="333"/>
        <v>229840000</v>
      </c>
      <c r="H59" s="2">
        <f t="shared" si="333"/>
        <v>-265080000</v>
      </c>
      <c r="I59" s="2">
        <f t="shared" si="333"/>
        <v>659650000</v>
      </c>
      <c r="J59" s="2">
        <f t="shared" si="333"/>
        <v>-6931873000</v>
      </c>
      <c r="K59" s="2">
        <f t="shared" si="333"/>
        <v>-2074920000</v>
      </c>
      <c r="L59" s="2">
        <f t="shared" si="333"/>
        <v>-1229354000</v>
      </c>
      <c r="M59" s="2">
        <f t="shared" si="333"/>
        <v>-650247000</v>
      </c>
      <c r="N59" s="3">
        <f t="shared" si="334"/>
        <v>20</v>
      </c>
    </row>
    <row r="60" spans="1:24" x14ac:dyDescent="0.25">
      <c r="A60" t="str">
        <f t="shared" si="332"/>
        <v>2021/6</v>
      </c>
      <c r="B60" s="2">
        <f t="shared" si="333"/>
        <v>39839000</v>
      </c>
      <c r="C60" s="2">
        <f t="shared" si="333"/>
        <v>32389000</v>
      </c>
      <c r="D60" s="2">
        <f t="shared" si="333"/>
        <v>28223000</v>
      </c>
      <c r="E60" s="2">
        <f t="shared" si="333"/>
        <v>-307000</v>
      </c>
      <c r="F60" s="2">
        <f t="shared" si="333"/>
        <v>86785000</v>
      </c>
      <c r="G60" s="2">
        <f t="shared" si="333"/>
        <v>-34304000</v>
      </c>
      <c r="H60" s="2">
        <f t="shared" si="333"/>
        <v>-67666000</v>
      </c>
      <c r="I60" s="2">
        <f t="shared" si="333"/>
        <v>190170000</v>
      </c>
      <c r="J60" s="2">
        <f t="shared" si="333"/>
        <v>2659067000</v>
      </c>
      <c r="K60" s="2">
        <f t="shared" si="333"/>
        <v>711358000</v>
      </c>
      <c r="L60" s="2">
        <f t="shared" si="333"/>
        <v>390486000</v>
      </c>
      <c r="M60" s="2">
        <f t="shared" si="333"/>
        <v>221050000</v>
      </c>
      <c r="N60" s="3">
        <f t="shared" si="334"/>
        <v>19</v>
      </c>
    </row>
    <row r="61" spans="1:24" x14ac:dyDescent="0.25">
      <c r="A61" t="str">
        <f t="shared" si="332"/>
        <v>2021/9</v>
      </c>
      <c r="B61" s="2">
        <f t="shared" si="333"/>
        <v>-1552326000</v>
      </c>
      <c r="C61" s="2">
        <f t="shared" si="333"/>
        <v>1067363000</v>
      </c>
      <c r="D61" s="2">
        <f t="shared" si="333"/>
        <v>357193000</v>
      </c>
      <c r="E61" s="2">
        <f t="shared" si="333"/>
        <v>-45727000</v>
      </c>
      <c r="F61" s="2">
        <f t="shared" si="333"/>
        <v>143166000</v>
      </c>
      <c r="G61" s="2">
        <f t="shared" si="333"/>
        <v>-3431507000</v>
      </c>
      <c r="H61" s="2">
        <f t="shared" si="333"/>
        <v>1311927000</v>
      </c>
      <c r="I61" s="2">
        <f t="shared" si="333"/>
        <v>668348000</v>
      </c>
      <c r="J61" s="2">
        <f t="shared" si="333"/>
        <v>2976133000</v>
      </c>
      <c r="K61" s="2">
        <f t="shared" si="333"/>
        <v>804184000</v>
      </c>
      <c r="L61" s="2">
        <f t="shared" si="333"/>
        <v>443364000</v>
      </c>
      <c r="M61" s="2">
        <f t="shared" si="333"/>
        <v>2457000</v>
      </c>
      <c r="N61" s="3">
        <f t="shared" si="334"/>
        <v>18</v>
      </c>
    </row>
    <row r="62" spans="1:24" x14ac:dyDescent="0.25">
      <c r="A62" t="str">
        <f t="shared" si="332"/>
        <v>2021/12</v>
      </c>
      <c r="B62" s="2">
        <f t="shared" si="333"/>
        <v>4912031000</v>
      </c>
      <c r="C62" s="2">
        <f t="shared" si="333"/>
        <v>1189529000</v>
      </c>
      <c r="D62" s="2">
        <f t="shared" si="333"/>
        <v>1045798000</v>
      </c>
      <c r="E62" s="2">
        <f t="shared" si="333"/>
        <v>899249000</v>
      </c>
      <c r="F62" s="2">
        <f t="shared" si="333"/>
        <v>2445223000</v>
      </c>
      <c r="G62" s="2">
        <f t="shared" si="333"/>
        <v>185905000</v>
      </c>
      <c r="H62" s="2">
        <f t="shared" si="333"/>
        <v>1924356000</v>
      </c>
      <c r="I62" s="2">
        <f t="shared" si="333"/>
        <v>4833037000</v>
      </c>
      <c r="J62" s="2">
        <f t="shared" si="333"/>
        <v>4118123000</v>
      </c>
      <c r="K62" s="2">
        <f t="shared" si="333"/>
        <v>1234535000</v>
      </c>
      <c r="L62" s="2">
        <f t="shared" si="333"/>
        <v>771088000</v>
      </c>
      <c r="M62" s="2">
        <f t="shared" si="333"/>
        <v>-1118986000</v>
      </c>
      <c r="N62" s="3">
        <f t="shared" si="334"/>
        <v>17</v>
      </c>
    </row>
    <row r="63" spans="1:24" x14ac:dyDescent="0.25">
      <c r="A63" t="str">
        <f t="shared" si="332"/>
        <v>2022/3</v>
      </c>
      <c r="B63" s="2">
        <f t="shared" si="333"/>
        <v>2189622000</v>
      </c>
      <c r="C63" s="2">
        <f t="shared" si="333"/>
        <v>526662000</v>
      </c>
      <c r="D63" s="2">
        <f t="shared" si="333"/>
        <v>1168162000</v>
      </c>
      <c r="E63" s="2">
        <f t="shared" si="333"/>
        <v>679173000</v>
      </c>
      <c r="F63" s="2">
        <f t="shared" si="333"/>
        <v>327437000</v>
      </c>
      <c r="G63" s="2">
        <f t="shared" si="333"/>
        <v>-398552000</v>
      </c>
      <c r="H63" s="2">
        <f t="shared" si="333"/>
        <v>1123012000</v>
      </c>
      <c r="I63" s="2">
        <f t="shared" si="333"/>
        <v>1613141000</v>
      </c>
      <c r="J63" s="2">
        <f t="shared" si="333"/>
        <v>-6651062000</v>
      </c>
      <c r="K63" s="2">
        <f t="shared" si="333"/>
        <v>-1763325000</v>
      </c>
      <c r="L63" s="2">
        <f t="shared" si="333"/>
        <v>-931790000</v>
      </c>
      <c r="M63" s="2">
        <f t="shared" si="333"/>
        <v>-6373000</v>
      </c>
      <c r="N63" s="3">
        <f t="shared" si="334"/>
        <v>16</v>
      </c>
    </row>
    <row r="64" spans="1:24" x14ac:dyDescent="0.25">
      <c r="A64" t="str">
        <f t="shared" si="332"/>
        <v>2022/6</v>
      </c>
      <c r="B64" s="2">
        <f t="shared" si="333"/>
        <v>1532963000</v>
      </c>
      <c r="C64" s="2">
        <f t="shared" si="333"/>
        <v>534876000</v>
      </c>
      <c r="D64" s="2">
        <f t="shared" si="333"/>
        <v>-66452000</v>
      </c>
      <c r="E64" s="2">
        <f t="shared" si="333"/>
        <v>320445000</v>
      </c>
      <c r="F64" s="2">
        <f t="shared" si="333"/>
        <v>1037199000</v>
      </c>
      <c r="G64" s="2">
        <f t="shared" si="333"/>
        <v>-71289000</v>
      </c>
      <c r="H64" s="2">
        <f t="shared" si="333"/>
        <v>7834850000</v>
      </c>
      <c r="I64" s="2">
        <f t="shared" si="333"/>
        <v>-5402987000</v>
      </c>
      <c r="J64" s="2">
        <f t="shared" si="333"/>
        <v>5991042000</v>
      </c>
      <c r="K64" s="2">
        <f t="shared" si="333"/>
        <v>1697710000</v>
      </c>
      <c r="L64" s="2">
        <f t="shared" si="333"/>
        <v>1050882000</v>
      </c>
      <c r="M64" s="2">
        <f t="shared" si="333"/>
        <v>-648635000</v>
      </c>
      <c r="N64" s="3">
        <f t="shared" si="334"/>
        <v>15</v>
      </c>
    </row>
    <row r="65" spans="1:14" x14ac:dyDescent="0.25">
      <c r="A65" t="str">
        <f t="shared" si="332"/>
        <v>2022/9</v>
      </c>
      <c r="B65" s="2">
        <f t="shared" si="333"/>
        <v>2586021000</v>
      </c>
      <c r="C65" s="2">
        <f t="shared" si="333"/>
        <v>1122366000</v>
      </c>
      <c r="D65" s="2">
        <f t="shared" si="333"/>
        <v>1253067000</v>
      </c>
      <c r="E65" s="2">
        <f t="shared" si="333"/>
        <v>528018000</v>
      </c>
      <c r="F65" s="2">
        <f t="shared" si="333"/>
        <v>690886000</v>
      </c>
      <c r="G65" s="2">
        <f t="shared" si="333"/>
        <v>217402000</v>
      </c>
      <c r="H65" s="2">
        <f t="shared" si="333"/>
        <v>1446424000</v>
      </c>
      <c r="I65" s="2">
        <f t="shared" si="333"/>
        <v>1512740000</v>
      </c>
      <c r="J65" s="2">
        <f t="shared" si="333"/>
        <v>7301820000</v>
      </c>
      <c r="K65" s="2">
        <f t="shared" si="333"/>
        <v>2020902000</v>
      </c>
      <c r="L65" s="2">
        <f t="shared" si="333"/>
        <v>1164895000</v>
      </c>
      <c r="M65" s="2">
        <f t="shared" si="333"/>
        <v>-217078000</v>
      </c>
      <c r="N65" s="3">
        <f t="shared" si="334"/>
        <v>14</v>
      </c>
    </row>
    <row r="66" spans="1:14" x14ac:dyDescent="0.25">
      <c r="A66" t="str">
        <f t="shared" si="332"/>
        <v>2022/12</v>
      </c>
      <c r="B66" s="2">
        <f t="shared" ref="B66:M78" si="335">IFERROR(HLOOKUP($A66,$4:$44,B$54,0),"")</f>
        <v>16699668000</v>
      </c>
      <c r="C66" s="2">
        <f t="shared" si="335"/>
        <v>3114249000</v>
      </c>
      <c r="D66" s="2">
        <f t="shared" si="335"/>
        <v>5131295000</v>
      </c>
      <c r="E66" s="2">
        <f t="shared" si="335"/>
        <v>3058584000</v>
      </c>
      <c r="F66" s="2">
        <f t="shared" si="335"/>
        <v>14841751000</v>
      </c>
      <c r="G66" s="2">
        <f t="shared" si="335"/>
        <v>9301583000</v>
      </c>
      <c r="H66" s="2">
        <f t="shared" si="335"/>
        <v>11287270000</v>
      </c>
      <c r="I66" s="2">
        <f t="shared" si="335"/>
        <v>9161884000</v>
      </c>
      <c r="J66" s="2">
        <f t="shared" si="335"/>
        <v>32802328000</v>
      </c>
      <c r="K66" s="2">
        <f t="shared" si="335"/>
        <v>5760488000</v>
      </c>
      <c r="L66" s="2">
        <f t="shared" si="335"/>
        <v>2152800000</v>
      </c>
      <c r="M66" s="2">
        <f t="shared" si="335"/>
        <v>2321211000</v>
      </c>
      <c r="N66" s="3">
        <f t="shared" si="334"/>
        <v>13</v>
      </c>
    </row>
    <row r="67" spans="1:14" x14ac:dyDescent="0.25">
      <c r="A67" t="str">
        <f t="shared" si="332"/>
        <v>2023/3</v>
      </c>
      <c r="B67" s="2">
        <f t="shared" si="335"/>
        <v>-13265117000</v>
      </c>
      <c r="C67" s="2">
        <f t="shared" si="335"/>
        <v>-2995757000</v>
      </c>
      <c r="D67" s="2">
        <f t="shared" si="335"/>
        <v>-2649104000</v>
      </c>
      <c r="E67" s="2">
        <f t="shared" si="335"/>
        <v>-2985961000</v>
      </c>
      <c r="F67" s="2">
        <f t="shared" si="335"/>
        <v>-11561083000</v>
      </c>
      <c r="G67" s="2">
        <f t="shared" si="335"/>
        <v>-5524014000</v>
      </c>
      <c r="H67" s="2">
        <f t="shared" si="335"/>
        <v>-9041284000</v>
      </c>
      <c r="I67" s="2">
        <f t="shared" si="335"/>
        <v>-8864243000</v>
      </c>
      <c r="J67" s="2">
        <f t="shared" si="335"/>
        <v>-33176370000</v>
      </c>
      <c r="K67" s="2">
        <f t="shared" si="335"/>
        <v>-5548455000</v>
      </c>
      <c r="L67" s="2">
        <f t="shared" si="335"/>
        <v>-2053976000</v>
      </c>
      <c r="M67" s="2">
        <f t="shared" si="335"/>
        <v>1428140000</v>
      </c>
      <c r="N67" s="3">
        <f t="shared" si="334"/>
        <v>12</v>
      </c>
    </row>
    <row r="68" spans="1:14" x14ac:dyDescent="0.25">
      <c r="A68" t="str">
        <f t="shared" si="332"/>
        <v>2023/6</v>
      </c>
      <c r="B68" s="2">
        <f t="shared" si="335"/>
        <v>591183000</v>
      </c>
      <c r="C68" s="2">
        <f t="shared" si="335"/>
        <v>1034532000</v>
      </c>
      <c r="D68" s="2">
        <f t="shared" si="335"/>
        <v>367881000</v>
      </c>
      <c r="E68" s="2">
        <f t="shared" si="335"/>
        <v>557067000</v>
      </c>
      <c r="F68" s="2">
        <f t="shared" si="335"/>
        <v>3011913000</v>
      </c>
      <c r="G68" s="2">
        <f t="shared" si="335"/>
        <v>-603576000</v>
      </c>
      <c r="H68" s="2">
        <f t="shared" si="335"/>
        <v>-6851762000</v>
      </c>
      <c r="I68" s="2">
        <f t="shared" si="335"/>
        <v>10537976000</v>
      </c>
      <c r="J68" s="2">
        <f t="shared" si="335"/>
        <v>19535419000</v>
      </c>
      <c r="K68" s="2">
        <f t="shared" si="335"/>
        <v>5400425000</v>
      </c>
      <c r="L68" s="2">
        <f t="shared" si="335"/>
        <v>3007562000</v>
      </c>
      <c r="M68" s="2">
        <f t="shared" si="335"/>
        <v>-2476593000</v>
      </c>
      <c r="N68" s="3">
        <f t="shared" si="334"/>
        <v>11</v>
      </c>
    </row>
    <row r="69" spans="1:14" x14ac:dyDescent="0.25">
      <c r="A69" t="str">
        <f t="shared" si="332"/>
        <v>2023/9</v>
      </c>
      <c r="B69" s="2">
        <f t="shared" si="335"/>
        <v>2186683000</v>
      </c>
      <c r="C69" s="2">
        <f t="shared" si="335"/>
        <v>109186000</v>
      </c>
      <c r="D69" s="2">
        <f t="shared" si="335"/>
        <v>1000397000</v>
      </c>
      <c r="E69" s="2">
        <f t="shared" si="335"/>
        <v>1050945000</v>
      </c>
      <c r="F69" s="2">
        <f t="shared" si="335"/>
        <v>947948000</v>
      </c>
      <c r="G69" s="2">
        <f t="shared" si="335"/>
        <v>2988139000</v>
      </c>
      <c r="H69" s="2">
        <f t="shared" si="335"/>
        <v>863900000</v>
      </c>
      <c r="I69" s="2">
        <f t="shared" si="335"/>
        <v>401013000</v>
      </c>
      <c r="J69" s="2">
        <f t="shared" si="335"/>
        <v>17809406000</v>
      </c>
      <c r="K69" s="2">
        <f t="shared" si="335"/>
        <v>5400714000</v>
      </c>
      <c r="L69" s="2">
        <f t="shared" si="335"/>
        <v>3283096000</v>
      </c>
      <c r="M69" s="2">
        <f t="shared" si="335"/>
        <v>3052403000</v>
      </c>
      <c r="N69" s="3">
        <f t="shared" si="334"/>
        <v>10</v>
      </c>
    </row>
    <row r="70" spans="1:14" x14ac:dyDescent="0.25">
      <c r="A70" t="str">
        <f t="shared" si="332"/>
        <v>2023/12</v>
      </c>
      <c r="B70" s="2">
        <f t="shared" si="335"/>
        <v>22115772000</v>
      </c>
      <c r="C70" s="2">
        <f t="shared" si="335"/>
        <v>5450865000</v>
      </c>
      <c r="D70" s="2">
        <f t="shared" si="335"/>
        <v>6528756000</v>
      </c>
      <c r="E70" s="2">
        <f t="shared" si="335"/>
        <v>5544711000</v>
      </c>
      <c r="F70" s="2">
        <f t="shared" si="335"/>
        <v>18745900000</v>
      </c>
      <c r="G70" s="2">
        <f t="shared" si="335"/>
        <v>17050526000</v>
      </c>
      <c r="H70" s="2">
        <f t="shared" si="335"/>
        <v>9506266000</v>
      </c>
      <c r="I70" s="2">
        <f t="shared" si="335"/>
        <v>13274602000</v>
      </c>
      <c r="J70" s="2">
        <f t="shared" si="335"/>
        <v>24465871000</v>
      </c>
      <c r="K70" s="2">
        <f t="shared" si="335"/>
        <v>6774644000</v>
      </c>
      <c r="L70" s="2">
        <f t="shared" si="335"/>
        <v>3823579000</v>
      </c>
      <c r="M70" s="2">
        <f t="shared" si="335"/>
        <v>1889640000</v>
      </c>
      <c r="N70" s="3">
        <f t="shared" si="334"/>
        <v>9</v>
      </c>
    </row>
    <row r="71" spans="1:14" x14ac:dyDescent="0.25">
      <c r="A71" t="str">
        <f t="shared" si="332"/>
        <v>2024/3</v>
      </c>
      <c r="B71" s="2">
        <f t="shared" si="335"/>
        <v>-9877551000</v>
      </c>
      <c r="C71" s="2">
        <f t="shared" si="335"/>
        <v>-3116155000</v>
      </c>
      <c r="D71" s="2">
        <f t="shared" si="335"/>
        <v>-1065069000</v>
      </c>
      <c r="E71" s="2">
        <f t="shared" si="335"/>
        <v>-4076922000</v>
      </c>
      <c r="F71" s="2">
        <f t="shared" si="335"/>
        <v>-8791162000</v>
      </c>
      <c r="G71" s="2">
        <f t="shared" si="335"/>
        <v>-4539603000</v>
      </c>
      <c r="H71" s="2">
        <f t="shared" si="335"/>
        <v>-5200426000</v>
      </c>
      <c r="I71" s="2">
        <f t="shared" si="335"/>
        <v>-8364880000</v>
      </c>
      <c r="J71" s="2">
        <f t="shared" si="335"/>
        <v>-53545891000</v>
      </c>
      <c r="K71" s="2">
        <f t="shared" si="335"/>
        <v>-14703255000</v>
      </c>
      <c r="L71" s="2">
        <f t="shared" si="335"/>
        <v>-8533526000</v>
      </c>
      <c r="M71" s="2">
        <f t="shared" si="335"/>
        <v>-1885249000</v>
      </c>
      <c r="N71" s="3">
        <f t="shared" si="334"/>
        <v>8</v>
      </c>
    </row>
    <row r="72" spans="1:14" x14ac:dyDescent="0.25">
      <c r="A72" t="str">
        <f>IFERROR(HLOOKUP(N72,$B$3:$W$4,2,0),"")</f>
        <v>2024/6</v>
      </c>
      <c r="B72" s="2">
        <f t="shared" si="335"/>
        <v>4361580000</v>
      </c>
      <c r="C72" s="2">
        <f t="shared" si="335"/>
        <v>1415830000</v>
      </c>
      <c r="D72" s="2">
        <f t="shared" si="335"/>
        <v>-1225643000</v>
      </c>
      <c r="E72" s="2">
        <f t="shared" si="335"/>
        <v>306424000</v>
      </c>
      <c r="F72" s="2">
        <f t="shared" si="335"/>
        <v>1637330000</v>
      </c>
      <c r="G72" s="2">
        <f t="shared" si="335"/>
        <v>2720636000</v>
      </c>
      <c r="H72" s="2">
        <f t="shared" si="335"/>
        <v>-636067000</v>
      </c>
      <c r="I72" s="2">
        <f t="shared" si="335"/>
        <v>4111766000</v>
      </c>
      <c r="J72" s="2">
        <f t="shared" si="335"/>
        <v>22301041000</v>
      </c>
      <c r="K72" s="2">
        <f t="shared" si="335"/>
        <v>6836275000</v>
      </c>
      <c r="L72" s="2">
        <f t="shared" si="335"/>
        <v>3772670000</v>
      </c>
      <c r="M72" s="2">
        <f t="shared" si="335"/>
        <v>1881874000</v>
      </c>
      <c r="N72" s="3">
        <f t="shared" si="334"/>
        <v>7</v>
      </c>
    </row>
    <row r="73" spans="1:14" x14ac:dyDescent="0.25">
      <c r="A73" t="str">
        <f t="shared" ref="A73:A75" si="336">IFERROR(HLOOKUP(N73,$B$3:$W$4,2,0),"")</f>
        <v>2024/9</v>
      </c>
      <c r="B73" s="2">
        <f t="shared" si="335"/>
        <v>10977162000</v>
      </c>
      <c r="C73" s="2">
        <f t="shared" si="335"/>
        <v>583848000</v>
      </c>
      <c r="D73" s="2">
        <f t="shared" si="335"/>
        <v>3310156000</v>
      </c>
      <c r="E73" s="2">
        <f t="shared" si="335"/>
        <v>-220782000</v>
      </c>
      <c r="F73" s="2">
        <f t="shared" si="335"/>
        <v>2648053000</v>
      </c>
      <c r="G73" s="2">
        <f t="shared" si="335"/>
        <v>2887448000</v>
      </c>
      <c r="H73" s="2">
        <f t="shared" si="335"/>
        <v>1226499000</v>
      </c>
      <c r="I73" s="2">
        <f t="shared" si="335"/>
        <v>9361454000</v>
      </c>
      <c r="J73" s="2">
        <f t="shared" si="335"/>
        <v>27959683000</v>
      </c>
      <c r="K73" s="2">
        <f t="shared" si="335"/>
        <v>7734957000</v>
      </c>
      <c r="L73" s="2">
        <f t="shared" si="335"/>
        <v>4024971000</v>
      </c>
      <c r="M73" s="2">
        <f t="shared" si="335"/>
        <v>992962000</v>
      </c>
      <c r="N73" s="3">
        <f t="shared" si="334"/>
        <v>6</v>
      </c>
    </row>
    <row r="74" spans="1:14" x14ac:dyDescent="0.25">
      <c r="A74" t="str">
        <f t="shared" si="336"/>
        <v>2024/12</v>
      </c>
      <c r="B74" s="2">
        <f t="shared" si="335"/>
        <v>22804731435</v>
      </c>
      <c r="C74" s="2">
        <f t="shared" si="335"/>
        <v>3840408804</v>
      </c>
      <c r="D74" s="2">
        <f t="shared" si="335"/>
        <v>9027327631</v>
      </c>
      <c r="E74" s="2">
        <f t="shared" si="335"/>
        <v>5847600429</v>
      </c>
      <c r="F74" s="2">
        <f t="shared" si="335"/>
        <v>9532861183</v>
      </c>
      <c r="G74" s="2">
        <f t="shared" si="335"/>
        <v>12222431709</v>
      </c>
      <c r="H74" s="2">
        <f t="shared" si="335"/>
        <v>17984793443</v>
      </c>
      <c r="I74" s="2">
        <f t="shared" si="335"/>
        <v>1410778179</v>
      </c>
      <c r="J74" s="2">
        <f t="shared" si="335"/>
        <v>28153292375</v>
      </c>
      <c r="K74" s="2">
        <f t="shared" si="335"/>
        <v>8217137031</v>
      </c>
      <c r="L74" s="2">
        <f t="shared" si="335"/>
        <v>4418825386</v>
      </c>
      <c r="M74" s="2">
        <f t="shared" si="335"/>
        <v>3414469224</v>
      </c>
      <c r="N74" s="3">
        <f t="shared" si="334"/>
        <v>5</v>
      </c>
    </row>
    <row r="75" spans="1:14" x14ac:dyDescent="0.25">
      <c r="A75" t="str">
        <f t="shared" si="336"/>
        <v>2025/3</v>
      </c>
      <c r="B75" s="2">
        <f t="shared" si="335"/>
        <v>-4382761435</v>
      </c>
      <c r="C75" s="2">
        <f t="shared" si="335"/>
        <v>4259900196</v>
      </c>
      <c r="D75" s="2">
        <f t="shared" si="335"/>
        <v>-89736631</v>
      </c>
      <c r="E75" s="2">
        <f t="shared" si="335"/>
        <v>-3018635429</v>
      </c>
      <c r="F75" s="2">
        <f t="shared" si="335"/>
        <v>-5552975183</v>
      </c>
      <c r="G75" s="2">
        <f t="shared" si="335"/>
        <v>-2587163709</v>
      </c>
      <c r="H75" s="2">
        <f t="shared" si="335"/>
        <v>-1695134443</v>
      </c>
      <c r="I75" s="2">
        <f t="shared" si="335"/>
        <v>-5428212179</v>
      </c>
      <c r="J75" s="2">
        <f t="shared" si="335"/>
        <v>-78521342375</v>
      </c>
      <c r="K75" s="2">
        <f t="shared" si="335"/>
        <v>-22425170031</v>
      </c>
      <c r="L75" s="2">
        <f t="shared" si="335"/>
        <v>-12314867386</v>
      </c>
      <c r="M75" s="2">
        <f t="shared" si="335"/>
        <v>-6869071224</v>
      </c>
      <c r="N75" s="3">
        <f t="shared" si="334"/>
        <v>4</v>
      </c>
    </row>
    <row r="76" spans="1:14" x14ac:dyDescent="0.25">
      <c r="A76" t="str">
        <f>IFERROR(HLOOKUP(N76,$B$3:$W$4,2,0),"")</f>
        <v>2025/6</v>
      </c>
      <c r="B76" s="2">
        <f t="shared" si="335"/>
        <v>7383302000</v>
      </c>
      <c r="C76" s="2">
        <f t="shared" si="335"/>
        <v>4472070000</v>
      </c>
      <c r="D76" s="2">
        <f t="shared" si="335"/>
        <v>-856925000</v>
      </c>
      <c r="E76" s="2">
        <f t="shared" si="335"/>
        <v>168617000</v>
      </c>
      <c r="F76" s="2">
        <f t="shared" si="335"/>
        <v>2052522000</v>
      </c>
      <c r="G76" s="2">
        <f t="shared" si="335"/>
        <v>-534026000</v>
      </c>
      <c r="H76" s="2">
        <f t="shared" si="335"/>
        <v>24476142000</v>
      </c>
      <c r="I76" s="2">
        <f t="shared" si="335"/>
        <v>-14237330000</v>
      </c>
      <c r="J76" s="2">
        <f t="shared" si="335"/>
        <v>24677236000</v>
      </c>
      <c r="K76" s="2">
        <f t="shared" si="335"/>
        <v>6822933000</v>
      </c>
      <c r="L76" s="2">
        <f t="shared" si="335"/>
        <v>3156259000</v>
      </c>
      <c r="M76" s="2">
        <f t="shared" si="335"/>
        <v>866545000</v>
      </c>
      <c r="N76" s="3">
        <f t="shared" si="334"/>
        <v>3</v>
      </c>
    </row>
    <row r="77" spans="1:14" x14ac:dyDescent="0.25">
      <c r="A77" t="str">
        <f>IFERROR(HLOOKUP(N77,$B$3:$X$4,2,0),"")</f>
        <v>2025/9</v>
      </c>
      <c r="B77" s="2">
        <f t="shared" si="335"/>
        <v>5415391000</v>
      </c>
      <c r="C77" s="2">
        <f t="shared" si="335"/>
        <v>-524907000</v>
      </c>
      <c r="D77" s="2">
        <f t="shared" si="335"/>
        <v>3096307000</v>
      </c>
      <c r="E77" s="2">
        <f>IFERROR(HLOOKUP($A77,$4:$44,E$54,0),"")</f>
        <v>-303466000</v>
      </c>
      <c r="F77" s="2">
        <f>IFERROR(HLOOKUP($A77,$4:$44,F$54,0),"")</f>
        <v>2077734000</v>
      </c>
      <c r="G77" s="2">
        <f t="shared" si="335"/>
        <v>4034751000</v>
      </c>
      <c r="H77" s="2">
        <f t="shared" si="335"/>
        <v>2376778000</v>
      </c>
      <c r="I77" s="2">
        <f t="shared" si="335"/>
        <v>906324000</v>
      </c>
      <c r="J77" s="2">
        <f t="shared" si="335"/>
        <v>29286362000</v>
      </c>
      <c r="K77" s="2">
        <f t="shared" si="335"/>
        <v>8618586000</v>
      </c>
      <c r="L77" s="2">
        <f t="shared" si="335"/>
        <v>4491793000</v>
      </c>
      <c r="M77" s="2">
        <f t="shared" si="335"/>
        <v>1313603000</v>
      </c>
      <c r="N77" s="3">
        <f t="shared" si="334"/>
        <v>2</v>
      </c>
    </row>
    <row r="78" spans="1:14" x14ac:dyDescent="0.25">
      <c r="D78" s="2" t="str">
        <f t="shared" si="335"/>
        <v/>
      </c>
      <c r="E78" s="2" t="str">
        <f t="shared" si="335"/>
        <v/>
      </c>
      <c r="F78" s="2" t="str">
        <f t="shared" si="335"/>
        <v/>
      </c>
      <c r="G78" s="2" t="str">
        <f t="shared" si="335"/>
        <v/>
      </c>
      <c r="H78" s="2" t="str">
        <f t="shared" si="335"/>
        <v/>
      </c>
      <c r="I78" s="2" t="str">
        <f t="shared" si="335"/>
        <v/>
      </c>
      <c r="J78" s="2" t="str">
        <f t="shared" si="335"/>
        <v/>
      </c>
      <c r="K78" s="2" t="str">
        <f t="shared" si="335"/>
        <v/>
      </c>
      <c r="L78" s="2" t="str">
        <f t="shared" si="335"/>
        <v/>
      </c>
      <c r="M78" s="2" t="str">
        <f t="shared" si="335"/>
        <v/>
      </c>
      <c r="N78" s="3">
        <f t="shared" si="334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1E60-6D49-4663-83E4-AD16AF172A0A}">
  <dimension ref="A1"/>
  <sheetViews>
    <sheetView topLeftCell="A139" zoomScale="70" zoomScaleNormal="70" workbookViewId="0">
      <selection activeCell="AI114" sqref="AI1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A99D-2E32-4D0F-B3B2-2951ED13F574}">
  <dimension ref="A1:V68"/>
  <sheetViews>
    <sheetView tabSelected="1" topLeftCell="E1" zoomScale="85" zoomScaleNormal="85" workbookViewId="0">
      <selection activeCell="V19" sqref="V19"/>
    </sheetView>
  </sheetViews>
  <sheetFormatPr defaultRowHeight="15" x14ac:dyDescent="0.25"/>
  <cols>
    <col min="1" max="1" width="28.42578125" bestFit="1" customWidth="1"/>
    <col min="2" max="2" width="19.140625" bestFit="1" customWidth="1"/>
    <col min="3" max="3" width="17" bestFit="1" customWidth="1"/>
    <col min="4" max="6" width="18.140625" bestFit="1" customWidth="1"/>
    <col min="7" max="7" width="22" bestFit="1" customWidth="1"/>
    <col min="8" max="8" width="18.140625" bestFit="1" customWidth="1"/>
    <col min="9" max="10" width="19.140625" bestFit="1" customWidth="1"/>
    <col min="11" max="13" width="18.140625" bestFit="1" customWidth="1"/>
    <col min="14" max="14" width="19.140625" bestFit="1" customWidth="1"/>
    <col min="15" max="15" width="18.140625" bestFit="1" customWidth="1"/>
    <col min="16" max="18" width="18" bestFit="1" customWidth="1"/>
    <col min="19" max="19" width="19.5703125" bestFit="1" customWidth="1"/>
    <col min="20" max="20" width="19" bestFit="1" customWidth="1"/>
    <col min="21" max="21" width="8.5703125" bestFit="1" customWidth="1"/>
  </cols>
  <sheetData>
    <row r="1" spans="1:22" x14ac:dyDescent="0.25">
      <c r="B1">
        <f>Yıllık!B1</f>
        <v>20</v>
      </c>
      <c r="C1">
        <f>($B$1+1)-COLUMN(B1)</f>
        <v>19</v>
      </c>
      <c r="D1">
        <f t="shared" ref="D1:U1" si="0">($B$1+1)-COLUMN(C1)</f>
        <v>18</v>
      </c>
      <c r="E1">
        <f t="shared" si="0"/>
        <v>17</v>
      </c>
      <c r="F1">
        <f t="shared" si="0"/>
        <v>16</v>
      </c>
      <c r="G1">
        <f t="shared" si="0"/>
        <v>15</v>
      </c>
      <c r="H1">
        <f t="shared" si="0"/>
        <v>14</v>
      </c>
      <c r="I1">
        <f t="shared" si="0"/>
        <v>13</v>
      </c>
      <c r="J1">
        <f t="shared" si="0"/>
        <v>12</v>
      </c>
      <c r="K1">
        <f t="shared" si="0"/>
        <v>11</v>
      </c>
      <c r="L1">
        <f t="shared" si="0"/>
        <v>10</v>
      </c>
      <c r="M1">
        <f t="shared" si="0"/>
        <v>9</v>
      </c>
      <c r="N1">
        <f t="shared" si="0"/>
        <v>8</v>
      </c>
      <c r="O1">
        <f t="shared" si="0"/>
        <v>7</v>
      </c>
      <c r="P1">
        <f t="shared" si="0"/>
        <v>6</v>
      </c>
      <c r="Q1">
        <f t="shared" si="0"/>
        <v>5</v>
      </c>
      <c r="R1">
        <f t="shared" si="0"/>
        <v>4</v>
      </c>
      <c r="S1">
        <f t="shared" si="0"/>
        <v>3</v>
      </c>
      <c r="T1">
        <f t="shared" si="0"/>
        <v>2</v>
      </c>
      <c r="U1">
        <f t="shared" si="0"/>
        <v>1</v>
      </c>
    </row>
    <row r="2" spans="1:22" x14ac:dyDescent="0.25">
      <c r="A2" s="7" t="s">
        <v>154</v>
      </c>
      <c r="B2" s="7" t="str">
        <f>IFERROR(HLOOKUP(B$1,Data!$1:$149,ROW($A2),0),"")</f>
        <v>2021/3</v>
      </c>
      <c r="C2" s="7" t="str">
        <f>IFERROR(HLOOKUP(C$1,Data!$1:$149,ROW($A2),0),"")</f>
        <v>2021/6</v>
      </c>
      <c r="D2" s="7" t="str">
        <f>IFERROR(HLOOKUP(D$1,Data!$1:$149,ROW($A2),0),"")</f>
        <v>2021/9</v>
      </c>
      <c r="E2" s="7" t="str">
        <f>IFERROR(HLOOKUP(E$1,Data!$1:$149,ROW($A2),0),"")</f>
        <v>2021/12</v>
      </c>
      <c r="F2" s="7" t="str">
        <f>IFERROR(HLOOKUP(F$1,Data!$1:$149,ROW($A2),0),"")</f>
        <v>2022/3</v>
      </c>
      <c r="G2" s="7" t="str">
        <f>IFERROR(HLOOKUP(G$1,Data!$1:$149,ROW($A2),0),"")</f>
        <v>2022/6</v>
      </c>
      <c r="H2" s="7" t="str">
        <f>IFERROR(HLOOKUP(H$1,Data!$1:$149,ROW($A2),0),"")</f>
        <v>2022/9</v>
      </c>
      <c r="I2" s="7" t="str">
        <f>IFERROR(HLOOKUP(I$1,Data!$1:$149,ROW($A2),0),"")</f>
        <v>2022/12</v>
      </c>
      <c r="J2" s="7" t="str">
        <f>IFERROR(HLOOKUP(J$1,Data!$1:$149,ROW($A2),0),"")</f>
        <v>2023/3</v>
      </c>
      <c r="K2" s="7" t="str">
        <f>IFERROR(HLOOKUP(K$1,Data!$1:$149,ROW($A2),0),"")</f>
        <v>2023/6</v>
      </c>
      <c r="L2" s="7" t="str">
        <f>IFERROR(HLOOKUP(L$1,Data!$1:$149,ROW($A2),0),"")</f>
        <v>2023/9</v>
      </c>
      <c r="M2" s="7" t="str">
        <f>IFERROR(HLOOKUP(M$1,Data!$1:$149,ROW($A2),0),"")</f>
        <v>2023/12</v>
      </c>
      <c r="N2" s="7" t="str">
        <f>IFERROR(HLOOKUP(N$1,Data!$1:$149,ROW($A2),0),"")</f>
        <v>2024/3</v>
      </c>
      <c r="O2" s="7" t="str">
        <f>IFERROR(HLOOKUP(O$1,Data!$1:$149,ROW($A2),0),"")</f>
        <v>2024/6</v>
      </c>
      <c r="P2" s="7" t="str">
        <f>IFERROR(HLOOKUP(P$1,Data!$1:$149,ROW($A2),0),"")</f>
        <v>2024/9</v>
      </c>
      <c r="Q2" s="7" t="str">
        <f>IFERROR(HLOOKUP(Q$1,Data!$1:$149,ROW($A2),0),"")</f>
        <v>2024/12</v>
      </c>
      <c r="R2" s="7" t="str">
        <f>IFERROR(HLOOKUP(R$1,Data!$1:$149,ROW($A2),0),"")</f>
        <v>2025/3</v>
      </c>
      <c r="S2" s="7" t="str">
        <f>IFERROR(HLOOKUP(S$1,Data!$1:$149,ROW($A2),0),"")</f>
        <v>2025/6</v>
      </c>
      <c r="T2" s="7" t="str">
        <f>IFERROR(HLOOKUP(T$1,Data!$1:$149,ROW($A2),0),"")</f>
        <v>2025/9</v>
      </c>
      <c r="U2" s="7"/>
    </row>
    <row r="3" spans="1:22" x14ac:dyDescent="0.25">
      <c r="A3" s="7" t="s">
        <v>155</v>
      </c>
      <c r="B3" s="22">
        <v>18.512508</v>
      </c>
      <c r="C3" s="22">
        <v>17.695295000000002</v>
      </c>
      <c r="D3" s="22">
        <v>16.131224</v>
      </c>
      <c r="E3" s="22">
        <v>14.187702</v>
      </c>
      <c r="F3" s="22">
        <v>13.317746</v>
      </c>
      <c r="G3" s="22">
        <v>18.953956999999999</v>
      </c>
      <c r="H3" s="22">
        <v>40.462257000000001</v>
      </c>
      <c r="I3" s="22">
        <v>28.838148</v>
      </c>
      <c r="J3" s="22">
        <v>31.947783000000001</v>
      </c>
      <c r="K3" s="22">
        <v>86.903152000000006</v>
      </c>
      <c r="L3" s="22">
        <v>75.751037999999994</v>
      </c>
      <c r="M3" s="22">
        <v>96.620757999999995</v>
      </c>
      <c r="N3" s="22">
        <v>157.42520099999999</v>
      </c>
      <c r="O3" s="6">
        <v>129.56805399999999</v>
      </c>
      <c r="P3" s="6">
        <v>108.92971799999999</v>
      </c>
      <c r="Q3" s="6">
        <v>111.613625</v>
      </c>
      <c r="R3" s="6">
        <v>97.731339000000006</v>
      </c>
      <c r="S3" s="6">
        <v>104.5</v>
      </c>
      <c r="T3" s="6">
        <v>114.599998</v>
      </c>
    </row>
    <row r="4" spans="1:22" x14ac:dyDescent="0.25">
      <c r="A4" s="7" t="s">
        <v>156</v>
      </c>
      <c r="B4" s="2">
        <f>IF(B3="","",Bilanço!$W$62)</f>
        <v>369276000</v>
      </c>
      <c r="C4" s="2">
        <f>IF(C3="","",Bilanço!$W$62)</f>
        <v>369276000</v>
      </c>
      <c r="D4" s="2">
        <f>IF(D3="","",Bilanço!$W$62)</f>
        <v>369276000</v>
      </c>
      <c r="E4" s="2">
        <f>IF(E3="","",Bilanço!$W$62)</f>
        <v>369276000</v>
      </c>
      <c r="F4" s="2">
        <f>IF(F3="","",Bilanço!$W$62)</f>
        <v>369276000</v>
      </c>
      <c r="G4" s="2">
        <f>IF(G3="","",Bilanço!$W$62)</f>
        <v>369276000</v>
      </c>
      <c r="H4" s="2">
        <f>IF(H3="","",Bilanço!$W$62)</f>
        <v>369276000</v>
      </c>
      <c r="I4" s="2">
        <f>IF(I3="","",Bilanço!$W$62)</f>
        <v>369276000</v>
      </c>
      <c r="J4" s="2">
        <f>IF(J3="","",Bilanço!$W$62)</f>
        <v>369276000</v>
      </c>
      <c r="K4" s="2">
        <f>IF(K3="","",Bilanço!$W$62)</f>
        <v>369276000</v>
      </c>
      <c r="L4" s="2">
        <f>IF(L3="","",Bilanço!$W$62)</f>
        <v>369276000</v>
      </c>
      <c r="M4" s="2">
        <f>IF(M3="","",Bilanço!$W$62)</f>
        <v>369276000</v>
      </c>
      <c r="N4" s="2">
        <f>IF(N3="","",Bilanço!$W$62)</f>
        <v>369276000</v>
      </c>
      <c r="O4" s="2">
        <f>IF(O3="","",Bilanço!$W$62)</f>
        <v>369276000</v>
      </c>
      <c r="P4" s="2">
        <f>IF(P3="","",Bilanço!$W$62)</f>
        <v>369276000</v>
      </c>
      <c r="Q4" s="2">
        <f>IF(Q3="","",Bilanço!$W$62)</f>
        <v>369276000</v>
      </c>
      <c r="R4" s="2">
        <f>IF(R3="","",Bilanço!$W$62)</f>
        <v>369276000</v>
      </c>
      <c r="S4" s="2">
        <f>IF(S3="","",Bilanço!$W$62)</f>
        <v>369276000</v>
      </c>
      <c r="T4" s="2">
        <f>IF(T3="","",Bilanço!$W$62)</f>
        <v>369276000</v>
      </c>
      <c r="U4" s="2" t="str">
        <f>IF(U3="","",Bilanço!$W$62)</f>
        <v/>
      </c>
    </row>
    <row r="5" spans="1:22" x14ac:dyDescent="0.25">
      <c r="A5" s="7" t="s">
        <v>157</v>
      </c>
      <c r="B5" s="2">
        <f>IFERROR(B4*B3,"")</f>
        <v>6836224904.2080002</v>
      </c>
      <c r="C5" s="2">
        <f t="shared" ref="C5:R5" si="1">IFERROR(C4*C3,"")</f>
        <v>6534447756.420001</v>
      </c>
      <c r="D5" s="2">
        <f t="shared" si="1"/>
        <v>5956873873.8239994</v>
      </c>
      <c r="E5" s="2">
        <f t="shared" si="1"/>
        <v>5239177843.7519999</v>
      </c>
      <c r="F5" s="2">
        <f t="shared" si="1"/>
        <v>4917923971.8959999</v>
      </c>
      <c r="G5" s="2">
        <f t="shared" si="1"/>
        <v>6999241425.132</v>
      </c>
      <c r="H5" s="2">
        <f t="shared" si="1"/>
        <v>14941740415.932001</v>
      </c>
      <c r="I5" s="2">
        <f t="shared" si="1"/>
        <v>10649235940.848</v>
      </c>
      <c r="J5" s="2">
        <f t="shared" si="1"/>
        <v>11797549515.108</v>
      </c>
      <c r="K5" s="2">
        <f t="shared" si="1"/>
        <v>32091248357.952003</v>
      </c>
      <c r="L5" s="2">
        <f t="shared" si="1"/>
        <v>27973040308.487999</v>
      </c>
      <c r="M5" s="2">
        <f t="shared" si="1"/>
        <v>35679727031.208</v>
      </c>
      <c r="N5" s="2">
        <f t="shared" si="1"/>
        <v>58133348524.475998</v>
      </c>
      <c r="O5" s="2">
        <f t="shared" si="1"/>
        <v>47846372708.903999</v>
      </c>
      <c r="P5" s="2">
        <f t="shared" si="1"/>
        <v>40225130544.167999</v>
      </c>
      <c r="Q5" s="2">
        <f t="shared" si="1"/>
        <v>41216232985.5</v>
      </c>
      <c r="R5" s="2">
        <f t="shared" si="1"/>
        <v>36089837940.564003</v>
      </c>
      <c r="S5" s="2">
        <f>IFERROR(S4*S3,"")</f>
        <v>38589342000</v>
      </c>
      <c r="T5" s="2">
        <f>IFERROR(T4*T3,"")</f>
        <v>42319028861.447998</v>
      </c>
      <c r="U5" s="2" t="str">
        <f t="shared" ref="U5" si="2">IFERROR(U4*U3,"")</f>
        <v/>
      </c>
    </row>
    <row r="6" spans="1:22" x14ac:dyDescent="0.25">
      <c r="A6" s="7" t="s">
        <v>158</v>
      </c>
      <c r="B6" s="2">
        <f>IF(B5="","",B5+(Bilanço!F34+Bilanço!F35+Bilanço!F48)-(Bilanço!F4+Bilanço!F5))</f>
        <v>8459934904.2080002</v>
      </c>
      <c r="C6" s="2">
        <f>IF(C5="","",C5+(Bilanço!G34+Bilanço!G35+Bilanço!G48)-(Bilanço!G4+Bilanço!G5))</f>
        <v>8571418756.420002</v>
      </c>
      <c r="D6" s="2">
        <f>IF(D5="","",D5+(Bilanço!H34+Bilanço!H35+Bilanço!H48)-(Bilanço!H4+Bilanço!H5))</f>
        <v>11551164873.823997</v>
      </c>
      <c r="E6" s="2">
        <f>IF(E5="","",E5+(Bilanço!I34+Bilanço!I35+Bilanço!I48)-(Bilanço!I4+Bilanço!I5))</f>
        <v>13996299843.751999</v>
      </c>
      <c r="F6" s="2">
        <f>IF(F5="","",F5+(Bilanço!J34+Bilanço!J35+Bilanço!J48)-(Bilanço!J4+Bilanço!J5))</f>
        <v>15457854971.896</v>
      </c>
      <c r="G6" s="2">
        <f>IF(G5="","",G5+(Bilanço!K34+Bilanço!K35+Bilanço!K48)-(Bilanço!K4+Bilanço!K5))</f>
        <v>19399705425.132</v>
      </c>
      <c r="H6" s="2">
        <f>IF(H5="","",H5+(Bilanço!L34+Bilanço!L35+Bilanço!L48)-(Bilanço!L4+Bilanço!L5))</f>
        <v>29684282415.931999</v>
      </c>
      <c r="I6" s="2">
        <f>IF(I5="","",I5+(Bilanço!M34+Bilanço!M35+Bilanço!M48)-(Bilanço!M4+Bilanço!M5))</f>
        <v>34187520940.848</v>
      </c>
      <c r="J6" s="2">
        <f>IF(J5="","",J5+(Bilanço!N34+Bilanço!N35+Bilanço!N48)-(Bilanço!N4+Bilanço!N5))</f>
        <v>27136415515.108002</v>
      </c>
      <c r="K6" s="2">
        <f>IF(K5="","",K5+(Bilanço!O34+Bilanço!O35+Bilanço!O48)-(Bilanço!O4+Bilanço!O5))</f>
        <v>51935473357.952003</v>
      </c>
      <c r="L6" s="2">
        <f>IF(L5="","",L5+(Bilanço!P34+Bilanço!P35+Bilanço!P48)-(Bilanço!P4+Bilanço!P5))</f>
        <v>46860935308.487999</v>
      </c>
      <c r="M6" s="2">
        <f>IF(M5="","",M5+(Bilanço!Q34+Bilanço!Q35+Bilanço!Q48)-(Bilanço!Q4+Bilanço!Q5))</f>
        <v>62969898031.208008</v>
      </c>
      <c r="N6" s="2">
        <f>IF(N5="","",N5+(Bilanço!R34+Bilanço!R35+Bilanço!R48)-(Bilanço!R4+Bilanço!R5))</f>
        <v>79780649524.475998</v>
      </c>
      <c r="O6" s="2">
        <f>IF(O5="","",O5+(Bilanço!S34+Bilanço!S35+Bilanço!S48)-(Bilanço!S4+Bilanço!S5))</f>
        <v>68863092708.903992</v>
      </c>
      <c r="P6" s="2">
        <f>IF(P5="","",P5+(Bilanço!T34+Bilanço!T35+Bilanço!T48)-(Bilanço!T4+Bilanço!T5))</f>
        <v>64430578544.167999</v>
      </c>
      <c r="Q6" s="2">
        <f>IF(Q5="","",Q5+(Bilanço!U34+Bilanço!U35+Bilanço!U48)-(Bilanço!U4+Bilanço!U5))</f>
        <v>68429159161.5</v>
      </c>
      <c r="R6" s="2">
        <f>IF(R5="","",R5+(Bilanço!V34+Bilanço!V35+Bilanço!V48)-(Bilanço!V4+Bilanço!V5))</f>
        <v>67568301940.563995</v>
      </c>
      <c r="S6" s="2">
        <f>IF(S5="","",S5+(Bilanço!W34+Bilanço!W35+Bilanço!W48)-(Bilanço!W4+Bilanço!W5))</f>
        <v>76479477000</v>
      </c>
      <c r="T6" s="2">
        <f>IF(T5="","",T5+(Bilanço!X34+Bilanço!X35+Bilanço!X48)-(Bilanço!X4+Bilanço!X5))</f>
        <v>81215786861.447998</v>
      </c>
      <c r="U6" s="2" t="str">
        <f>IF(U5="","",U5+(Bilanço!U33+Bilanço!U47-Bilanço!U3))</f>
        <v/>
      </c>
    </row>
    <row r="7" spans="1:22" x14ac:dyDescent="0.25">
      <c r="A7" s="7" t="s">
        <v>153</v>
      </c>
      <c r="B7" s="6">
        <f>IF(B5="","",Yıllık!B81)</f>
        <v>4.7100380116959064</v>
      </c>
      <c r="C7" s="6">
        <f>IF(C5="","",Yıllık!C81)</f>
        <v>3.8814035087719296</v>
      </c>
      <c r="D7" s="6">
        <f>IF(D5="","",Yıllık!D81)</f>
        <v>3.0833771929824563</v>
      </c>
      <c r="E7" s="6">
        <f>IF(E5="","",Yıllık!E81)</f>
        <v>-1.3576959064327485</v>
      </c>
      <c r="F7" s="6">
        <f>IF(F5="","",Yıllık!F81)</f>
        <v>-3.9946900584795322</v>
      </c>
      <c r="G7" s="6">
        <f>IF(G5="","",Yıllık!G81)</f>
        <v>-6.5376286549707601</v>
      </c>
      <c r="H7" s="6">
        <f>IF(H5="","",Yıllık!H81)</f>
        <v>-7.1795438596491232</v>
      </c>
      <c r="I7" s="6">
        <f>IF(I5="","",Yıllık!I81)</f>
        <v>2.8795116959064329</v>
      </c>
      <c r="J7" s="6">
        <f>IF(J5="","",Yıllık!J81)</f>
        <v>11.311201754385966</v>
      </c>
      <c r="K7" s="6">
        <f>IF(K5="","",Yıllık!K81)</f>
        <v>5.9662953216374266</v>
      </c>
      <c r="L7" s="6">
        <f>IF(L5="","",Yıllık!L81)</f>
        <v>14.379363944583455</v>
      </c>
      <c r="M7" s="6">
        <f>IF(M5="","",Yıllık!M81)</f>
        <v>13.210668984716039</v>
      </c>
      <c r="N7" s="6">
        <f>IF(N5="","",Yıllık!N81)</f>
        <v>14.781854222857699</v>
      </c>
      <c r="O7" s="6">
        <f>IF(O5="","",Yıllık!O81)</f>
        <v>26.58458984607719</v>
      </c>
      <c r="P7" s="6">
        <f>IF(P5="","",Yıllık!P81)</f>
        <v>21.007620316511229</v>
      </c>
      <c r="Q7" s="6">
        <f>IF(Q5="","",Yıllık!Q81)</f>
        <v>25.136860299613296</v>
      </c>
      <c r="R7" s="6">
        <f>IF(R5="","",Yıllık!R81)</f>
        <v>23.566853042169001</v>
      </c>
      <c r="S7" s="6">
        <f>IF(S5="","",Yıllık!S81)</f>
        <v>20.817340482457567</v>
      </c>
      <c r="T7" s="6">
        <f>IF(T5="","",Yıllık!T81)</f>
        <v>21.685636824488999</v>
      </c>
      <c r="U7" s="6" t="str">
        <f>IF(U5="","",Bilanço!U151)</f>
        <v/>
      </c>
    </row>
    <row r="8" spans="1:22" x14ac:dyDescent="0.25">
      <c r="A8" s="7"/>
      <c r="C8" s="5"/>
      <c r="D8" s="5"/>
      <c r="E8" s="5"/>
      <c r="F8" s="5"/>
      <c r="G8" s="5"/>
      <c r="H8" s="5"/>
      <c r="I8" s="5"/>
      <c r="J8" s="5"/>
      <c r="K8" s="5"/>
      <c r="L8" s="5"/>
      <c r="U8" t="str">
        <f t="shared" ref="U8" si="3">IFERROR(IF(U5="","",IF(MID(U2,5,7)="/3",U7,U7-T7)),"")</f>
        <v/>
      </c>
    </row>
    <row r="9" spans="1:22" x14ac:dyDescent="0.25">
      <c r="A9" s="7" t="s">
        <v>159</v>
      </c>
      <c r="B9" s="6">
        <f>IF(B5="","",IF(B5/Bilanço!F61&lt;0,"",B5/Bilanço!F61))</f>
        <v>1.0908950764858887</v>
      </c>
      <c r="C9" s="6">
        <f>IF(C5="","",IF(C5/Bilanço!G61&lt;0,"",C5/Bilanço!G61))</f>
        <v>1.0484782473192953</v>
      </c>
      <c r="D9" s="6">
        <f>IF(D5="","",IF(D5/Bilanço!H61&lt;0,"",D5/Bilanço!H61))</f>
        <v>2.1268404499642779</v>
      </c>
      <c r="E9" s="6">
        <f>IF(E5="","",IF(E5/Bilanço!I61&lt;0,"",E5/Bilanço!I61))</f>
        <v>1.7541612098620758</v>
      </c>
      <c r="F9" s="6">
        <f>IF(F5="","",IF(F5/Bilanço!J61&lt;0,"",F5/Bilanço!J61))</f>
        <v>1.9001607982406048</v>
      </c>
      <c r="G9" s="6">
        <f>IF(G5="","",IF(G5/Bilanço!K61&lt;0,"",G5/Bilanço!K61))</f>
        <v>2.7809275339407273</v>
      </c>
      <c r="H9" s="6">
        <f>IF(H5="","",IF(H5/Bilanço!L61&lt;0,"",H5/Bilanço!L61))</f>
        <v>5.464607772053653</v>
      </c>
      <c r="I9" s="6">
        <f>IF(I5="","",IF(I5/Bilanço!M61&lt;0,"",I5/Bilanço!M61))</f>
        <v>0.8847924211840984</v>
      </c>
      <c r="J9" s="6">
        <f>IF(J5="","",IF(J5/Bilanço!N61&lt;0,"",J5/Bilanço!N61))</f>
        <v>1.8117064099060112</v>
      </c>
      <c r="K9" s="6">
        <f>IF(K5="","",IF(K5/Bilanço!O61&lt;0,"",K5/Bilanço!O61))</f>
        <v>5.4315830558045102</v>
      </c>
      <c r="L9" s="6">
        <f>IF(L5="","",IF(L5/Bilanço!P61&lt;0,"",L5/Bilanço!P61))</f>
        <v>3.1443076186249121</v>
      </c>
      <c r="M9" s="6">
        <f>IF(M5="","",IF(M5/Bilanço!Q61&lt;0,"",M5/Bilanço!Q61))</f>
        <v>1.375103833320416</v>
      </c>
      <c r="N9" s="6">
        <f>IF(N5="","",IF(N5/Bilanço!R61&lt;0,"",N5/Bilanço!R61))</f>
        <v>2.7155814631939621</v>
      </c>
      <c r="O9" s="6">
        <f>IF(O5="","",IF(O5/Bilanço!S61&lt;0,"",O5/Bilanço!S61))</f>
        <v>1.9830255359653606</v>
      </c>
      <c r="P9" s="6">
        <f>IF(P5="","",IF(P5/Bilanço!T61&lt;0,"",P5/Bilanço!T61))</f>
        <v>1.4889696135757164</v>
      </c>
      <c r="Q9" s="6">
        <f>IF(Q5="","",IF(Q5/Bilanço!U61&lt;0,"",Q5/Bilanço!U61))</f>
        <v>1.0504203847268356</v>
      </c>
      <c r="R9" s="6">
        <f>IF(R5="","",IF(R5/Bilanço!V61&lt;0,"",R5/Bilanço!V61))</f>
        <v>0.98469758190486067</v>
      </c>
      <c r="S9" s="6">
        <f>IF(S5="","",IF(S5/Bilanço!W61&lt;0,"",S5/Bilanço!W61))</f>
        <v>1.0684638688587338</v>
      </c>
      <c r="T9" s="6">
        <f>IF(T5="","",IF(T5/Bilanço!X61&lt;0,"",T5/Bilanço!X61))</f>
        <v>1.053986199324173</v>
      </c>
      <c r="U9" t="str">
        <f>IF(U5="","",U5/Bilanço!U61)</f>
        <v/>
      </c>
      <c r="V9" s="22">
        <f>T50</f>
        <v>1.1862693022281494</v>
      </c>
    </row>
    <row r="10" spans="1:22" x14ac:dyDescent="0.25">
      <c r="A10" s="7" t="s">
        <v>160</v>
      </c>
      <c r="B10" s="5">
        <f>IF(OR(B7="",B7&lt;0),"",IF(B3/B7&lt;0,"",B3/B7))</f>
        <v>3.930437069516207</v>
      </c>
      <c r="C10" s="5">
        <f t="shared" ref="C10:T10" si="4">IF(OR(C7="",C7&lt;0),"",IF(C3/C7&lt;0,"",C3/C7))</f>
        <v>4.5589939206291819</v>
      </c>
      <c r="D10" s="5">
        <f t="shared" si="4"/>
        <v>5.2316739050653611</v>
      </c>
      <c r="E10" s="5" t="str">
        <f t="shared" si="4"/>
        <v/>
      </c>
      <c r="F10" s="5" t="str">
        <f t="shared" si="4"/>
        <v/>
      </c>
      <c r="G10" s="5" t="str">
        <f t="shared" si="4"/>
        <v/>
      </c>
      <c r="H10" s="5" t="str">
        <f t="shared" si="4"/>
        <v/>
      </c>
      <c r="I10" s="5">
        <f t="shared" si="4"/>
        <v>10.014943867391422</v>
      </c>
      <c r="J10" s="5">
        <f t="shared" si="4"/>
        <v>2.8244375525891505</v>
      </c>
      <c r="K10" s="5">
        <f t="shared" si="4"/>
        <v>14.56568059660677</v>
      </c>
      <c r="L10" s="5">
        <f t="shared" si="4"/>
        <v>5.2680381616277652</v>
      </c>
      <c r="M10" s="5">
        <f t="shared" si="4"/>
        <v>7.3138429334490542</v>
      </c>
      <c r="N10" s="5">
        <f t="shared" si="4"/>
        <v>10.649895380281039</v>
      </c>
      <c r="O10" s="5">
        <f t="shared" si="4"/>
        <v>4.8738030095701852</v>
      </c>
      <c r="P10" s="5">
        <f t="shared" si="4"/>
        <v>5.1852478462010847</v>
      </c>
      <c r="Q10" s="5">
        <f t="shared" si="4"/>
        <v>4.4402373116469542</v>
      </c>
      <c r="R10" s="5">
        <f t="shared" si="4"/>
        <v>4.1469830029968735</v>
      </c>
      <c r="S10" s="5">
        <f t="shared" si="4"/>
        <v>5.0198535249044154</v>
      </c>
      <c r="T10" s="5">
        <f t="shared" si="4"/>
        <v>5.2846037645795736</v>
      </c>
      <c r="U10" t="str">
        <f t="shared" ref="U10" si="5">IF(U7="","",U3/U7)</f>
        <v/>
      </c>
      <c r="V10" s="22">
        <f>T49</f>
        <v>6.0546270937252711</v>
      </c>
    </row>
    <row r="11" spans="1:22" x14ac:dyDescent="0.25">
      <c r="A11" s="7" t="s">
        <v>161</v>
      </c>
      <c r="B11" s="6">
        <f>IF(B6="","",IF(B6/Yıllık!B79&lt;0,"",B6/Yıllık!B79))</f>
        <v>4.1202112058957461</v>
      </c>
      <c r="C11" s="6">
        <f>IF(C6="","",IF(C6/Yıllık!C79&lt;0,"",C6/Yıllık!C79))</f>
        <v>4.0428893980723757</v>
      </c>
      <c r="D11" s="6">
        <f>IF(D6="","",IF(D6/Yıllık!D79&lt;0,"",D6/Yıllık!D79))</f>
        <v>5.6531908549033414</v>
      </c>
      <c r="E11" s="6">
        <f>IF(E6="","",IF(E6/Yıllık!E79&lt;0,"",E6/Yıllık!E79))</f>
        <v>6.0112293008732758</v>
      </c>
      <c r="F11" s="6">
        <f>IF(F6="","",IF(F6/Yıllık!F79&lt;0,"",F6/Yıllık!F79))</f>
        <v>5.1073333020207494</v>
      </c>
      <c r="G11" s="6">
        <f>IF(G6="","",IF(G6/Yıllık!G79&lt;0,"",G6/Yıllık!G79))</f>
        <v>5.2229114364199143</v>
      </c>
      <c r="H11" s="6">
        <f>IF(H6="","",IF(H6/Yıllık!H79&lt;0,"",H6/Yıllık!H79))</f>
        <v>6.647688495902452</v>
      </c>
      <c r="I11" s="6">
        <f>IF(I6="","",IF(I6/Yıllık!I79&lt;0,"",I6/Yıllık!I79))</f>
        <v>5.1004043830626244</v>
      </c>
      <c r="J11" s="6">
        <f>IF(J6="","",IF(J6/Yıllık!J79&lt;0,"",J6/Yıllık!J79))</f>
        <v>2.9178075484112518</v>
      </c>
      <c r="K11" s="6">
        <f>IF(K6="","",IF(K6/Yıllık!K79&lt;0,"",K6/Yıllık!K79))</f>
        <v>4.4813887819312335</v>
      </c>
      <c r="L11" s="6">
        <f>IF(L6="","",IF(L6/Yıllık!L79&lt;0,"",L6/Yıllık!L79))</f>
        <v>3.3300335894969169</v>
      </c>
      <c r="M11" s="6">
        <f>IF(M6="","",IF(M6/Yıllık!M79&lt;0,"",M6/Yıllık!M79))</f>
        <v>4.1143353247659809</v>
      </c>
      <c r="N11" s="6">
        <f>IF(N6="","",IF(N6/Yıllık!N79&lt;0,"",N6/Yıllık!N79))</f>
        <v>4.6804446025066513</v>
      </c>
      <c r="O11" s="6">
        <f>IF(O6="","",IF(O6/Yıllık!O79&lt;0,"",O6/Yıllık!O79))</f>
        <v>3.8425080322390133</v>
      </c>
      <c r="P11" s="6">
        <f>IF(P6="","",IF(P6/Yıllık!P79&lt;0,"",P6/Yıllık!P79))</f>
        <v>3.4281907197783332</v>
      </c>
      <c r="Q11" s="6">
        <f>IF(Q6="","",IF(Q6/Yıllık!Q79&lt;0,"",Q6/Yıllık!Q79))</f>
        <v>3.4980759527425396</v>
      </c>
      <c r="R11" s="6">
        <f>IF(R6="","",IF(R6/Yıllık!R79&lt;0,"",R6/Yıllık!R79))</f>
        <v>3.4714720582993639</v>
      </c>
      <c r="S11" s="6">
        <f>IF(S6="","",IF(S6/Yıllık!S79&lt;0,"",S6/Yıllık!S79))</f>
        <v>4.0538182345131677</v>
      </c>
      <c r="T11" s="6">
        <f>IF(T6="","",IF(T6/Yıllık!T79&lt;0,"",T6/Yıllık!T79))</f>
        <v>4.1749628720713998</v>
      </c>
      <c r="U11" t="str">
        <f>IF(U6="","",U6/Bilanço!U150)</f>
        <v/>
      </c>
      <c r="V11" s="22">
        <f>T51</f>
        <v>3.9515367207100396</v>
      </c>
    </row>
    <row r="12" spans="1:22" x14ac:dyDescent="0.25">
      <c r="A12" s="7" t="s">
        <v>162</v>
      </c>
      <c r="B12" s="6">
        <f>IF(B5="","",IF(B5/Yıllık!B20&lt;0,"",B5/Yıllık!B20))</f>
        <v>3.705218736325667</v>
      </c>
      <c r="C12" s="6">
        <f>IF(C5="","",IF(C5/Yıllık!C20&lt;0,"",C5/Yıllık!C20))</f>
        <v>3.4364646053253667</v>
      </c>
      <c r="D12" s="6">
        <f>IF(D5="","",IF(D5/Yıllık!D20&lt;0,"",D5/Yıllık!D20))</f>
        <v>3.2706175563044586</v>
      </c>
      <c r="E12" s="6">
        <f>IF(E5="","",IF(E5/Yıllık!E20&lt;0,"",E5/Yıllık!E20))</f>
        <v>2.4968083702680679</v>
      </c>
      <c r="F12" s="6">
        <f>IF(F5="","",IF(F5/Yıllık!F20&lt;0,"",F5/Yıllık!F20))</f>
        <v>1.7744641965810546</v>
      </c>
      <c r="G12" s="6">
        <f>IF(G5="","",IF(G5/Yıllık!G20&lt;0,"",G5/Yıllık!G20))</f>
        <v>2.0394690002465112</v>
      </c>
      <c r="H12" s="6">
        <f>IF(H5="","",IF(H5/Yıllık!H20&lt;0,"",H5/Yıllık!H20))</f>
        <v>3.5974503971859373</v>
      </c>
      <c r="I12" s="6">
        <f>IF(I5="","",IF(I5/Yıllık!I20&lt;0,"",I5/Yıllık!I20))</f>
        <v>1.9239335793943311</v>
      </c>
      <c r="J12" s="6">
        <f>IF(J5="","",IF(J5/Yıllık!J20&lt;0,"",J5/Yıllık!J20))</f>
        <v>1.5029227109373586</v>
      </c>
      <c r="K12" s="6">
        <f>IF(K5="","",IF(K5/Yıllık!K20&lt;0,"",K5/Yıllık!K20))</f>
        <v>3.2724740428107393</v>
      </c>
      <c r="L12" s="6">
        <f>IF(L5="","",IF(L5/Yıllık!L20&lt;0,"",L5/Yıllık!L20))</f>
        <v>2.345822563260763</v>
      </c>
      <c r="M12" s="6">
        <f>IF(M5="","",IF(M5/Yıllık!M20&lt;0,"",M5/Yıllık!M20))</f>
        <v>2.6243973902939803</v>
      </c>
      <c r="N12" s="6">
        <f>IF(N5="","",IF(N5/Yıllık!N20&lt;0,"",N5/Yıllık!N20))</f>
        <v>3.8305832229114851</v>
      </c>
      <c r="O12" s="6">
        <f>IF(O5="","",IF(O5/Yıllık!O20&lt;0,"",O5/Yıllık!O20))</f>
        <v>3.0014253434291747</v>
      </c>
      <c r="P12" s="6">
        <f>IF(P5="","",IF(P5/Yıllık!P20&lt;0,"",P5/Yıllık!P20))</f>
        <v>2.4111316142216324</v>
      </c>
      <c r="Q12" s="6">
        <f>IF(Q5="","",IF(Q5/Yıllık!Q20&lt;0,"",Q5/Yıllık!Q20))</f>
        <v>2.3854280466515223</v>
      </c>
      <c r="R12" s="6">
        <f>IF(R5="","",IF(R5/Yıllık!R20&lt;0,"",R5/Yıllık!R20))</f>
        <v>2.100696709754819</v>
      </c>
      <c r="S12" s="6">
        <f>IF(S5="","",IF(S5/Yıllık!S20&lt;0,"",S5/Yıllık!S20))</f>
        <v>2.3297781583888377</v>
      </c>
      <c r="T12" s="6">
        <f>IF(T5="","",IF(T5/Yıllık!T20&lt;0,"",T5/Yıllık!T20))</f>
        <v>2.4849185643340603</v>
      </c>
      <c r="U12" t="str">
        <f>IF(U5="","",U5/Bilanço!U91)</f>
        <v/>
      </c>
    </row>
    <row r="13" spans="1:22" x14ac:dyDescent="0.25">
      <c r="A13" s="7" t="s">
        <v>163</v>
      </c>
      <c r="B13" s="6">
        <f>IF(B6="","",IF(B6/Yıllık!B3&lt;0,"",B6/Yıllık!B3))</f>
        <v>0.83569265913503565</v>
      </c>
      <c r="C13" s="6">
        <f>IF(C6="","",IF(C6/Yıllık!C3&lt;0,"",C6/Yıllık!C3))</f>
        <v>0.80575963143303631</v>
      </c>
      <c r="D13" s="6">
        <f>IF(D6="","",IF(D6/Yıllık!D3&lt;0,"",D6/Yıllık!D3))</f>
        <v>1.0352384616226509</v>
      </c>
      <c r="E13" s="6">
        <f>IF(E6="","",IF(E6/Yıllık!E3&lt;0,"",E6/Yıllık!E3))</f>
        <v>1.1163923213182017</v>
      </c>
      <c r="F13" s="6">
        <f>IF(F6="","",IF(F6/Yıllık!F3&lt;0,"",F6/Yıllık!F3))</f>
        <v>0.98839554504860527</v>
      </c>
      <c r="G13" s="6">
        <f>IF(G6="","",IF(G6/Yıllık!G3&lt;0,"",G6/Yıllık!G3))</f>
        <v>1.0225809018800804</v>
      </c>
      <c r="H13" s="6">
        <f>IF(H6="","",IF(H6/Yıllık!H3&lt;0,"",H6/Yıllık!H3))</f>
        <v>1.2741674290007174</v>
      </c>
      <c r="I13" s="6">
        <f>IF(I6="","",IF(I6/Yıllık!I3&lt;0,"",I6/Yıllık!I3))</f>
        <v>0.65769000483497808</v>
      </c>
      <c r="J13" s="6">
        <f>IF(J6="","",IF(J6/Yıllık!J3&lt;0,"",J6/Yıllık!J3))</f>
        <v>0.41812640689628056</v>
      </c>
      <c r="K13" s="6">
        <f>IF(K6="","",IF(K6/Yıllık!K3&lt;0,"",K6/Yıllık!K3))</f>
        <v>0.66206727373293228</v>
      </c>
      <c r="L13" s="6">
        <f>IF(L6="","",IF(L6/Yıllık!L3&lt;0,"",L6/Yıllık!L3))</f>
        <v>0.52681153936720759</v>
      </c>
      <c r="M13" s="6">
        <f>IF(M6="","",IF(M6/Yıllık!M3&lt;0,"",M6/Yıllık!M3))</f>
        <v>0.78111369988826229</v>
      </c>
      <c r="N13" s="6">
        <f>IF(N6="","",IF(N6/Yıllık!N3&lt;0,"",N6/Yıllık!N3))</f>
        <v>0.89761864572181704</v>
      </c>
      <c r="O13" s="6">
        <f>IF(O6="","",IF(O6/Yıllık!O3&lt;0,"",O6/Yıllık!O3))</f>
        <v>0.75140346565741167</v>
      </c>
      <c r="P13" s="6">
        <f>IF(P6="","",IF(P6/Yıllık!P3&lt;0,"",P6/Yıllık!P3))</f>
        <v>0.6329367352865044</v>
      </c>
      <c r="Q13" s="6">
        <f>IF(Q6="","",IF(Q6/Yıllık!Q3&lt;0,"",Q6/Yıllık!Q3))</f>
        <v>0.64871810067027269</v>
      </c>
      <c r="R13" s="6">
        <f>IF(R6="","",IF(R6/Yıllık!R3&lt;0,"",R6/Yıllık!R3))</f>
        <v>0.64120946114257404</v>
      </c>
      <c r="S13" s="6">
        <f>IF(S6="","",IF(S6/Yıllık!S3&lt;0,"",S6/Yıllık!S3))</f>
        <v>0.70976967458096551</v>
      </c>
      <c r="T13" s="6">
        <f>IF(T6="","",IF(T6/Yıllık!T3&lt;0,"",T6/Yıllık!T3))</f>
        <v>0.74455791177725361</v>
      </c>
      <c r="U13" t="str">
        <f>IF(U6="","",U6/Bilanço!U74)</f>
        <v/>
      </c>
      <c r="V13" s="22">
        <f>T53</f>
        <v>0.73134687228343054</v>
      </c>
    </row>
    <row r="14" spans="1:22" x14ac:dyDescent="0.25">
      <c r="A14" s="7" t="s">
        <v>164</v>
      </c>
      <c r="B14" s="4">
        <f>IF(B5="","",IF(Yıllık!B20/B5&lt;0,"",Yıllık!B20/B5))</f>
        <v>0.26988959928224487</v>
      </c>
      <c r="C14" s="4">
        <f>IF(C5="","",IF(Yıllık!C20/C5&lt;0,"",Yıllık!C20/C5))</f>
        <v>0.29099674079294624</v>
      </c>
      <c r="D14" s="4">
        <f>IF(D5="","",IF(Yıllık!D20/D5&lt;0,"",Yıllık!D20/D5))</f>
        <v>0.30575265459344064</v>
      </c>
      <c r="E14" s="4">
        <f>IF(E5="","",IF(Yıllık!E20/E5&lt;0,"",Yıllık!E20/E5))</f>
        <v>0.40051131352649055</v>
      </c>
      <c r="F14" s="4">
        <f>IF(F5="","",IF(Yıllık!F20/F5&lt;0,"",Yıllık!F20/F5))</f>
        <v>0.5635503956218153</v>
      </c>
      <c r="G14" s="4">
        <f>IF(G5="","",IF(Yıllık!G20/G5&lt;0,"",Yıllık!G20/G5))</f>
        <v>0.49032370674873205</v>
      </c>
      <c r="H14" s="4">
        <f>IF(H5="","",IF(Yıllık!H20/H5&lt;0,"",Yıllık!H20/H5))</f>
        <v>0.27797464581644771</v>
      </c>
      <c r="I14" s="4">
        <f>IF(I5="","",IF(Yıllık!I20/I5&lt;0,"",Yıllık!I20/I5))</f>
        <v>0.5197684632724211</v>
      </c>
      <c r="J14" s="4">
        <f>IF(J5="","",IF(Yıllık!J20/J5&lt;0,"",Yıllık!J20/J5))</f>
        <v>0.6653702101396215</v>
      </c>
      <c r="K14" s="4">
        <f>IF(K5="","",IF(Yıllık!K20/K5&lt;0,"",Yıllık!K20/K5))</f>
        <v>0.30557919999301097</v>
      </c>
      <c r="L14" s="4">
        <f>IF(L5="","",IF(Yıllık!L20/L5&lt;0,"",Yıllık!L20/L5))</f>
        <v>0.42628970138729089</v>
      </c>
      <c r="M14" s="4">
        <f>IF(M5="","",IF(Yıllık!M20/M5&lt;0,"",Yıllık!M20/M5))</f>
        <v>0.38103985459609901</v>
      </c>
      <c r="N14" s="4">
        <f>IF(N5="","",IF(Yıllık!N20/N5&lt;0,"",Yıllık!N20/N5))</f>
        <v>0.26105685265335049</v>
      </c>
      <c r="O14" s="4">
        <f>IF(O5="","",IF(Yıllık!O20/O5&lt;0,"",Yıllık!O20/O5))</f>
        <v>0.33317503705005852</v>
      </c>
      <c r="P14" s="4">
        <f>IF(P5="","",IF(Yıllık!P20/P5&lt;0,"",Yıllık!P20/P5))</f>
        <v>0.41474301697247773</v>
      </c>
      <c r="Q14" s="4">
        <f>IF(Q5="","",IF(Yıllık!Q20/Q5&lt;0,"",Yıllık!Q20/Q5))</f>
        <v>0.41921197388607961</v>
      </c>
      <c r="R14" s="4">
        <f>IF(R5="","",IF(Yıllık!R20/R5&lt;0,"",Yıllık!R20/R5))</f>
        <v>0.47603254451553562</v>
      </c>
      <c r="S14" s="4">
        <f>IF(S5="","",IF(Yıllık!S20/S5&lt;0,"",Yıllık!S20/S5))</f>
        <v>0.42922541633386752</v>
      </c>
      <c r="T14" s="4">
        <f>IF(T5="","",IF(Yıllık!T20/T5&lt;0,"",Yıllık!T20/T5))</f>
        <v>0.40242767483528885</v>
      </c>
      <c r="U14" s="4" t="str">
        <f>IF(U5="","",Bilanço!U91/#REF!)</f>
        <v/>
      </c>
      <c r="V14" s="4">
        <f>T54</f>
        <v>0.35993467796393619</v>
      </c>
    </row>
    <row r="15" spans="1:22" x14ac:dyDescent="0.25">
      <c r="A15" s="7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2" x14ac:dyDescent="0.25">
      <c r="A16" s="7" t="s">
        <v>242</v>
      </c>
      <c r="B16" s="6">
        <f>B5/B19</f>
        <v>0.67529869122291719</v>
      </c>
      <c r="C16" s="6">
        <f t="shared" ref="C16:T16" si="6">C5/C19</f>
        <v>0.6142733619084676</v>
      </c>
      <c r="D16" s="6">
        <f t="shared" si="6"/>
        <v>0.53386693139427177</v>
      </c>
      <c r="E16" s="6">
        <f t="shared" si="6"/>
        <v>0.41789458500320648</v>
      </c>
      <c r="F16" s="6">
        <f t="shared" si="6"/>
        <v>0.31445851662777863</v>
      </c>
      <c r="G16" s="6">
        <f t="shared" si="6"/>
        <v>0.36893810767434371</v>
      </c>
      <c r="H16" s="6">
        <f t="shared" si="6"/>
        <v>0.64135890852278299</v>
      </c>
      <c r="I16" s="6">
        <f t="shared" si="6"/>
        <v>0.20486703465698602</v>
      </c>
      <c r="J16" s="6">
        <f t="shared" si="6"/>
        <v>0.18178034553556741</v>
      </c>
      <c r="K16" s="6">
        <f t="shared" si="6"/>
        <v>0.40909543973151435</v>
      </c>
      <c r="L16" s="6">
        <f t="shared" si="6"/>
        <v>0.31447345915492775</v>
      </c>
      <c r="M16" s="6">
        <f t="shared" si="6"/>
        <v>0.44259121363889992</v>
      </c>
      <c r="N16" s="6">
        <f t="shared" si="6"/>
        <v>0.65406308277555059</v>
      </c>
      <c r="O16" s="6">
        <f t="shared" si="6"/>
        <v>0.52207835661087121</v>
      </c>
      <c r="P16" s="6">
        <f t="shared" si="6"/>
        <v>0.39515340973767615</v>
      </c>
      <c r="Q16" s="6">
        <f t="shared" si="6"/>
        <v>0.39073571423014541</v>
      </c>
      <c r="R16" s="6">
        <f t="shared" si="6"/>
        <v>0.34248523159495448</v>
      </c>
      <c r="S16" s="6">
        <f t="shared" si="6"/>
        <v>0.35812934120396228</v>
      </c>
      <c r="T16" s="6">
        <f t="shared" si="6"/>
        <v>0.38796604669083018</v>
      </c>
    </row>
    <row r="18" spans="1:20" x14ac:dyDescent="0.25">
      <c r="A18" s="7" t="s">
        <v>199</v>
      </c>
      <c r="B18" s="6" t="str">
        <f>B2</f>
        <v>2021/3</v>
      </c>
      <c r="C18" s="6" t="str">
        <f t="shared" ref="C18:T18" si="7">C2</f>
        <v>2021/6</v>
      </c>
      <c r="D18" s="6" t="str">
        <f t="shared" si="7"/>
        <v>2021/9</v>
      </c>
      <c r="E18" s="6" t="str">
        <f t="shared" si="7"/>
        <v>2021/12</v>
      </c>
      <c r="F18" s="6" t="str">
        <f t="shared" si="7"/>
        <v>2022/3</v>
      </c>
      <c r="G18" s="6" t="str">
        <f t="shared" si="7"/>
        <v>2022/6</v>
      </c>
      <c r="H18" s="6" t="str">
        <f t="shared" si="7"/>
        <v>2022/9</v>
      </c>
      <c r="I18" s="6" t="str">
        <f t="shared" si="7"/>
        <v>2022/12</v>
      </c>
      <c r="J18" s="6" t="str">
        <f t="shared" si="7"/>
        <v>2023/3</v>
      </c>
      <c r="K18" s="6" t="str">
        <f t="shared" si="7"/>
        <v>2023/6</v>
      </c>
      <c r="L18" s="6" t="str">
        <f t="shared" si="7"/>
        <v>2023/9</v>
      </c>
      <c r="M18" s="6" t="str">
        <f t="shared" si="7"/>
        <v>2023/12</v>
      </c>
      <c r="N18" s="6" t="str">
        <f t="shared" si="7"/>
        <v>2024/3</v>
      </c>
      <c r="O18" s="6" t="str">
        <f t="shared" si="7"/>
        <v>2024/6</v>
      </c>
      <c r="P18" s="6" t="str">
        <f t="shared" si="7"/>
        <v>2024/9</v>
      </c>
      <c r="Q18" s="6" t="str">
        <f t="shared" si="7"/>
        <v>2024/12</v>
      </c>
      <c r="R18" s="6" t="str">
        <f t="shared" si="7"/>
        <v>2025/3</v>
      </c>
      <c r="S18" s="6" t="str">
        <f t="shared" si="7"/>
        <v>2025/6</v>
      </c>
      <c r="T18" s="6" t="str">
        <f t="shared" si="7"/>
        <v>2025/9</v>
      </c>
    </row>
    <row r="19" spans="1:20" x14ac:dyDescent="0.25">
      <c r="A19" s="7" t="s">
        <v>63</v>
      </c>
      <c r="B19" s="25">
        <f>IFERROR(VLOOKUP($A19,Yıllık!$A:$S,MATCH(B$18,Yıllık!$A$2:$S$2,0),0),"")</f>
        <v>10123261000</v>
      </c>
      <c r="C19" s="25">
        <f>IFERROR(VLOOKUP($A19,Yıllık!$A:$S,MATCH(C$18,Yıllık!$A$2:$S$2,0),0),"")</f>
        <v>10637687000</v>
      </c>
      <c r="D19" s="25">
        <f>IFERROR(VLOOKUP($A19,Yıllık!$A:$S,MATCH(D$18,Yıllık!$A$2:$S$2,0),0),"")</f>
        <v>11157975000</v>
      </c>
      <c r="E19" s="25">
        <f>IFERROR(VLOOKUP($A19,Yıllık!$A:$S,MATCH(E$18,Yıllık!$A$2:$S$2,0),0),"")</f>
        <v>12537080000</v>
      </c>
      <c r="F19" s="25">
        <f>IFERROR(VLOOKUP($A19,Yıllık!$A:$S,MATCH(F$18,Yıllık!$A$2:$S$2,0),0),"")</f>
        <v>15639341000</v>
      </c>
      <c r="G19" s="25">
        <f>IFERROR(VLOOKUP($A19,Yıllık!$A:$S,MATCH(G$18,Yıllık!$A$2:$S$2,0),0),"")</f>
        <v>18971316000</v>
      </c>
      <c r="H19" s="25">
        <f>IFERROR(VLOOKUP($A19,Yıllık!$A:$S,MATCH(H$18,Yıllık!$A$2:$S$2,0),0),"")</f>
        <v>23297003000</v>
      </c>
      <c r="I19" s="25">
        <f>IFERROR(VLOOKUP($A19,Yıllık!$A:$S,MATCH(I$18,Yıllık!$A$2:$S$2,0),0),"")</f>
        <v>51981208000</v>
      </c>
      <c r="J19" s="25">
        <f>IFERROR(VLOOKUP($A19,Yıllık!$A:$S,MATCH(J$18,Yıllık!$A$2:$S$2,0),0),"")</f>
        <v>64900028000</v>
      </c>
      <c r="K19" s="25">
        <f>IFERROR(VLOOKUP($A19,Yıllık!$A:$S,MATCH(K$18,Yıllık!$A$2:$S$2,0),0),"")</f>
        <v>78444405000</v>
      </c>
      <c r="L19" s="25">
        <f>IFERROR(VLOOKUP($A19,Yıllık!$A:$S,MATCH(L$18,Yıllık!$A$2:$S$2,0),0),"")</f>
        <v>88951991000</v>
      </c>
      <c r="M19" s="25">
        <f>IFERROR(VLOOKUP($A19,Yıllık!$A:$S,MATCH(M$18,Yıllık!$A$2:$S$2,0),0),"")</f>
        <v>80615534000</v>
      </c>
      <c r="N19" s="25">
        <f>IFERROR(VLOOKUP($A19,Yıllık!$A:$S,MATCH(N$18,Yıllık!$A$2:$S$2,0),0),"")</f>
        <v>88880339000</v>
      </c>
      <c r="O19" s="25">
        <f>IFERROR(VLOOKUP($A19,Yıllık!$A:$S,MATCH(O$18,Yıllık!$A$2:$S$2,0),0),"")</f>
        <v>91645961000</v>
      </c>
      <c r="P19" s="25">
        <f>IFERROR(VLOOKUP($A19,Yıllık!$A:$S,MATCH(P$18,Yıllık!$A$2:$S$2,0),0),"")</f>
        <v>101796238000</v>
      </c>
      <c r="Q19" s="25">
        <f>IFERROR(VLOOKUP($A19,Yıllık!$A:$S,MATCH(Q$18,Yıllık!$A$2:$S$2,0),0),"")</f>
        <v>105483659375</v>
      </c>
      <c r="R19" s="25">
        <f>IFERROR(VLOOKUP($A19,Yıllık!$A:$S,MATCH(R$18,Yıllık!$A$2:$S$2,0),0),"")</f>
        <v>105376333375</v>
      </c>
      <c r="S19" s="25">
        <f>IFERROR(VLOOKUP($A19,Yıllık!$A:$T,MATCH(S$18,Yıllık!$A$2:$T$2,0),0),"")</f>
        <v>107752528375</v>
      </c>
      <c r="T19" s="25">
        <f>IFERROR(VLOOKUP($A19,Yıllık!$A:$T,MATCH(T$18,Yıllık!$A$2:$T$2,0),0),"")</f>
        <v>109079207375</v>
      </c>
    </row>
    <row r="20" spans="1:20" x14ac:dyDescent="0.25">
      <c r="A20" s="7" t="s">
        <v>150</v>
      </c>
      <c r="B20" s="25">
        <f>IFERROR(VLOOKUP($A20,Yıllık!$A:$S,MATCH(B$18,Yıllık!$A$2:$S$2,0),0),"")</f>
        <v>2053277000</v>
      </c>
      <c r="C20" s="25">
        <f>IFERROR(VLOOKUP($A20,Yıllık!$A:$S,MATCH(C$18,Yıllık!$A$2:$S$2,0),0),"")</f>
        <v>2120122000</v>
      </c>
      <c r="D20" s="25">
        <f>IFERROR(VLOOKUP($A20,Yıllık!$A:$S,MATCH(D$18,Yıllık!$A$2:$S$2,0),0),"")</f>
        <v>2043300000</v>
      </c>
      <c r="E20" s="25">
        <f>IFERROR(VLOOKUP($A20,Yıllık!$A:$S,MATCH(E$18,Yıllık!$A$2:$S$2,0),0),"")</f>
        <v>2328359000</v>
      </c>
      <c r="F20" s="25">
        <f>IFERROR(VLOOKUP($A20,Yıllık!$A:$S,MATCH(F$18,Yıllık!$A$2:$S$2,0),0),"")</f>
        <v>3026600000</v>
      </c>
      <c r="G20" s="25">
        <f>IFERROR(VLOOKUP($A20,Yıllık!$A:$S,MATCH(G$18,Yıllık!$A$2:$S$2,0),0),"")</f>
        <v>3714347000</v>
      </c>
      <c r="H20" s="25">
        <f>IFERROR(VLOOKUP($A20,Yıllık!$A:$S,MATCH(H$18,Yıllık!$A$2:$S$2,0),0),"")</f>
        <v>4465354000</v>
      </c>
      <c r="I20" s="25">
        <f>IFERROR(VLOOKUP($A20,Yıllık!$A:$S,MATCH(I$18,Yıllık!$A$2:$S$2,0),0),"")</f>
        <v>6702904000</v>
      </c>
      <c r="J20" s="25">
        <f>IFERROR(VLOOKUP($A20,Yıllık!$A:$S,MATCH(J$18,Yıllık!$A$2:$S$2,0),0),"")</f>
        <v>9300276000</v>
      </c>
      <c r="K20" s="25">
        <f>IFERROR(VLOOKUP($A20,Yıllık!$A:$S,MATCH(K$18,Yıllık!$A$2:$S$2,0),0),"")</f>
        <v>11589147000</v>
      </c>
      <c r="L20" s="25">
        <f>IFERROR(VLOOKUP($A20,Yıllık!$A:$S,MATCH(L$18,Yıllık!$A$2:$S$2,0),0),"")</f>
        <v>14072211000</v>
      </c>
      <c r="M20" s="25">
        <f>IFERROR(VLOOKUP($A20,Yıllık!$A:$S,MATCH(M$18,Yıllık!$A$2:$S$2,0),0),"")</f>
        <v>15304999000</v>
      </c>
      <c r="N20" s="25">
        <f>IFERROR(VLOOKUP($A20,Yıllık!$A:$S,MATCH(N$18,Yıllık!$A$2:$S$2,0),0),"")</f>
        <v>17045528000</v>
      </c>
      <c r="O20" s="25">
        <f>IFERROR(VLOOKUP($A20,Yıllık!$A:$S,MATCH(O$18,Yıllık!$A$2:$S$2,0),0),"")</f>
        <v>17921392000</v>
      </c>
      <c r="P20" s="25">
        <f>IFERROR(VLOOKUP($A20,Yıllık!$A:$S,MATCH(P$18,Yıllık!$A$2:$S$2,0),0),"")</f>
        <v>18794339000</v>
      </c>
      <c r="Q20" s="25">
        <f>IFERROR(VLOOKUP($A20,Yıllık!$A:$S,MATCH(Q$18,Yıllık!$A$2:$S$2,0),0),"")</f>
        <v>19561942075</v>
      </c>
      <c r="R20" s="25">
        <f>IFERROR(VLOOKUP($A20,Yıllık!$A:$S,MATCH(R$18,Yıllık!$A$2:$S$2,0),0),"")</f>
        <v>19463876075</v>
      </c>
      <c r="S20" s="25">
        <f>IFERROR(VLOOKUP($A20,Yıllık!$A:$T,MATCH(S$18,Yıllık!$A$2:$T$2,0),0),"")</f>
        <v>18866035075</v>
      </c>
      <c r="T20" s="25">
        <f>IFERROR(VLOOKUP($A20,Yıllık!$A:$T,MATCH(T$18,Yıllık!$A$2:$T$2,0),0),"")</f>
        <v>19453056075</v>
      </c>
    </row>
    <row r="21" spans="1:20" x14ac:dyDescent="0.25">
      <c r="A21" s="7" t="s">
        <v>100</v>
      </c>
      <c r="B21" s="25">
        <f>IFERROR(VLOOKUP($A21,Yıllık!$A:$S,MATCH(B$18,Yıllık!$A$2:$S$2,0),0),"")</f>
        <v>1610833000</v>
      </c>
      <c r="C21" s="25">
        <f>IFERROR(VLOOKUP($A21,Yıllık!$A:$S,MATCH(C$18,Yıllık!$A$2:$S$2,0),0),"")</f>
        <v>1327440000</v>
      </c>
      <c r="D21" s="25">
        <f>IFERROR(VLOOKUP($A21,Yıllık!$A:$S,MATCH(D$18,Yıllık!$A$2:$S$2,0),0),"")</f>
        <v>1054515000</v>
      </c>
      <c r="E21" s="25">
        <f>IFERROR(VLOOKUP($A21,Yıllık!$A:$S,MATCH(E$18,Yıllık!$A$2:$S$2,0),0),"")</f>
        <v>-464332000</v>
      </c>
      <c r="F21" s="25">
        <f>IFERROR(VLOOKUP($A21,Yıllık!$A:$S,MATCH(F$18,Yıllık!$A$2:$S$2,0),0),"")</f>
        <v>-1366184000</v>
      </c>
      <c r="G21" s="25">
        <f>IFERROR(VLOOKUP($A21,Yıllık!$A:$S,MATCH(G$18,Yıllık!$A$2:$S$2,0),0),"")</f>
        <v>-2235869000</v>
      </c>
      <c r="H21" s="25">
        <f>IFERROR(VLOOKUP($A21,Yıllık!$A:$S,MATCH(H$18,Yıllık!$A$2:$S$2,0),0),"")</f>
        <v>-2455404000</v>
      </c>
      <c r="I21" s="25">
        <f>IFERROR(VLOOKUP($A21,Yıllık!$A:$S,MATCH(I$18,Yıllık!$A$2:$S$2,0),0),"")</f>
        <v>984793000</v>
      </c>
      <c r="J21" s="25">
        <f>IFERROR(VLOOKUP($A21,Yıllık!$A:$S,MATCH(J$18,Yıllık!$A$2:$S$2,0),0),"")</f>
        <v>3868431000</v>
      </c>
      <c r="K21" s="25">
        <f>IFERROR(VLOOKUP($A21,Yıllık!$A:$S,MATCH(K$18,Yıllık!$A$2:$S$2,0),0),"")</f>
        <v>2040473000</v>
      </c>
      <c r="L21" s="25">
        <f>IFERROR(VLOOKUP($A21,Yıllık!$A:$S,MATCH(L$18,Yıllık!$A$2:$S$2,0),0),"")</f>
        <v>5309954000</v>
      </c>
      <c r="M21" s="25">
        <f>IFERROR(VLOOKUP($A21,Yıllık!$A:$S,MATCH(M$18,Yıllık!$A$2:$S$2,0),0),"")</f>
        <v>4878383000</v>
      </c>
      <c r="N21" s="25">
        <f>IFERROR(VLOOKUP($A21,Yıllık!$A:$S,MATCH(N$18,Yıllık!$A$2:$S$2,0),0),"")</f>
        <v>5458584000</v>
      </c>
      <c r="O21" s="25">
        <f>IFERROR(VLOOKUP($A21,Yıllık!$A:$S,MATCH(O$18,Yıllık!$A$2:$S$2,0),0),"")</f>
        <v>9817051000</v>
      </c>
      <c r="P21" s="25">
        <f>IFERROR(VLOOKUP($A21,Yıllık!$A:$S,MATCH(P$18,Yıllık!$A$2:$S$2,0),0),"")</f>
        <v>7757610000</v>
      </c>
      <c r="Q21" s="25">
        <f>IFERROR(VLOOKUP($A21,Yıllık!$A:$S,MATCH(Q$18,Yıllık!$A$2:$S$2,0),0),"")</f>
        <v>9282439224</v>
      </c>
      <c r="R21" s="25">
        <f>IFERROR(VLOOKUP($A21,Yıllık!$A:$S,MATCH(R$18,Yıllık!$A$2:$S$2,0),0),"")</f>
        <v>8702673224</v>
      </c>
      <c r="S21" s="25">
        <f>IFERROR(VLOOKUP($A21,Yıllık!$A:$T,MATCH(S$18,Yıllık!$A$2:$T$2,0),0),"")</f>
        <v>7687344224</v>
      </c>
      <c r="T21" s="25">
        <f>IFERROR(VLOOKUP($A21,Yıllık!$A:$T,MATCH(T$18,Yıllık!$A$2:$T$2,0),0),"")</f>
        <v>8007985224</v>
      </c>
    </row>
    <row r="23" spans="1:20" x14ac:dyDescent="0.25">
      <c r="A23" s="7" t="s">
        <v>202</v>
      </c>
      <c r="B23" s="6"/>
    </row>
    <row r="24" spans="1:20" x14ac:dyDescent="0.25">
      <c r="A24" s="7" t="s">
        <v>63</v>
      </c>
      <c r="B24" s="25">
        <f>IFERROR(VLOOKUP($A24,Çeyreklik!$A:$V,MATCH(B$18,Çeyreklik!$A$2:$V$2,0),0),"")</f>
        <v>2783757000</v>
      </c>
      <c r="C24" s="25">
        <f>IFERROR(VLOOKUP($A24,Çeyreklik!$A:$V,MATCH(C$18,Çeyreklik!$A$2:$V$2,0),0),"")</f>
        <v>2659067000</v>
      </c>
      <c r="D24" s="25">
        <f>IFERROR(VLOOKUP($A24,Çeyreklik!$A:$V,MATCH(D$18,Çeyreklik!$A$2:$V$2,0),0),"")</f>
        <v>2976133000</v>
      </c>
      <c r="E24" s="25">
        <f>IFERROR(VLOOKUP($A24,Çeyreklik!$A:$V,MATCH(E$18,Çeyreklik!$A$2:$V$2,0),0),"")</f>
        <v>4118123000</v>
      </c>
      <c r="F24" s="25">
        <f>IFERROR(VLOOKUP($A24,Çeyreklik!$A:$V,MATCH(F$18,Çeyreklik!$A$2:$V$2,0),0),"")</f>
        <v>5886018000</v>
      </c>
      <c r="G24" s="25">
        <f>IFERROR(VLOOKUP($A24,Çeyreklik!$A:$V,MATCH(G$18,Çeyreklik!$A$2:$V$2,0),0),"")</f>
        <v>5991042000</v>
      </c>
      <c r="H24" s="25">
        <f>IFERROR(VLOOKUP($A24,Çeyreklik!$A:$V,MATCH(H$18,Çeyreklik!$A$2:$V$2,0),0),"")</f>
        <v>7301820000</v>
      </c>
      <c r="I24" s="25">
        <f>IFERROR(VLOOKUP($A24,Çeyreklik!$A:$V,MATCH(I$18,Çeyreklik!$A$2:$V$2,0),0),"")</f>
        <v>32802328000</v>
      </c>
      <c r="J24" s="25">
        <f>IFERROR(VLOOKUP($A24,Çeyreklik!$A:$V,MATCH(J$18,Çeyreklik!$A$2:$V$2,0),0),"")</f>
        <v>18804838000</v>
      </c>
      <c r="K24" s="25">
        <f>IFERROR(VLOOKUP($A24,Çeyreklik!$A:$V,MATCH(K$18,Çeyreklik!$A$2:$V$2,0),0),"")</f>
        <v>19535419000</v>
      </c>
      <c r="L24" s="25">
        <f>IFERROR(VLOOKUP($A24,Çeyreklik!$A:$V,MATCH(L$18,Çeyreklik!$A$2:$V$2,0),0),"")</f>
        <v>17809406000</v>
      </c>
      <c r="M24" s="25">
        <f>IFERROR(VLOOKUP($A24,Çeyreklik!$A:$V,MATCH(M$18,Çeyreklik!$A$2:$V$2,0),0),"")</f>
        <v>24465871000</v>
      </c>
      <c r="N24" s="25">
        <f>IFERROR(VLOOKUP($A24,Çeyreklik!$A:$V,MATCH(N$18,Çeyreklik!$A$2:$V$2,0),0),"")</f>
        <v>27069643000</v>
      </c>
      <c r="O24" s="25">
        <f>IFERROR(VLOOKUP($A24,Çeyreklik!$A:$V,MATCH(O$18,Çeyreklik!$A$2:$V$2,0),0),"")</f>
        <v>22301041000</v>
      </c>
      <c r="P24" s="25">
        <f>IFERROR(VLOOKUP($A24,Çeyreklik!$A:$V,MATCH(P$18,Çeyreklik!$A$2:$V$2,0),0),"")</f>
        <v>27959683000</v>
      </c>
      <c r="Q24" s="25">
        <f>IFERROR(VLOOKUP($A24,Çeyreklik!$A:$V,MATCH(Q$18,Çeyreklik!$A$2:$V$2,0),0),"")</f>
        <v>28153292375</v>
      </c>
      <c r="R24" s="25">
        <f>IFERROR(VLOOKUP($A24,Çeyreklik!$A:$V,MATCH(R$18,Çeyreklik!$A$2:$V$2,0),0),"")</f>
        <v>26962317000</v>
      </c>
      <c r="S24" s="25">
        <f>IFERROR(VLOOKUP($A24,Çeyreklik!$A:$W,MATCH(S$18,Çeyreklik!$A$2:$W$2,0),0),"")</f>
        <v>24677236000</v>
      </c>
      <c r="T24" s="25">
        <f>IFERROR(VLOOKUP($A24,Çeyreklik!$A:$W,MATCH(T$18,Çeyreklik!$A$2:$W$2,0),0),"")</f>
        <v>29286362000</v>
      </c>
    </row>
    <row r="25" spans="1:20" x14ac:dyDescent="0.25">
      <c r="A25" s="7" t="s">
        <v>150</v>
      </c>
      <c r="B25" s="25">
        <f>IFERROR(VLOOKUP($A25,Çeyreklik!$A:$V,MATCH(B$18,Çeyreklik!$A$2:$V$2,0),0),"")</f>
        <v>546384000</v>
      </c>
      <c r="C25" s="25">
        <f>IFERROR(VLOOKUP($A25,Çeyreklik!$A:$V,MATCH(C$18,Çeyreklik!$A$2:$V$2,0),0),"")</f>
        <v>446624000</v>
      </c>
      <c r="D25" s="25">
        <f>IFERROR(VLOOKUP($A25,Çeyreklik!$A:$V,MATCH(D$18,Çeyreklik!$A$2:$V$2,0),0),"")</f>
        <v>502743000</v>
      </c>
      <c r="E25" s="25">
        <f>IFERROR(VLOOKUP($A25,Çeyreklik!$A:$V,MATCH(E$18,Çeyreklik!$A$2:$V$2,0),0),"")</f>
        <v>832608000</v>
      </c>
      <c r="F25" s="25">
        <f>IFERROR(VLOOKUP($A25,Çeyreklik!$A:$V,MATCH(F$18,Çeyreklik!$A$2:$V$2,0),0),"")</f>
        <v>1244625000</v>
      </c>
      <c r="G25" s="25">
        <f>IFERROR(VLOOKUP($A25,Çeyreklik!$A:$V,MATCH(G$18,Çeyreklik!$A$2:$V$2,0),0),"")</f>
        <v>1134371000</v>
      </c>
      <c r="H25" s="25">
        <f>IFERROR(VLOOKUP($A25,Çeyreklik!$A:$V,MATCH(H$18,Çeyreklik!$A$2:$V$2,0),0),"")</f>
        <v>1253750000</v>
      </c>
      <c r="I25" s="25">
        <f>IFERROR(VLOOKUP($A25,Çeyreklik!$A:$V,MATCH(I$18,Çeyreklik!$A$2:$V$2,0),0),"")</f>
        <v>3070158000</v>
      </c>
      <c r="J25" s="25">
        <f>IFERROR(VLOOKUP($A25,Çeyreklik!$A:$V,MATCH(J$18,Çeyreklik!$A$2:$V$2,0),0),"")</f>
        <v>3841997000</v>
      </c>
      <c r="K25" s="25">
        <f>IFERROR(VLOOKUP($A25,Çeyreklik!$A:$V,MATCH(K$18,Çeyreklik!$A$2:$V$2,0),0),"")</f>
        <v>3423242000</v>
      </c>
      <c r="L25" s="25">
        <f>IFERROR(VLOOKUP($A25,Çeyreklik!$A:$V,MATCH(L$18,Çeyreklik!$A$2:$V$2,0),0),"")</f>
        <v>3736814000</v>
      </c>
      <c r="M25" s="25">
        <f>IFERROR(VLOOKUP($A25,Çeyreklik!$A:$V,MATCH(M$18,Çeyreklik!$A$2:$V$2,0),0),"")</f>
        <v>4302946000</v>
      </c>
      <c r="N25" s="25">
        <f>IFERROR(VLOOKUP($A25,Çeyreklik!$A:$V,MATCH(N$18,Çeyreklik!$A$2:$V$2,0),0),"")</f>
        <v>5582526000</v>
      </c>
      <c r="O25" s="25">
        <f>IFERROR(VLOOKUP($A25,Çeyreklik!$A:$V,MATCH(O$18,Çeyreklik!$A$2:$V$2,0),0),"")</f>
        <v>4299106000</v>
      </c>
      <c r="P25" s="25">
        <f>IFERROR(VLOOKUP($A25,Çeyreklik!$A:$V,MATCH(P$18,Çeyreklik!$A$2:$V$2,0),0),"")</f>
        <v>4609761000</v>
      </c>
      <c r="Q25" s="25">
        <f>IFERROR(VLOOKUP($A25,Çeyreklik!$A:$V,MATCH(Q$18,Çeyreklik!$A$2:$V$2,0),0),"")</f>
        <v>5070549075</v>
      </c>
      <c r="R25" s="25">
        <f>IFERROR(VLOOKUP($A25,Çeyreklik!$A:$V,MATCH(R$18,Çeyreklik!$A$2:$V$2,0),0),"")</f>
        <v>5484460000</v>
      </c>
      <c r="S25" s="25">
        <f>IFERROR(VLOOKUP($A25,Çeyreklik!$A:$W,MATCH(S$18,Çeyreklik!$A$2:$W$2,0),0),"")</f>
        <v>3701265000</v>
      </c>
      <c r="T25" s="25">
        <f>IFERROR(VLOOKUP($A25,Çeyreklik!$A:$W,MATCH(T$18,Çeyreklik!$A$2:$W$2,0),0),"")</f>
        <v>5196782000</v>
      </c>
    </row>
    <row r="26" spans="1:20" x14ac:dyDescent="0.25">
      <c r="A26" s="7" t="s">
        <v>100</v>
      </c>
      <c r="B26" s="25">
        <f>IFERROR(VLOOKUP($A26,Çeyreklik!$A:$V,MATCH(B$18,Çeyreklik!$A$2:$V$2,0),0),"")</f>
        <v>431147000</v>
      </c>
      <c r="C26" s="25">
        <f>IFERROR(VLOOKUP($A26,Çeyreklik!$A:$V,MATCH(C$18,Çeyreklik!$A$2:$V$2,0),0),"")</f>
        <v>221050000</v>
      </c>
      <c r="D26" s="25">
        <f>IFERROR(VLOOKUP($A26,Çeyreklik!$A:$V,MATCH(D$18,Çeyreklik!$A$2:$V$2,0),0),"")</f>
        <v>2457000</v>
      </c>
      <c r="E26" s="25">
        <f>IFERROR(VLOOKUP($A26,Çeyreklik!$A:$V,MATCH(E$18,Çeyreklik!$A$2:$V$2,0),0),"")</f>
        <v>-1118986000</v>
      </c>
      <c r="F26" s="25">
        <f>IFERROR(VLOOKUP($A26,Çeyreklik!$A:$V,MATCH(F$18,Çeyreklik!$A$2:$V$2,0),0),"")</f>
        <v>-470705000</v>
      </c>
      <c r="G26" s="25">
        <f>IFERROR(VLOOKUP($A26,Çeyreklik!$A:$V,MATCH(G$18,Çeyreklik!$A$2:$V$2,0),0),"")</f>
        <v>-648635000</v>
      </c>
      <c r="H26" s="25">
        <f>IFERROR(VLOOKUP($A26,Çeyreklik!$A:$V,MATCH(H$18,Çeyreklik!$A$2:$V$2,0),0),"")</f>
        <v>-217078000</v>
      </c>
      <c r="I26" s="25">
        <f>IFERROR(VLOOKUP($A26,Çeyreklik!$A:$V,MATCH(I$18,Çeyreklik!$A$2:$V$2,0),0),"")</f>
        <v>2321211000</v>
      </c>
      <c r="J26" s="25">
        <f>IFERROR(VLOOKUP($A26,Çeyreklik!$A:$V,MATCH(J$18,Çeyreklik!$A$2:$V$2,0),0),"")</f>
        <v>2412933000</v>
      </c>
      <c r="K26" s="25">
        <f>IFERROR(VLOOKUP($A26,Çeyreklik!$A:$V,MATCH(K$18,Çeyreklik!$A$2:$V$2,0),0),"")</f>
        <v>-2476593000</v>
      </c>
      <c r="L26" s="25">
        <f>IFERROR(VLOOKUP($A26,Çeyreklik!$A:$V,MATCH(L$18,Çeyreklik!$A$2:$V$2,0),0),"")</f>
        <v>3052403000</v>
      </c>
      <c r="M26" s="25">
        <f>IFERROR(VLOOKUP($A26,Çeyreklik!$A:$V,MATCH(M$18,Çeyreklik!$A$2:$V$2,0),0),"")</f>
        <v>1889640000</v>
      </c>
      <c r="N26" s="25">
        <f>IFERROR(VLOOKUP($A26,Çeyreklik!$A:$V,MATCH(N$18,Çeyreklik!$A$2:$V$2,0),0),"")</f>
        <v>2993134000</v>
      </c>
      <c r="O26" s="25">
        <f>IFERROR(VLOOKUP($A26,Çeyreklik!$A:$V,MATCH(O$18,Çeyreklik!$A$2:$V$2,0),0),"")</f>
        <v>1881874000</v>
      </c>
      <c r="P26" s="25">
        <f>IFERROR(VLOOKUP($A26,Çeyreklik!$A:$V,MATCH(P$18,Çeyreklik!$A$2:$V$2,0),0),"")</f>
        <v>992962000</v>
      </c>
      <c r="Q26" s="25">
        <f>IFERROR(VLOOKUP($A26,Çeyreklik!$A:$V,MATCH(Q$18,Çeyreklik!$A$2:$V$2,0),0),"")</f>
        <v>3414469224</v>
      </c>
      <c r="R26" s="25">
        <f>IFERROR(VLOOKUP($A26,Çeyreklik!$A:$V,MATCH(R$18,Çeyreklik!$A$2:$V$2,0),0),"")</f>
        <v>2413368000</v>
      </c>
      <c r="S26" s="25">
        <f>IFERROR(VLOOKUP($A26,Çeyreklik!$A:$W,MATCH(S$18,Çeyreklik!$A$2:$W$2,0),0),"")</f>
        <v>866545000</v>
      </c>
      <c r="T26" s="25">
        <f>IFERROR(VLOOKUP($A26,Çeyreklik!$A:$W,MATCH(T$18,Çeyreklik!$A$2:$W$2,0),0),"")</f>
        <v>1313603000</v>
      </c>
    </row>
    <row r="27" spans="1:20" x14ac:dyDescent="0.25">
      <c r="A27" s="7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spans="1:20" x14ac:dyDescent="0.25">
      <c r="A28" s="7" t="s">
        <v>50</v>
      </c>
      <c r="B28" s="25">
        <f>IFERROR(VLOOKUP($A28,Bilanço!$A:$W,MATCH(B$18,Bilanço!$A$2:$W$2,0),0),"")</f>
        <v>6266620000</v>
      </c>
      <c r="C28" s="25">
        <f>IFERROR(VLOOKUP($A28,Bilanço!$A:$W,MATCH(C$18,Bilanço!$A$2:$W$2,0),0),"")</f>
        <v>6232316000</v>
      </c>
      <c r="D28" s="25">
        <f>IFERROR(VLOOKUP($A28,Bilanço!$A:$W,MATCH(D$18,Bilanço!$A$2:$W$2,0),0),"")</f>
        <v>2800809000</v>
      </c>
      <c r="E28" s="25">
        <f>IFERROR(VLOOKUP($A28,Bilanço!$A:$W,MATCH(E$18,Bilanço!$A$2:$W$2,0),0),"")</f>
        <v>2986714000</v>
      </c>
      <c r="F28" s="25">
        <f>IFERROR(VLOOKUP($A28,Bilanço!$A:$W,MATCH(F$18,Bilanço!$A$2:$W$2,0),0),"")</f>
        <v>2588162000</v>
      </c>
      <c r="G28" s="25">
        <f>IFERROR(VLOOKUP($A28,Bilanço!$A:$W,MATCH(G$18,Bilanço!$A$2:$W$2,0),0),"")</f>
        <v>2516873000</v>
      </c>
      <c r="H28" s="25">
        <f>IFERROR(VLOOKUP($A28,Bilanço!$A:$W,MATCH(H$18,Bilanço!$A$2:$W$2,0),0),"")</f>
        <v>2734275000</v>
      </c>
      <c r="I28" s="25">
        <f>IFERROR(VLOOKUP($A28,Bilanço!$A:$W,MATCH(I$18,Bilanço!$A$2:$W$2,0),0),"")</f>
        <v>12035858000</v>
      </c>
      <c r="J28" s="25">
        <f>IFERROR(VLOOKUP($A28,Bilanço!$A:$W,MATCH(J$18,Bilanço!$A$2:$W$2,0),0),"")</f>
        <v>6511844000</v>
      </c>
      <c r="K28" s="25">
        <f>IFERROR(VLOOKUP($A28,Bilanço!$A:$W,MATCH(K$18,Bilanço!$A$2:$W$2,0),0),"")</f>
        <v>5908268000</v>
      </c>
      <c r="L28" s="25">
        <f>IFERROR(VLOOKUP($A28,Bilanço!$A:$W,MATCH(L$18,Bilanço!$A$2:$W$2,0),0),"")</f>
        <v>8896407000</v>
      </c>
      <c r="M28" s="25">
        <f>IFERROR(VLOOKUP($A28,Bilanço!$A:$W,MATCH(M$18,Bilanço!$A$2:$W$2,0),0),"")</f>
        <v>25946933000</v>
      </c>
      <c r="N28" s="25">
        <f>IFERROR(VLOOKUP($A28,Bilanço!$A:$W,MATCH(N$18,Bilanço!$A$2:$W$2,0),0),"")</f>
        <v>21407330000</v>
      </c>
      <c r="O28" s="25">
        <f>IFERROR(VLOOKUP($A28,Bilanço!$A:$W,MATCH(O$18,Bilanço!$A$2:$W$2,0),0),"")</f>
        <v>24127966000</v>
      </c>
      <c r="P28" s="25">
        <f>IFERROR(VLOOKUP($A28,Bilanço!$A:$W,MATCH(P$18,Bilanço!$A$2:$W$2,0),0),"")</f>
        <v>27015414000</v>
      </c>
      <c r="Q28" s="25">
        <f>IFERROR(VLOOKUP($A28,Bilanço!$A:$W,MATCH(Q$18,Bilanço!$A$2:$W$2,0),0),"")</f>
        <v>39237845709</v>
      </c>
      <c r="R28" s="25">
        <f>IFERROR(VLOOKUP($A28,Bilanço!$A:$W,MATCH(R$18,Bilanço!$A$2:$W$2,0),0),"")</f>
        <v>36650682000</v>
      </c>
      <c r="S28" s="25">
        <f>IFERROR(VLOOKUP($A28,Bilanço!$A:$X,MATCH(S$18,Bilanço!$A$2:$X$2,0),0),"")</f>
        <v>36116656000</v>
      </c>
      <c r="T28" s="25">
        <f>IFERROR(VLOOKUP($A28,Bilanço!$A:$X,MATCH(T$18,Bilanço!$A$2:$X$2,0),0),"")</f>
        <v>40151407000</v>
      </c>
    </row>
    <row r="29" spans="1:20" x14ac:dyDescent="0.25">
      <c r="A29" s="7" t="s">
        <v>218</v>
      </c>
      <c r="B29" s="25">
        <f>IFERROR((Bilanço!F34+Bilanço!F35+Bilanço!F48)-(Bilanço!F4+Bilanço!F5),"")</f>
        <v>1623710000</v>
      </c>
      <c r="C29" s="25">
        <f>IFERROR((Bilanço!G34+Bilanço!G35+Bilanço!G48)-(Bilanço!G4+Bilanço!G5),"")</f>
        <v>2036971000</v>
      </c>
      <c r="D29" s="25">
        <f>IFERROR((Bilanço!H34+Bilanço!H35+Bilanço!H48)-(Bilanço!H4+Bilanço!H5),"")</f>
        <v>5594291000</v>
      </c>
      <c r="E29" s="25">
        <f>IFERROR((Bilanço!I34+Bilanço!I35+Bilanço!I48)-(Bilanço!I4+Bilanço!I5),"")</f>
        <v>8757122000</v>
      </c>
      <c r="F29" s="25">
        <f>IFERROR((Bilanço!J34+Bilanço!J35+Bilanço!J48)-(Bilanço!J4+Bilanço!J5),"")</f>
        <v>10539931000</v>
      </c>
      <c r="G29" s="25">
        <f>IFERROR((Bilanço!K34+Bilanço!K35+Bilanço!K48)-(Bilanço!K4+Bilanço!K5),"")</f>
        <v>12400464000</v>
      </c>
      <c r="H29" s="25">
        <f>IFERROR((Bilanço!L34+Bilanço!L35+Bilanço!L48)-(Bilanço!L4+Bilanço!L5),"")</f>
        <v>14742542000</v>
      </c>
      <c r="I29" s="25">
        <f>IFERROR((Bilanço!M34+Bilanço!M35+Bilanço!M48)-(Bilanço!M4+Bilanço!M5),"")</f>
        <v>23538285000</v>
      </c>
      <c r="J29" s="25">
        <f>IFERROR((Bilanço!N34+Bilanço!N35+Bilanço!N48)-(Bilanço!N4+Bilanço!N5),"")</f>
        <v>15338866000</v>
      </c>
      <c r="K29" s="25">
        <f>IFERROR((Bilanço!O34+Bilanço!O35+Bilanço!O48)-(Bilanço!O4+Bilanço!O5),"")</f>
        <v>19844225000</v>
      </c>
      <c r="L29" s="25">
        <f>IFERROR((Bilanço!P34+Bilanço!P35+Bilanço!P48)-(Bilanço!P4+Bilanço!P5),"")</f>
        <v>18887895000</v>
      </c>
      <c r="M29" s="25">
        <f>IFERROR((Bilanço!Q34+Bilanço!Q35+Bilanço!Q48)-(Bilanço!Q4+Bilanço!Q5),"")</f>
        <v>27290171000</v>
      </c>
      <c r="N29" s="25">
        <f>IFERROR((Bilanço!R34+Bilanço!R35+Bilanço!R48)-(Bilanço!R4+Bilanço!R5),"")</f>
        <v>21647301000</v>
      </c>
      <c r="O29" s="25">
        <f>IFERROR((Bilanço!S34+Bilanço!S35+Bilanço!S48)-(Bilanço!S4+Bilanço!S5),"")</f>
        <v>21016720000</v>
      </c>
      <c r="P29" s="25">
        <f>IFERROR((Bilanço!T34+Bilanço!T35+Bilanço!T48)-(Bilanço!T4+Bilanço!T5),"")</f>
        <v>24205448000</v>
      </c>
      <c r="Q29" s="25">
        <f>IFERROR((Bilanço!U34+Bilanço!U35+Bilanço!U48)-(Bilanço!U4+Bilanço!U5),"")</f>
        <v>27212926176</v>
      </c>
      <c r="R29" s="25">
        <f>IFERROR((Bilanço!V34+Bilanço!V35+Bilanço!V48)-(Bilanço!V4+Bilanço!V5),"")</f>
        <v>31478464000</v>
      </c>
      <c r="S29" s="25">
        <f>IFERROR((Bilanço!W34+Bilanço!W35+Bilanço!W48)-(Bilanço!W4+Bilanço!W5),"")</f>
        <v>37890135000</v>
      </c>
      <c r="T29" s="25">
        <f>IFERROR((Bilanço!X34+Bilanço!X35+Bilanço!X48)-(Bilanço!X4+Bilanço!X5),"")</f>
        <v>38896758000</v>
      </c>
    </row>
    <row r="30" spans="1:20" x14ac:dyDescent="0.25">
      <c r="A30" s="7" t="s">
        <v>243</v>
      </c>
      <c r="B30" s="27">
        <f>B21/B28</f>
        <v>0.25704973334907816</v>
      </c>
      <c r="C30" s="27">
        <f t="shared" ref="C30:T30" si="8">C21/C28</f>
        <v>0.21299305105838665</v>
      </c>
      <c r="D30" s="27">
        <f t="shared" si="8"/>
        <v>0.37650371731881754</v>
      </c>
      <c r="E30" s="27">
        <f t="shared" si="8"/>
        <v>-0.15546583971548666</v>
      </c>
      <c r="F30" s="27">
        <f t="shared" si="8"/>
        <v>-0.52785876618233329</v>
      </c>
      <c r="G30" s="27">
        <f t="shared" si="8"/>
        <v>-0.88835193511949151</v>
      </c>
      <c r="H30" s="27">
        <f t="shared" si="8"/>
        <v>-0.89800916147790544</v>
      </c>
      <c r="I30" s="27">
        <f t="shared" si="8"/>
        <v>8.1821586795058562E-2</v>
      </c>
      <c r="J30" s="27">
        <f t="shared" si="8"/>
        <v>0.59406076066932811</v>
      </c>
      <c r="K30" s="27">
        <f t="shared" si="8"/>
        <v>0.34535891059782664</v>
      </c>
      <c r="L30" s="27">
        <f t="shared" si="8"/>
        <v>0.59686500404039522</v>
      </c>
      <c r="M30" s="27">
        <f t="shared" si="8"/>
        <v>0.1880138589019365</v>
      </c>
      <c r="N30" s="27">
        <f t="shared" si="8"/>
        <v>0.25498667979612588</v>
      </c>
      <c r="O30" s="27">
        <f t="shared" si="8"/>
        <v>0.40687437142442923</v>
      </c>
      <c r="P30" s="27">
        <f t="shared" si="8"/>
        <v>0.28715495531550989</v>
      </c>
      <c r="Q30" s="27">
        <f t="shared" si="8"/>
        <v>0.23656852348218707</v>
      </c>
      <c r="R30" s="27">
        <f t="shared" si="8"/>
        <v>0.23744914825868724</v>
      </c>
      <c r="S30" s="27">
        <f t="shared" si="8"/>
        <v>0.21284761867211627</v>
      </c>
      <c r="T30" s="27">
        <f t="shared" si="8"/>
        <v>0.1994446975170758</v>
      </c>
    </row>
    <row r="31" spans="1:20" x14ac:dyDescent="0.25">
      <c r="A31" s="7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</row>
    <row r="32" spans="1:20" x14ac:dyDescent="0.25">
      <c r="A32" s="7" t="s">
        <v>221</v>
      </c>
      <c r="B32" s="26">
        <f>B29/B20</f>
        <v>0.79078955250558014</v>
      </c>
      <c r="C32" s="26">
        <f t="shared" ref="C32:T32" si="9">C29/C20</f>
        <v>0.96078008718366203</v>
      </c>
      <c r="D32" s="26">
        <f t="shared" si="9"/>
        <v>2.7378706014780012</v>
      </c>
      <c r="E32" s="26">
        <f t="shared" si="9"/>
        <v>3.761070350405586</v>
      </c>
      <c r="F32" s="26">
        <f t="shared" si="9"/>
        <v>3.482432762836186</v>
      </c>
      <c r="G32" s="26">
        <f t="shared" si="9"/>
        <v>3.3385313757707613</v>
      </c>
      <c r="H32" s="26">
        <f t="shared" si="9"/>
        <v>3.3015393628366305</v>
      </c>
      <c r="I32" s="26">
        <f t="shared" si="9"/>
        <v>3.5116547991736118</v>
      </c>
      <c r="J32" s="26">
        <f t="shared" si="9"/>
        <v>1.6492914833925358</v>
      </c>
      <c r="K32" s="26">
        <f t="shared" si="9"/>
        <v>1.7123110958899737</v>
      </c>
      <c r="L32" s="26">
        <f t="shared" si="9"/>
        <v>1.342212321859017</v>
      </c>
      <c r="M32" s="26">
        <f t="shared" si="9"/>
        <v>1.7830887150008961</v>
      </c>
      <c r="N32" s="26">
        <f t="shared" si="9"/>
        <v>1.2699695192780183</v>
      </c>
      <c r="O32" s="26">
        <f t="shared" si="9"/>
        <v>1.1727169407376392</v>
      </c>
      <c r="P32" s="26">
        <f t="shared" si="9"/>
        <v>1.2879116419045118</v>
      </c>
      <c r="Q32" s="26">
        <f t="shared" si="9"/>
        <v>1.3911157732533057</v>
      </c>
      <c r="R32" s="26">
        <f>R29/R20</f>
        <v>1.617276223846899</v>
      </c>
      <c r="S32" s="26">
        <f t="shared" si="9"/>
        <v>2.0083782760591524</v>
      </c>
      <c r="T32" s="26">
        <f t="shared" si="9"/>
        <v>1.9995191423926433</v>
      </c>
    </row>
    <row r="34" spans="1:21" x14ac:dyDescent="0.25">
      <c r="A34" s="7" t="s">
        <v>203</v>
      </c>
      <c r="B34" s="28">
        <f>B24/$E19</f>
        <v>0.22204189492290072</v>
      </c>
      <c r="C34" s="28">
        <f t="shared" ref="C34:D34" si="10">C24/$E19</f>
        <v>0.21209619783873118</v>
      </c>
      <c r="D34" s="28">
        <f t="shared" si="10"/>
        <v>0.23738645681450546</v>
      </c>
      <c r="E34" s="28">
        <f>E24/$E19</f>
        <v>0.32847545042386267</v>
      </c>
      <c r="F34" s="29">
        <f>F24/$I19</f>
        <v>0.11323357471800194</v>
      </c>
      <c r="G34" s="29">
        <f t="shared" ref="G34:I34" si="11">G24/$I19</f>
        <v>0.11525399717528688</v>
      </c>
      <c r="H34" s="29">
        <f t="shared" si="11"/>
        <v>0.14047037921858221</v>
      </c>
      <c r="I34" s="29">
        <f t="shared" si="11"/>
        <v>0.63104204888812898</v>
      </c>
      <c r="J34" s="30">
        <f>J24/$M19</f>
        <v>0.23326568797522323</v>
      </c>
      <c r="K34" s="30">
        <f t="shared" ref="K34:M34" si="12">K24/$M19</f>
        <v>0.24232822175438298</v>
      </c>
      <c r="L34" s="30">
        <f t="shared" si="12"/>
        <v>0.22091779482599469</v>
      </c>
      <c r="M34" s="30">
        <f t="shared" si="12"/>
        <v>0.30348829544439909</v>
      </c>
      <c r="N34" s="31">
        <f>N24/$Q19</f>
        <v>0.25662404167991543</v>
      </c>
      <c r="O34" s="31">
        <f t="shared" ref="O34:Q34" si="13">O24/$Q19</f>
        <v>0.21141702072278909</v>
      </c>
      <c r="P34" s="31">
        <f t="shared" si="13"/>
        <v>0.26506174667871396</v>
      </c>
      <c r="Q34" s="31">
        <f t="shared" si="13"/>
        <v>0.26689719091858155</v>
      </c>
    </row>
    <row r="35" spans="1:21" x14ac:dyDescent="0.25">
      <c r="A35" s="7" t="s">
        <v>205</v>
      </c>
      <c r="B35" s="28">
        <f>B25/$E20</f>
        <v>0.23466484335104681</v>
      </c>
      <c r="C35" s="28">
        <f>C25/$E20</f>
        <v>0.19181921688193274</v>
      </c>
      <c r="D35" s="28">
        <f>D25/$E20</f>
        <v>0.21592159971894367</v>
      </c>
      <c r="E35" s="28">
        <f>E25/$E20</f>
        <v>0.35759434004807678</v>
      </c>
      <c r="F35" s="29">
        <f>F25/$I20</f>
        <v>0.18568444363816042</v>
      </c>
      <c r="G35" s="29">
        <f>G25/$I20</f>
        <v>0.16923575214563719</v>
      </c>
      <c r="H35" s="29">
        <f>H25/$I20</f>
        <v>0.18704579388277082</v>
      </c>
      <c r="I35" s="29">
        <f>I25/$I20</f>
        <v>0.45803401033343161</v>
      </c>
      <c r="J35" s="30">
        <f>J25/$M20</f>
        <v>0.2510288958529171</v>
      </c>
      <c r="K35" s="30">
        <f t="shared" ref="K35:L35" si="14">K25/$M20</f>
        <v>0.22366822761634941</v>
      </c>
      <c r="L35" s="30">
        <f t="shared" si="14"/>
        <v>0.24415643542348484</v>
      </c>
      <c r="M35" s="30">
        <f>M25/$M20</f>
        <v>0.28114644110724868</v>
      </c>
      <c r="N35" s="31">
        <f>N25/$Q20</f>
        <v>0.2853768801991507</v>
      </c>
      <c r="O35" s="31">
        <f t="shared" ref="O35:Q35" si="15">O25/$Q20</f>
        <v>0.21976887486515062</v>
      </c>
      <c r="P35" s="31">
        <f t="shared" si="15"/>
        <v>0.23564945557686914</v>
      </c>
      <c r="Q35" s="31">
        <f t="shared" si="15"/>
        <v>0.25920478935882957</v>
      </c>
    </row>
    <row r="36" spans="1:21" x14ac:dyDescent="0.25">
      <c r="A36" s="7" t="s">
        <v>204</v>
      </c>
      <c r="B36" s="28">
        <f>B26/$E21</f>
        <v>-0.92853174022035956</v>
      </c>
      <c r="C36" s="28">
        <f>C26/$E21</f>
        <v>-0.4760602327644875</v>
      </c>
      <c r="D36" s="28">
        <f>D26/$E21</f>
        <v>-5.2914724808972892E-3</v>
      </c>
      <c r="E36" s="28">
        <f>E26/$E21</f>
        <v>2.4098834454657445</v>
      </c>
      <c r="F36" s="29">
        <f>F26/$I21</f>
        <v>-0.47797354367872236</v>
      </c>
      <c r="G36" s="29">
        <f t="shared" ref="G36:I36" si="16">G26/$I21</f>
        <v>-0.65865110739008093</v>
      </c>
      <c r="H36" s="29">
        <f t="shared" si="16"/>
        <v>-0.2204300802300585</v>
      </c>
      <c r="I36" s="29">
        <f t="shared" si="16"/>
        <v>2.3570547312988617</v>
      </c>
      <c r="J36" s="30">
        <f>J26/$M21</f>
        <v>0.49461737629046348</v>
      </c>
      <c r="K36" s="30">
        <f t="shared" ref="K36:M36" si="17">K26/$M21</f>
        <v>-0.50766678221041683</v>
      </c>
      <c r="L36" s="30">
        <f t="shared" si="17"/>
        <v>0.62569974518195881</v>
      </c>
      <c r="M36" s="30">
        <f t="shared" si="17"/>
        <v>0.38734966073799454</v>
      </c>
      <c r="N36" s="31">
        <f>N26/$Q21</f>
        <v>0.3224512359058781</v>
      </c>
      <c r="O36" s="31">
        <f t="shared" ref="O36:P36" si="18">O26/$Q21</f>
        <v>0.20273485821855569</v>
      </c>
      <c r="P36" s="31">
        <f t="shared" si="18"/>
        <v>0.1069720981778873</v>
      </c>
      <c r="Q36" s="31">
        <f>Q26/$Q21</f>
        <v>0.36784180769767894</v>
      </c>
    </row>
    <row r="38" spans="1:21" x14ac:dyDescent="0.25">
      <c r="A38" s="7" t="s">
        <v>151</v>
      </c>
      <c r="B38" s="27">
        <f>B20/B19</f>
        <v>0.20282762639430121</v>
      </c>
      <c r="C38" s="27">
        <f t="shared" ref="C38:T38" si="19">C20/C19</f>
        <v>0.19930291237183423</v>
      </c>
      <c r="D38" s="27">
        <f t="shared" si="19"/>
        <v>0.18312462610823199</v>
      </c>
      <c r="E38" s="27">
        <f t="shared" si="19"/>
        <v>0.18571780669821042</v>
      </c>
      <c r="F38" s="27">
        <f t="shared" si="19"/>
        <v>0.19352477831386886</v>
      </c>
      <c r="G38" s="27">
        <f t="shared" si="19"/>
        <v>0.19578752470308333</v>
      </c>
      <c r="H38" s="27">
        <f t="shared" si="19"/>
        <v>0.19167074837909409</v>
      </c>
      <c r="I38" s="27">
        <f t="shared" si="19"/>
        <v>0.12894860004022993</v>
      </c>
      <c r="J38" s="27">
        <f t="shared" si="19"/>
        <v>0.14330157145694913</v>
      </c>
      <c r="K38" s="27">
        <f t="shared" si="19"/>
        <v>0.14773707570348707</v>
      </c>
      <c r="L38" s="27">
        <f t="shared" si="19"/>
        <v>0.15820006771967587</v>
      </c>
      <c r="M38" s="27">
        <f t="shared" si="19"/>
        <v>0.18985173502665131</v>
      </c>
      <c r="N38" s="27">
        <f t="shared" si="19"/>
        <v>0.19178063666026296</v>
      </c>
      <c r="O38" s="27">
        <f t="shared" si="19"/>
        <v>0.19555026543941201</v>
      </c>
      <c r="P38" s="27">
        <f t="shared" si="19"/>
        <v>0.18462704879133157</v>
      </c>
      <c r="Q38" s="27">
        <f t="shared" si="19"/>
        <v>0.18544997576786998</v>
      </c>
      <c r="R38" s="27">
        <f t="shared" si="19"/>
        <v>0.18470823050688634</v>
      </c>
      <c r="S38" s="27">
        <f t="shared" si="19"/>
        <v>0.17508670431697423</v>
      </c>
      <c r="T38" s="27">
        <f t="shared" si="19"/>
        <v>0.17833881033002877</v>
      </c>
    </row>
    <row r="39" spans="1:21" x14ac:dyDescent="0.25">
      <c r="A39" s="7" t="s">
        <v>206</v>
      </c>
      <c r="B39" s="27">
        <f t="shared" ref="B39:T39" si="20">B21/B19</f>
        <v>0.15912194696945975</v>
      </c>
      <c r="C39" s="27">
        <f t="shared" si="20"/>
        <v>0.12478652549186679</v>
      </c>
      <c r="D39" s="27">
        <f t="shared" si="20"/>
        <v>9.450773997970062E-2</v>
      </c>
      <c r="E39" s="27">
        <f t="shared" si="20"/>
        <v>-3.7036694349880515E-2</v>
      </c>
      <c r="F39" s="27">
        <f t="shared" si="20"/>
        <v>-8.7355598934763301E-2</v>
      </c>
      <c r="G39" s="27">
        <f t="shared" si="20"/>
        <v>-0.11785523998440593</v>
      </c>
      <c r="H39" s="27">
        <f t="shared" si="20"/>
        <v>-0.10539570261462386</v>
      </c>
      <c r="I39" s="27">
        <f t="shared" si="20"/>
        <v>1.8945173417285723E-2</v>
      </c>
      <c r="J39" s="27">
        <f t="shared" si="20"/>
        <v>5.960599893731941E-2</v>
      </c>
      <c r="K39" s="27">
        <f t="shared" si="20"/>
        <v>2.601170854696393E-2</v>
      </c>
      <c r="L39" s="27">
        <f t="shared" si="20"/>
        <v>5.969460537426307E-2</v>
      </c>
      <c r="M39" s="27">
        <f t="shared" si="20"/>
        <v>6.0514180802920689E-2</v>
      </c>
      <c r="N39" s="27">
        <f t="shared" si="20"/>
        <v>6.141497727635805E-2</v>
      </c>
      <c r="O39" s="27">
        <f t="shared" si="20"/>
        <v>0.10711929792519716</v>
      </c>
      <c r="P39" s="27">
        <f t="shared" si="20"/>
        <v>7.6207236656427327E-2</v>
      </c>
      <c r="Q39" s="27">
        <f t="shared" si="20"/>
        <v>8.7998835829163236E-2</v>
      </c>
      <c r="R39" s="27">
        <f t="shared" si="20"/>
        <v>8.2586601234548793E-2</v>
      </c>
      <c r="S39" s="27">
        <f t="shared" si="20"/>
        <v>7.1342587871780883E-2</v>
      </c>
      <c r="T39" s="27">
        <f t="shared" si="20"/>
        <v>7.3414406069798419E-2</v>
      </c>
    </row>
    <row r="41" spans="1:21" x14ac:dyDescent="0.25">
      <c r="H41" s="45" t="s">
        <v>215</v>
      </c>
      <c r="I41" s="45"/>
      <c r="J41" s="45"/>
      <c r="K41" s="45"/>
      <c r="L41" s="45"/>
    </row>
    <row r="42" spans="1:21" x14ac:dyDescent="0.25">
      <c r="A42" s="7" t="s">
        <v>214</v>
      </c>
      <c r="B42" s="7" t="s">
        <v>208</v>
      </c>
      <c r="C42" s="7" t="s">
        <v>209</v>
      </c>
      <c r="D42" s="7" t="s">
        <v>210</v>
      </c>
      <c r="E42" s="7" t="s">
        <v>211</v>
      </c>
      <c r="H42" s="7" t="s">
        <v>208</v>
      </c>
      <c r="I42" s="7" t="s">
        <v>209</v>
      </c>
      <c r="J42" s="7" t="s">
        <v>210</v>
      </c>
      <c r="K42" s="7" t="s">
        <v>211</v>
      </c>
      <c r="L42" s="7" t="s">
        <v>216</v>
      </c>
      <c r="M42" s="7" t="s">
        <v>217</v>
      </c>
    </row>
    <row r="43" spans="1:21" x14ac:dyDescent="0.25">
      <c r="A43" t="s">
        <v>212</v>
      </c>
      <c r="B43" s="22">
        <f>AVERAGE(B34,F34,J34,N34)</f>
        <v>0.20629129982401034</v>
      </c>
      <c r="C43" s="22">
        <f t="shared" ref="C43:D43" si="21">AVERAGE(C34,G34,K34,O34)</f>
        <v>0.19527385937279754</v>
      </c>
      <c r="D43" s="22">
        <f t="shared" si="21"/>
        <v>0.21595909438444907</v>
      </c>
      <c r="E43" s="22">
        <f>AVERAGE(E34,I34,M34,Q34)</f>
        <v>0.3824757464187431</v>
      </c>
      <c r="G43" t="s">
        <v>63</v>
      </c>
      <c r="H43" s="32">
        <f>N24</f>
        <v>27069643000</v>
      </c>
      <c r="I43" s="32">
        <f t="shared" ref="I43:K43" si="22">O24</f>
        <v>22301041000</v>
      </c>
      <c r="J43" s="32">
        <f t="shared" si="22"/>
        <v>27959683000</v>
      </c>
      <c r="K43" s="32">
        <f t="shared" si="22"/>
        <v>28153292375</v>
      </c>
      <c r="L43" s="32">
        <f>SUM(H43:K43)</f>
        <v>105483659375</v>
      </c>
      <c r="M43" s="4">
        <f>(L43/M19)-1</f>
        <v>0.30847808283450684</v>
      </c>
      <c r="P43" s="43" t="s">
        <v>225</v>
      </c>
      <c r="Q43" s="43"/>
      <c r="R43" s="43" t="s">
        <v>226</v>
      </c>
      <c r="S43" s="43"/>
      <c r="T43" s="42" t="s">
        <v>227</v>
      </c>
      <c r="U43" s="42"/>
    </row>
    <row r="44" spans="1:21" x14ac:dyDescent="0.25">
      <c r="A44" t="s">
        <v>213</v>
      </c>
      <c r="B44" s="6">
        <f>_xlfn.STDEV.S(B34,F34,J34,N34)</f>
        <v>6.3688889577225502E-2</v>
      </c>
      <c r="C44" s="6">
        <f t="shared" ref="C44:E44" si="23">_xlfn.STDEV.S(C34,G34,K34,O34)</f>
        <v>5.525964197941817E-2</v>
      </c>
      <c r="D44" s="6">
        <f t="shared" si="23"/>
        <v>5.3520516784073456E-2</v>
      </c>
      <c r="E44" s="6">
        <f t="shared" si="23"/>
        <v>0.16762921244397824</v>
      </c>
      <c r="G44" t="s">
        <v>201</v>
      </c>
      <c r="H44" s="32">
        <f>N26</f>
        <v>2993134000</v>
      </c>
      <c r="I44" s="32">
        <f t="shared" ref="I44:K44" si="24">O26</f>
        <v>1881874000</v>
      </c>
      <c r="J44" s="32">
        <f t="shared" si="24"/>
        <v>992962000</v>
      </c>
      <c r="K44" s="32">
        <f t="shared" si="24"/>
        <v>3414469224</v>
      </c>
      <c r="L44" s="2">
        <f>SUM(H44:K44)</f>
        <v>9282439224</v>
      </c>
      <c r="M44" s="4">
        <f>(L44/M21)-1</f>
        <v>0.90276967265587804</v>
      </c>
      <c r="P44" s="33" t="s">
        <v>153</v>
      </c>
      <c r="Q44" s="34">
        <f>L53/T4</f>
        <v>25.891360748180425</v>
      </c>
      <c r="R44" s="33" t="s">
        <v>228</v>
      </c>
      <c r="S44" s="34">
        <f>L52/T4</f>
        <v>346.09111725308139</v>
      </c>
      <c r="T44" s="35" t="s">
        <v>229</v>
      </c>
      <c r="U44" s="34">
        <f>(Q46+Q52+Q59+S46)/4</f>
        <v>156.76253427934822</v>
      </c>
    </row>
    <row r="45" spans="1:21" x14ac:dyDescent="0.25">
      <c r="A45" t="s">
        <v>207</v>
      </c>
      <c r="B45" s="22">
        <f>MEDIAN(B34,F34,J34,N34)</f>
        <v>0.22765379144906198</v>
      </c>
      <c r="C45" s="22">
        <f t="shared" ref="C45:E45" si="25">MEDIAN(C34,G34,K34,O34)</f>
        <v>0.21175660928076012</v>
      </c>
      <c r="D45" s="22">
        <f>MEDIAN(D34,H34,L34,P34)</f>
        <v>0.22915212582025007</v>
      </c>
      <c r="E45" s="22">
        <f t="shared" si="25"/>
        <v>0.31598187293413088</v>
      </c>
      <c r="G45" t="s">
        <v>49</v>
      </c>
      <c r="H45" s="32">
        <f>N28</f>
        <v>21407330000</v>
      </c>
      <c r="I45" s="32">
        <f t="shared" ref="I45:K45" si="26">O28</f>
        <v>24127966000</v>
      </c>
      <c r="J45" s="32">
        <f t="shared" si="26"/>
        <v>27015414000</v>
      </c>
      <c r="K45" s="32">
        <f t="shared" si="26"/>
        <v>39237845709</v>
      </c>
      <c r="L45" s="2">
        <f>K45</f>
        <v>39237845709</v>
      </c>
      <c r="M45" s="4">
        <f>(L45/M28)-1</f>
        <v>0.51223444054062184</v>
      </c>
      <c r="P45" s="33" t="s">
        <v>230</v>
      </c>
      <c r="Q45" s="34">
        <f>MEDIAN(K10:T10)</f>
        <v>5.2266430039144254</v>
      </c>
      <c r="R45" s="33" t="s">
        <v>231</v>
      </c>
      <c r="S45" s="34">
        <f>AVERAGE(K16:T16)</f>
        <v>0.4216771295369332</v>
      </c>
      <c r="T45" s="35" t="s">
        <v>232</v>
      </c>
      <c r="U45" s="34">
        <f>T3</f>
        <v>114.599998</v>
      </c>
    </row>
    <row r="46" spans="1:21" x14ac:dyDescent="0.25">
      <c r="B46" s="22"/>
      <c r="C46" s="22"/>
      <c r="D46" s="22"/>
      <c r="E46" s="22"/>
      <c r="G46" t="s">
        <v>150</v>
      </c>
      <c r="H46" s="32">
        <f>N25</f>
        <v>5582526000</v>
      </c>
      <c r="I46" s="32">
        <f t="shared" ref="I46:K46" si="27">O25</f>
        <v>4299106000</v>
      </c>
      <c r="J46" s="32">
        <f t="shared" si="27"/>
        <v>4609761000</v>
      </c>
      <c r="K46" s="32">
        <f t="shared" si="27"/>
        <v>5070549075</v>
      </c>
      <c r="L46" s="2">
        <f>SUM(H46:K46)</f>
        <v>19561942075</v>
      </c>
      <c r="M46" s="4">
        <f>(L46/M20)-1</f>
        <v>0.27814069605623626</v>
      </c>
      <c r="P46" s="33" t="s">
        <v>229</v>
      </c>
      <c r="Q46" s="34">
        <f>Q44*Q45</f>
        <v>135.32489951630177</v>
      </c>
      <c r="R46" s="33" t="s">
        <v>229</v>
      </c>
      <c r="S46" s="34">
        <f>S44*S45</f>
        <v>145.93870888150954</v>
      </c>
      <c r="T46" s="36" t="s">
        <v>233</v>
      </c>
      <c r="U46" s="37">
        <f>U44/U45-1</f>
        <v>0.36791044515854376</v>
      </c>
    </row>
    <row r="47" spans="1:21" x14ac:dyDescent="0.25">
      <c r="A47" s="7" t="s">
        <v>200</v>
      </c>
      <c r="G47" t="s">
        <v>218</v>
      </c>
      <c r="H47" s="32">
        <f>N29</f>
        <v>21647301000</v>
      </c>
      <c r="I47" s="32">
        <f t="shared" ref="I47:K47" si="28">O29</f>
        <v>21016720000</v>
      </c>
      <c r="J47" s="32">
        <f t="shared" si="28"/>
        <v>24205448000</v>
      </c>
      <c r="K47" s="32">
        <f t="shared" si="28"/>
        <v>27212926176</v>
      </c>
      <c r="L47" s="32">
        <f>K47</f>
        <v>27212926176</v>
      </c>
      <c r="M47" s="4">
        <f>(L47/M29-1)</f>
        <v>-2.830499816215859E-3</v>
      </c>
    </row>
    <row r="48" spans="1:21" x14ac:dyDescent="0.25">
      <c r="A48" t="s">
        <v>212</v>
      </c>
      <c r="B48" s="22">
        <f>AVERAGE(B35,F35,J35,N35)</f>
        <v>0.23918876576031878</v>
      </c>
      <c r="C48" s="22">
        <f t="shared" ref="C48:E48" si="29">AVERAGE(C35,G35,K35,O35)</f>
        <v>0.2011230178772675</v>
      </c>
      <c r="D48" s="22">
        <f t="shared" si="29"/>
        <v>0.22069332115051712</v>
      </c>
      <c r="E48" s="22">
        <f t="shared" si="29"/>
        <v>0.33899489521189669</v>
      </c>
      <c r="P48" s="43" t="s">
        <v>234</v>
      </c>
      <c r="Q48" s="43"/>
    </row>
    <row r="49" spans="1:21" x14ac:dyDescent="0.25">
      <c r="A49" t="s">
        <v>213</v>
      </c>
      <c r="B49" s="6">
        <f>_xlfn.STDEV.S(B35,F35,J35,N35)</f>
        <v>4.1459654909888205E-2</v>
      </c>
      <c r="C49" s="6">
        <f>_xlfn.STDEV.S(C35,G35,K35,O35)</f>
        <v>2.5555905343593744E-2</v>
      </c>
      <c r="D49" s="6">
        <f t="shared" ref="D49:E49" si="30">_xlfn.STDEV.S(D35,H35,L35,P35)</f>
        <v>2.5358293219508565E-2</v>
      </c>
      <c r="E49" s="6">
        <f t="shared" si="30"/>
        <v>8.9868709629609703E-2</v>
      </c>
      <c r="P49" s="33" t="s">
        <v>235</v>
      </c>
      <c r="Q49" s="38">
        <f>L54</f>
        <v>48798903840.645073</v>
      </c>
      <c r="S49" t="s">
        <v>250</v>
      </c>
      <c r="T49" s="6">
        <f>(U44*S4)/L53</f>
        <v>6.0546270937252711</v>
      </c>
      <c r="U49" s="5">
        <f>S10</f>
        <v>5.0198535249044154</v>
      </c>
    </row>
    <row r="50" spans="1:21" x14ac:dyDescent="0.25">
      <c r="A50" t="s">
        <v>207</v>
      </c>
      <c r="B50" s="22">
        <f>MEDIAN(B35,F35,J35,N35)</f>
        <v>0.24284686960198196</v>
      </c>
      <c r="C50" s="22">
        <f t="shared" ref="C50:E50" si="31">MEDIAN(C35,G35,K35,O35)</f>
        <v>0.20579404587354166</v>
      </c>
      <c r="D50" s="22">
        <f t="shared" si="31"/>
        <v>0.22578552764790641</v>
      </c>
      <c r="E50" s="22">
        <f t="shared" si="31"/>
        <v>0.3193703905776627</v>
      </c>
      <c r="H50" s="45" t="s">
        <v>219</v>
      </c>
      <c r="I50" s="45"/>
      <c r="J50" s="45"/>
      <c r="K50" s="45"/>
      <c r="L50" s="45"/>
      <c r="P50" s="33" t="s">
        <v>236</v>
      </c>
      <c r="Q50" s="34">
        <f>MEDIAN(K9:T9)</f>
        <v>1.4320367234480662</v>
      </c>
      <c r="S50" t="s">
        <v>251</v>
      </c>
      <c r="T50" s="6">
        <f>(U44*S4)/L54</f>
        <v>1.1862693022281494</v>
      </c>
      <c r="U50" s="22">
        <f>S9</f>
        <v>1.0684638688587338</v>
      </c>
    </row>
    <row r="51" spans="1:21" x14ac:dyDescent="0.25">
      <c r="B51" s="22"/>
      <c r="C51" s="22"/>
      <c r="D51" s="22"/>
      <c r="E51" s="22"/>
      <c r="H51" s="7" t="s">
        <v>208</v>
      </c>
      <c r="I51" s="7" t="s">
        <v>209</v>
      </c>
      <c r="J51" s="7" t="s">
        <v>210</v>
      </c>
      <c r="K51" s="7" t="s">
        <v>211</v>
      </c>
      <c r="L51" s="7" t="s">
        <v>216</v>
      </c>
      <c r="M51" s="7" t="s">
        <v>217</v>
      </c>
      <c r="N51" s="7" t="s">
        <v>220</v>
      </c>
      <c r="P51" s="33" t="s">
        <v>237</v>
      </c>
      <c r="Q51" s="39">
        <f>T4</f>
        <v>369276000</v>
      </c>
      <c r="S51" t="s">
        <v>252</v>
      </c>
      <c r="T51" s="22">
        <f>((U44*S4)+L56)/L55</f>
        <v>3.9515367207100396</v>
      </c>
      <c r="U51" s="22">
        <f>S11</f>
        <v>4.0538182345131677</v>
      </c>
    </row>
    <row r="52" spans="1:21" x14ac:dyDescent="0.25">
      <c r="A52" t="s">
        <v>201</v>
      </c>
      <c r="G52" t="s">
        <v>63</v>
      </c>
      <c r="H52" s="32">
        <f>R24</f>
        <v>26962317000</v>
      </c>
      <c r="I52" s="32">
        <f>S24</f>
        <v>24677236000</v>
      </c>
      <c r="J52" s="32">
        <f>T24</f>
        <v>29286362000</v>
      </c>
      <c r="L52" s="2">
        <f>J52/D45</f>
        <v>127803143414.74889</v>
      </c>
      <c r="M52" s="4">
        <f>(L52/L43-1)</f>
        <v>0.21159186334635915</v>
      </c>
      <c r="P52" s="33" t="s">
        <v>229</v>
      </c>
      <c r="Q52" s="34">
        <f>(Q49*Q50)/Q51</f>
        <v>189.24008699134149</v>
      </c>
      <c r="S52" t="s">
        <v>253</v>
      </c>
      <c r="T52" s="6">
        <f>(U44*S4)/L52</f>
        <v>0.45295162592894456</v>
      </c>
    </row>
    <row r="53" spans="1:21" x14ac:dyDescent="0.25">
      <c r="A53" t="s">
        <v>212</v>
      </c>
      <c r="B53" s="22">
        <f>AVERAGE(B36,F36,J36,N36)</f>
        <v>-0.14735916792568507</v>
      </c>
      <c r="C53" s="22">
        <f>AVERAGE(C36,G36,K36,O36)</f>
        <v>-0.35991081603660735</v>
      </c>
      <c r="D53" s="22">
        <f t="shared" ref="D53:E53" si="32">AVERAGE(D36,H36,L36,P36)</f>
        <v>0.12673757266222258</v>
      </c>
      <c r="E53" s="22">
        <f t="shared" si="32"/>
        <v>1.3805324113000699</v>
      </c>
      <c r="G53" t="s">
        <v>201</v>
      </c>
      <c r="H53" s="32">
        <f>R26</f>
        <v>2413368000</v>
      </c>
      <c r="I53" s="32">
        <f>S26</f>
        <v>866545000</v>
      </c>
      <c r="J53" s="32">
        <f>T26</f>
        <v>1313603000</v>
      </c>
      <c r="L53" s="2">
        <f>L52*B63</f>
        <v>9561058131.6450748</v>
      </c>
      <c r="M53" s="4">
        <f>(L53/L44-1)</f>
        <v>3.0015699636869009E-2</v>
      </c>
      <c r="N53" s="27">
        <f>L53/L52</f>
        <v>7.4810821363112873E-2</v>
      </c>
      <c r="S53" t="s">
        <v>254</v>
      </c>
      <c r="T53" s="6">
        <f>((U44*S4)+L56)/L52</f>
        <v>0.73134687228343054</v>
      </c>
      <c r="U53" s="22">
        <f>S13</f>
        <v>0.70976967458096551</v>
      </c>
    </row>
    <row r="54" spans="1:21" x14ac:dyDescent="0.25">
      <c r="A54" t="s">
        <v>213</v>
      </c>
      <c r="B54" s="6">
        <f>_xlfn.STDEV.S(B36,F36,J36,N36)</f>
        <v>0.67141446514854841</v>
      </c>
      <c r="C54" s="6">
        <f t="shared" ref="C54:E54" si="33">_xlfn.STDEV.S(C36,G36,K36,O36)</f>
        <v>0.3834659606719516</v>
      </c>
      <c r="D54" s="6">
        <f t="shared" si="33"/>
        <v>0.35930997368258755</v>
      </c>
      <c r="E54" s="6">
        <f t="shared" si="33"/>
        <v>1.1583197065336199</v>
      </c>
      <c r="G54" t="s">
        <v>49</v>
      </c>
      <c r="H54" s="32">
        <f>R28</f>
        <v>36650682000</v>
      </c>
      <c r="I54" s="32">
        <f>S28</f>
        <v>36116656000</v>
      </c>
      <c r="J54" s="32">
        <f>T28</f>
        <v>40151407000</v>
      </c>
      <c r="L54" s="3">
        <f>L45+L53</f>
        <v>48798903840.645073</v>
      </c>
      <c r="P54" s="44" t="s">
        <v>238</v>
      </c>
      <c r="Q54" s="44"/>
      <c r="S54" t="s">
        <v>258</v>
      </c>
      <c r="T54" s="27">
        <f>L60/(U44*S4)</f>
        <v>0.35993467796393619</v>
      </c>
    </row>
    <row r="55" spans="1:21" x14ac:dyDescent="0.25">
      <c r="A55" t="s">
        <v>207</v>
      </c>
      <c r="B55" s="22">
        <f>MEDIAN(B36,F36,J36,N36)</f>
        <v>-7.776115388642213E-2</v>
      </c>
      <c r="C55" s="22">
        <f t="shared" ref="C55:E55" si="34">MEDIAN(C36,G36,K36,O36)</f>
        <v>-0.49186350748745217</v>
      </c>
      <c r="D55" s="22">
        <f t="shared" si="34"/>
        <v>5.0840312848495009E-2</v>
      </c>
      <c r="E55" s="22">
        <f t="shared" si="34"/>
        <v>1.3722021960184281</v>
      </c>
      <c r="G55" t="s">
        <v>150</v>
      </c>
      <c r="H55" s="32">
        <f>R25</f>
        <v>5484460000</v>
      </c>
      <c r="I55" s="32">
        <f>S25</f>
        <v>3701265000</v>
      </c>
      <c r="J55" s="32">
        <f>T25</f>
        <v>5196782000</v>
      </c>
      <c r="L55" s="2">
        <f>L52*B67</f>
        <v>23653691161.339443</v>
      </c>
      <c r="M55" s="4">
        <f>(L55/L46-1)</f>
        <v>0.20916885811499597</v>
      </c>
      <c r="N55" s="27">
        <f>(L55/L52)</f>
        <v>0.18507910313737819</v>
      </c>
      <c r="P55" s="33" t="s">
        <v>239</v>
      </c>
      <c r="Q55" s="34">
        <f>MEDIAN(K11:T11)</f>
        <v>3.9481631333760907</v>
      </c>
    </row>
    <row r="56" spans="1:21" x14ac:dyDescent="0.25">
      <c r="G56" t="s">
        <v>218</v>
      </c>
      <c r="H56" s="32">
        <f>R29</f>
        <v>31478464000</v>
      </c>
      <c r="I56" s="32">
        <f>S29</f>
        <v>37890135000</v>
      </c>
      <c r="J56" s="32">
        <f>T29</f>
        <v>38896758000</v>
      </c>
      <c r="L56" s="2">
        <f>L55*B59</f>
        <v>35579787595.826714</v>
      </c>
      <c r="M56" s="4">
        <f>(L56/L47-1)</f>
        <v>0.30745908638100561</v>
      </c>
      <c r="P56" s="33" t="s">
        <v>240</v>
      </c>
      <c r="Q56" s="39">
        <f>L55*Q55</f>
        <v>93388631411.464279</v>
      </c>
    </row>
    <row r="57" spans="1:21" x14ac:dyDescent="0.25">
      <c r="P57" s="33" t="s">
        <v>241</v>
      </c>
      <c r="Q57" s="39">
        <f>Q56-L56</f>
        <v>57808843815.637566</v>
      </c>
    </row>
    <row r="58" spans="1:21" x14ac:dyDescent="0.25">
      <c r="A58" t="s">
        <v>224</v>
      </c>
      <c r="B58" s="32">
        <f>AVERAGE(K32:T32)</f>
        <v>1.5584499650222057</v>
      </c>
      <c r="P58" s="33" t="s">
        <v>237</v>
      </c>
      <c r="Q58" s="39">
        <f>T4</f>
        <v>369276000</v>
      </c>
    </row>
    <row r="59" spans="1:21" x14ac:dyDescent="0.25">
      <c r="A59" t="s">
        <v>223</v>
      </c>
      <c r="B59" s="32">
        <f>MEDIAN(K32:T32)</f>
        <v>1.5041959985501023</v>
      </c>
      <c r="G59" t="s">
        <v>256</v>
      </c>
      <c r="H59" s="22">
        <f>AVERAGE(Yıllık!L83:S83)</f>
        <v>0.11911720530133607</v>
      </c>
      <c r="P59" s="33" t="s">
        <v>229</v>
      </c>
      <c r="Q59" s="34">
        <f>Q57/Q58</f>
        <v>156.54644172824004</v>
      </c>
    </row>
    <row r="60" spans="1:21" x14ac:dyDescent="0.25">
      <c r="A60" t="s">
        <v>222</v>
      </c>
      <c r="B60" s="26">
        <f>_xlfn.STDEV.S(K32:T32)</f>
        <v>0.30813691338998045</v>
      </c>
      <c r="G60" t="s">
        <v>257</v>
      </c>
      <c r="L60" s="3">
        <f>L55-(L55*H59)</f>
        <v>20836129575.139774</v>
      </c>
    </row>
    <row r="62" spans="1:21" x14ac:dyDescent="0.25">
      <c r="A62" t="s">
        <v>244</v>
      </c>
      <c r="B62" s="40">
        <f>AVERAGE(M39:T39)</f>
        <v>7.7574765458274311E-2</v>
      </c>
    </row>
    <row r="63" spans="1:21" x14ac:dyDescent="0.25">
      <c r="A63" t="s">
        <v>245</v>
      </c>
      <c r="B63" s="40">
        <f>MEDIAN(M39:T39)</f>
        <v>7.4810821363112873E-2</v>
      </c>
    </row>
    <row r="64" spans="1:21" x14ac:dyDescent="0.25">
      <c r="A64" t="s">
        <v>246</v>
      </c>
      <c r="B64" s="26">
        <f>_xlfn.STDEV.S(M39:T39)</f>
        <v>1.5198121149087073E-2</v>
      </c>
    </row>
    <row r="66" spans="1:2" x14ac:dyDescent="0.25">
      <c r="A66" t="s">
        <v>247</v>
      </c>
      <c r="B66" s="40">
        <f>AVERAGE(M38:T38)</f>
        <v>0.18567417585492713</v>
      </c>
    </row>
    <row r="67" spans="1:2" x14ac:dyDescent="0.25">
      <c r="A67" t="s">
        <v>248</v>
      </c>
      <c r="B67" s="40">
        <f>MEDIAN(M38:T38)</f>
        <v>0.18507910313737816</v>
      </c>
    </row>
    <row r="68" spans="1:2" x14ac:dyDescent="0.25">
      <c r="A68" t="s">
        <v>249</v>
      </c>
      <c r="B68" s="6">
        <f>_xlfn.STDEV.S(M38:T38)</f>
        <v>6.763979616993372E-3</v>
      </c>
    </row>
  </sheetData>
  <mergeCells count="7">
    <mergeCell ref="T43:U43"/>
    <mergeCell ref="P48:Q48"/>
    <mergeCell ref="P54:Q54"/>
    <mergeCell ref="H41:L41"/>
    <mergeCell ref="H50:L50"/>
    <mergeCell ref="P43:Q43"/>
    <mergeCell ref="R43:S43"/>
  </mergeCells>
  <conditionalFormatting sqref="B15:U15 B14:V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:V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V1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V1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V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V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D6A6-F226-4194-9D48-39BF3C485562}">
  <dimension ref="A1:B22"/>
  <sheetViews>
    <sheetView workbookViewId="0">
      <selection activeCell="B1" sqref="B1:B19"/>
    </sheetView>
  </sheetViews>
  <sheetFormatPr defaultRowHeight="15" x14ac:dyDescent="0.25"/>
  <cols>
    <col min="1" max="1" width="9.85546875" bestFit="1" customWidth="1"/>
    <col min="2" max="2" width="9.140625" style="6" customWidth="1"/>
  </cols>
  <sheetData>
    <row r="1" spans="1:2" x14ac:dyDescent="0.25">
      <c r="A1" s="24">
        <v>44287</v>
      </c>
      <c r="B1" s="22">
        <v>18.512508</v>
      </c>
    </row>
    <row r="2" spans="1:2" x14ac:dyDescent="0.25">
      <c r="A2" s="24">
        <v>44378</v>
      </c>
      <c r="B2" s="22">
        <v>17.695295000000002</v>
      </c>
    </row>
    <row r="3" spans="1:2" x14ac:dyDescent="0.25">
      <c r="A3" s="24">
        <v>44470</v>
      </c>
      <c r="B3" s="22">
        <v>16.131224</v>
      </c>
    </row>
    <row r="4" spans="1:2" x14ac:dyDescent="0.25">
      <c r="A4" s="24">
        <v>44562</v>
      </c>
      <c r="B4" s="22">
        <v>14.187702</v>
      </c>
    </row>
    <row r="5" spans="1:2" x14ac:dyDescent="0.25">
      <c r="A5" s="24">
        <v>44652</v>
      </c>
      <c r="B5" s="22">
        <v>13.317746</v>
      </c>
    </row>
    <row r="6" spans="1:2" x14ac:dyDescent="0.25">
      <c r="A6" s="24">
        <v>44743</v>
      </c>
      <c r="B6" s="22">
        <v>18.953956999999999</v>
      </c>
    </row>
    <row r="7" spans="1:2" x14ac:dyDescent="0.25">
      <c r="A7" s="24">
        <v>44835</v>
      </c>
      <c r="B7" s="22">
        <v>40.462257000000001</v>
      </c>
    </row>
    <row r="8" spans="1:2" x14ac:dyDescent="0.25">
      <c r="A8" s="24">
        <v>44927</v>
      </c>
      <c r="B8" s="22">
        <v>28.838148</v>
      </c>
    </row>
    <row r="9" spans="1:2" x14ac:dyDescent="0.25">
      <c r="A9" s="24">
        <v>45017</v>
      </c>
      <c r="B9" s="22">
        <v>31.947783000000001</v>
      </c>
    </row>
    <row r="10" spans="1:2" x14ac:dyDescent="0.25">
      <c r="A10" s="24">
        <v>45108</v>
      </c>
      <c r="B10" s="22">
        <v>86.903152000000006</v>
      </c>
    </row>
    <row r="11" spans="1:2" x14ac:dyDescent="0.25">
      <c r="A11" s="24">
        <v>45200</v>
      </c>
      <c r="B11" s="22">
        <v>75.751037999999994</v>
      </c>
    </row>
    <row r="12" spans="1:2" x14ac:dyDescent="0.25">
      <c r="A12" s="24">
        <v>45292</v>
      </c>
      <c r="B12" s="22">
        <v>96.620757999999995</v>
      </c>
    </row>
    <row r="13" spans="1:2" x14ac:dyDescent="0.25">
      <c r="A13" s="24">
        <v>45383</v>
      </c>
      <c r="B13" s="22">
        <v>157.42520099999999</v>
      </c>
    </row>
    <row r="14" spans="1:2" x14ac:dyDescent="0.25">
      <c r="A14" s="24">
        <v>45474</v>
      </c>
      <c r="B14" s="6">
        <v>129.56805399999999</v>
      </c>
    </row>
    <row r="15" spans="1:2" x14ac:dyDescent="0.25">
      <c r="A15" s="24">
        <v>45566</v>
      </c>
      <c r="B15" s="6">
        <v>108.92971799999999</v>
      </c>
    </row>
    <row r="16" spans="1:2" x14ac:dyDescent="0.25">
      <c r="A16" s="24">
        <v>45658</v>
      </c>
      <c r="B16" s="6">
        <v>111.613625</v>
      </c>
    </row>
    <row r="17" spans="1:2" x14ac:dyDescent="0.25">
      <c r="A17" s="24">
        <v>45748</v>
      </c>
      <c r="B17" s="6">
        <v>97.731339000000006</v>
      </c>
    </row>
    <row r="18" spans="1:2" x14ac:dyDescent="0.25">
      <c r="A18" s="24">
        <v>45839</v>
      </c>
      <c r="B18" s="6">
        <v>104.5</v>
      </c>
    </row>
    <row r="19" spans="1:2" x14ac:dyDescent="0.25">
      <c r="A19" s="24">
        <v>45931</v>
      </c>
      <c r="B19" s="6">
        <v>114.599998</v>
      </c>
    </row>
    <row r="20" spans="1:2" x14ac:dyDescent="0.25">
      <c r="A20" s="24"/>
    </row>
    <row r="21" spans="1:2" x14ac:dyDescent="0.25">
      <c r="A21" s="24"/>
    </row>
    <row r="22" spans="1:2" x14ac:dyDescent="0.25">
      <c r="A22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Data</vt:lpstr>
      <vt:lpstr>Bilanço</vt:lpstr>
      <vt:lpstr>Çeyreklik</vt:lpstr>
      <vt:lpstr>Yıllık</vt:lpstr>
      <vt:lpstr>Dikey Analiz</vt:lpstr>
      <vt:lpstr>Analiz</vt:lpstr>
      <vt:lpstr>GRAFİKLER</vt:lpstr>
      <vt:lpstr>Değerleme Yıllık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Okan Deniz</dc:creator>
  <cp:lastModifiedBy>Okan Deniz</cp:lastModifiedBy>
  <dcterms:created xsi:type="dcterms:W3CDTF">2015-06-05T18:19:34Z</dcterms:created>
  <dcterms:modified xsi:type="dcterms:W3CDTF">2025-11-09T19:22:20Z</dcterms:modified>
</cp:coreProperties>
</file>