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kand\OneDrive\Desktop\Algoritmik Trade\"/>
    </mc:Choice>
  </mc:AlternateContent>
  <xr:revisionPtr revIDLastSave="0" documentId="13_ncr:1_{8716DD0E-C244-4E5A-8A6D-5213857FCE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57" i="1" l="1"/>
  <c r="U56" i="1"/>
  <c r="V56" i="1"/>
  <c r="W56" i="1"/>
  <c r="X56" i="1"/>
  <c r="Y56" i="1"/>
  <c r="T56" i="1"/>
  <c r="U57" i="1"/>
  <c r="V57" i="1"/>
  <c r="W57" i="1"/>
  <c r="X57" i="1"/>
  <c r="Y57" i="1"/>
  <c r="T57" i="1"/>
</calcChain>
</file>

<file path=xl/sharedStrings.xml><?xml version="1.0" encoding="utf-8"?>
<sst xmlns="http://schemas.openxmlformats.org/spreadsheetml/2006/main" count="348" uniqueCount="79">
  <si>
    <t>Date</t>
  </si>
  <si>
    <t>stock_1</t>
  </si>
  <si>
    <t>stock_2</t>
  </si>
  <si>
    <t>stock_3</t>
  </si>
  <si>
    <t>stock_4</t>
  </si>
  <si>
    <t>stock_5</t>
  </si>
  <si>
    <t>stock_6</t>
  </si>
  <si>
    <t>week_ret</t>
  </si>
  <si>
    <t>cumulative return</t>
  </si>
  <si>
    <t>bist100 cumulative return</t>
  </si>
  <si>
    <t>stock_1_weight</t>
  </si>
  <si>
    <t>stock_2_weight</t>
  </si>
  <si>
    <t>stock_3_weight</t>
  </si>
  <si>
    <t>stock_4_weight</t>
  </si>
  <si>
    <t>stock_5_weight</t>
  </si>
  <si>
    <t>stock_6_weight</t>
  </si>
  <si>
    <t>optimum_ret</t>
  </si>
  <si>
    <t>cumulative optimum return</t>
  </si>
  <si>
    <t>TKFEN.IS</t>
  </si>
  <si>
    <t>TUREX.IS</t>
  </si>
  <si>
    <t>EFORC.IS</t>
  </si>
  <si>
    <t>PASEU.IS</t>
  </si>
  <si>
    <t>OTKAR.IS</t>
  </si>
  <si>
    <t>GENIL.IS</t>
  </si>
  <si>
    <t>BRYAT.IS</t>
  </si>
  <si>
    <t>BRSAN.IS</t>
  </si>
  <si>
    <t>MPARK.IS</t>
  </si>
  <si>
    <t>PATEK.IS</t>
  </si>
  <si>
    <t>RALYH.IS</t>
  </si>
  <si>
    <t>EUPWR.IS</t>
  </si>
  <si>
    <t>ALTNY.IS</t>
  </si>
  <si>
    <t>REEDR.IS</t>
  </si>
  <si>
    <t>KTLEV.IS</t>
  </si>
  <si>
    <t>KONTR.IS</t>
  </si>
  <si>
    <t>ASTOR.IS</t>
  </si>
  <si>
    <t>CLEBI.IS</t>
  </si>
  <si>
    <t>GESAN.IS</t>
  </si>
  <si>
    <t>EKGYO.IS</t>
  </si>
  <si>
    <t>IPEKE.IS</t>
  </si>
  <si>
    <t>KOZAA.IS</t>
  </si>
  <si>
    <t>IEYHO.IS</t>
  </si>
  <si>
    <t>GRTHO.IS</t>
  </si>
  <si>
    <t>ANSGR.IS</t>
  </si>
  <si>
    <t>CCOLA.IS</t>
  </si>
  <si>
    <t>AEFES.IS</t>
  </si>
  <si>
    <t>KUYAS.IS</t>
  </si>
  <si>
    <t>OYAKC.IS</t>
  </si>
  <si>
    <t>DAPGM.IS</t>
  </si>
  <si>
    <t>OBAMS.IS</t>
  </si>
  <si>
    <t>FENER.IS</t>
  </si>
  <si>
    <t>TURSG.IS</t>
  </si>
  <si>
    <t>TOASO.IS</t>
  </si>
  <si>
    <t>TSPOR.IS</t>
  </si>
  <si>
    <t>MAGEN.IS</t>
  </si>
  <si>
    <t>SKBNK.IS</t>
  </si>
  <si>
    <t>CIMSA.IS</t>
  </si>
  <si>
    <t>BSOKE.IS</t>
  </si>
  <si>
    <t>HALKB.IS</t>
  </si>
  <si>
    <t>GRSEL.IS</t>
  </si>
  <si>
    <t>DSTKF.IS</t>
  </si>
  <si>
    <t>AKSA.IS</t>
  </si>
  <si>
    <t>ASELS.IS</t>
  </si>
  <si>
    <t>BALSU.IS</t>
  </si>
  <si>
    <t>DOAS.IS</t>
  </si>
  <si>
    <t>MIATK.IS</t>
  </si>
  <si>
    <t>GLRMK.IS</t>
  </si>
  <si>
    <t>XAUTRYG</t>
  </si>
  <si>
    <t>ALARK.IS</t>
  </si>
  <si>
    <t>BINHO.IS</t>
  </si>
  <si>
    <t>ENERY.IS</t>
  </si>
  <si>
    <t>MAVI.IS</t>
  </si>
  <si>
    <t>ECILC.IS</t>
  </si>
  <si>
    <t>CANTE.IS</t>
  </si>
  <si>
    <t>TUKAS.IS</t>
  </si>
  <si>
    <t>HEKTS.IS</t>
  </si>
  <si>
    <t>SASA.IS</t>
  </si>
  <si>
    <t>CWENE.IS</t>
  </si>
  <si>
    <t>AKSEN.IS</t>
  </si>
  <si>
    <t>TAVHL.IS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</si>
</sst>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43" fontId="0" fillId="0" borderId="0" xfId="0" applyNumberFormat="1"/>
    <xf numFmtId="9" fontId="0" fillId="0" borderId="0" xfId="0" applyNumberFormat="1"/>
  </cellXfs>
  <cellStyles count="2">
    <cellStyle name="Normal" xfId="0" builtinId="0"/>
    <cellStyle name="Virgül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7"/>
  <sheetViews>
    <sheetView tabSelected="1" topLeftCell="H31" workbookViewId="0">
      <selection activeCell="Y38" sqref="Y38"/>
    </sheetView>
  </sheetViews>
  <sheetFormatPr defaultRowHeight="15" x14ac:dyDescent="0.25"/>
  <cols>
    <col min="1" max="1" width="18.28515625" bestFit="1" customWidth="1"/>
    <col min="2" max="2" width="9.85546875" bestFit="1" customWidth="1"/>
    <col min="3" max="3" width="9.5703125" bestFit="1" customWidth="1"/>
    <col min="4" max="7" width="9.85546875" bestFit="1" customWidth="1"/>
    <col min="8" max="8" width="12.7109375" style="4" bestFit="1" customWidth="1"/>
    <col min="9" max="9" width="17" style="4" bestFit="1" customWidth="1"/>
    <col min="10" max="10" width="24" style="4" bestFit="1" customWidth="1"/>
    <col min="11" max="16" width="14.85546875" style="4" bestFit="1" customWidth="1"/>
    <col min="17" max="17" width="12.7109375" style="4" bestFit="1" customWidth="1"/>
    <col min="18" max="18" width="26" style="4" bestFit="1" customWidth="1"/>
    <col min="20" max="25" width="10.5703125" bestFit="1" customWidth="1"/>
    <col min="26" max="26" width="11.5703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5">
      <c r="A2" s="2">
        <v>45565</v>
      </c>
    </row>
    <row r="3" spans="1:18" x14ac:dyDescent="0.25">
      <c r="A3" s="2">
        <v>45572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s="4">
        <v>0</v>
      </c>
      <c r="I3" s="4">
        <v>1</v>
      </c>
      <c r="J3" s="4">
        <v>0.97441078213535048</v>
      </c>
      <c r="K3" s="4">
        <v>2.9117581364829791E-2</v>
      </c>
      <c r="L3" s="4">
        <v>6.155938489601942E-2</v>
      </c>
      <c r="M3" s="4">
        <v>0.48260054276191361</v>
      </c>
      <c r="N3" s="4">
        <v>5.0610778990690018E-2</v>
      </c>
      <c r="O3" s="4">
        <v>3.4064508248067893E-2</v>
      </c>
      <c r="P3" s="4">
        <v>0.34204720373847941</v>
      </c>
      <c r="Q3" s="4">
        <v>0</v>
      </c>
      <c r="R3" s="4">
        <v>1</v>
      </c>
    </row>
    <row r="4" spans="1:18" x14ac:dyDescent="0.25">
      <c r="A4" s="2">
        <v>45579</v>
      </c>
      <c r="B4" t="s">
        <v>18</v>
      </c>
      <c r="C4" t="s">
        <v>20</v>
      </c>
      <c r="D4" t="s">
        <v>22</v>
      </c>
      <c r="E4" t="s">
        <v>24</v>
      </c>
      <c r="F4" t="s">
        <v>25</v>
      </c>
      <c r="G4" t="s">
        <v>26</v>
      </c>
      <c r="H4" s="4">
        <v>2.2470493311780122E-3</v>
      </c>
      <c r="I4" s="4">
        <v>1.0022470493311779</v>
      </c>
      <c r="J4" s="4">
        <v>0.96534301385288868</v>
      </c>
      <c r="K4" s="4">
        <v>3.775965828144532E-2</v>
      </c>
      <c r="L4" s="4">
        <v>0.71313592946253013</v>
      </c>
      <c r="M4" s="4">
        <v>8.0109716967134509E-2</v>
      </c>
      <c r="N4" s="4">
        <v>1.640701580431669E-2</v>
      </c>
      <c r="O4" s="4">
        <v>5.0787289299553007E-2</v>
      </c>
      <c r="P4" s="4">
        <v>0.10180039018502041</v>
      </c>
      <c r="Q4" s="4">
        <v>5.7511105847251418E-3</v>
      </c>
      <c r="R4" s="4">
        <v>1.005751110584725</v>
      </c>
    </row>
    <row r="5" spans="1:18" x14ac:dyDescent="0.25">
      <c r="A5" s="2">
        <v>45586</v>
      </c>
      <c r="B5" t="s">
        <v>18</v>
      </c>
      <c r="C5" t="s">
        <v>20</v>
      </c>
      <c r="D5" t="s">
        <v>25</v>
      </c>
      <c r="E5" t="s">
        <v>27</v>
      </c>
      <c r="F5" t="s">
        <v>28</v>
      </c>
      <c r="G5" t="s">
        <v>29</v>
      </c>
      <c r="H5" s="4">
        <v>1.463545018045981E-2</v>
      </c>
      <c r="I5" s="4">
        <v>1.016915386090177</v>
      </c>
      <c r="J5" s="4">
        <v>0.97795660618914881</v>
      </c>
      <c r="K5" s="4">
        <v>0.13930789951354219</v>
      </c>
      <c r="L5" s="4">
        <v>0.61434369769993569</v>
      </c>
      <c r="M5" s="4">
        <v>0.14488783884047551</v>
      </c>
      <c r="N5" s="4">
        <v>9.864628838495329E-2</v>
      </c>
      <c r="O5" s="4">
        <v>2.8133490479423972E-3</v>
      </c>
      <c r="P5" s="4">
        <v>9.2651315095128449E-7</v>
      </c>
      <c r="Q5" s="4">
        <v>4.9334765415437409E-2</v>
      </c>
      <c r="R5" s="4">
        <v>1.0553696056917381</v>
      </c>
    </row>
    <row r="6" spans="1:18" x14ac:dyDescent="0.25">
      <c r="A6" s="2">
        <v>45593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s="4">
        <v>7.4362922323646427E-2</v>
      </c>
      <c r="I6" s="4">
        <v>1.0925361859557221</v>
      </c>
      <c r="J6" s="4">
        <v>0.97537681147922883</v>
      </c>
      <c r="K6" s="4">
        <v>0.16105538551571399</v>
      </c>
      <c r="L6" s="4">
        <v>0.17684753935513389</v>
      </c>
      <c r="M6" s="4">
        <v>8.8765946489794152E-3</v>
      </c>
      <c r="N6" s="4">
        <v>0.54335612967720004</v>
      </c>
      <c r="O6" s="4">
        <v>0.10033022419661659</v>
      </c>
      <c r="P6" s="4">
        <v>9.5341266063561862E-3</v>
      </c>
      <c r="Q6" s="4">
        <v>5.2709458335565347E-2</v>
      </c>
      <c r="R6" s="4">
        <v>1.110997565951569</v>
      </c>
    </row>
    <row r="7" spans="1:18" x14ac:dyDescent="0.25">
      <c r="A7" s="2">
        <v>45600</v>
      </c>
      <c r="B7" t="s">
        <v>28</v>
      </c>
      <c r="C7" t="s">
        <v>29</v>
      </c>
      <c r="D7" t="s">
        <v>32</v>
      </c>
      <c r="E7" t="s">
        <v>33</v>
      </c>
      <c r="F7" t="s">
        <v>34</v>
      </c>
      <c r="G7" t="s">
        <v>35</v>
      </c>
      <c r="H7" s="4">
        <v>-0.1108217347719735</v>
      </c>
      <c r="I7" s="4">
        <v>0.97145943052695327</v>
      </c>
      <c r="J7" s="4">
        <v>1.008288169415668</v>
      </c>
      <c r="K7" s="4">
        <v>0.58928041170825052</v>
      </c>
      <c r="L7" s="4">
        <v>9.9024431908890279E-2</v>
      </c>
      <c r="M7" s="4">
        <v>2.251029610698059E-2</v>
      </c>
      <c r="N7" s="4">
        <v>4.5839842951717592E-2</v>
      </c>
      <c r="O7" s="4">
        <v>2.716854461599489E-2</v>
      </c>
      <c r="P7" s="4">
        <v>0.21617647270816609</v>
      </c>
      <c r="Q7" s="4">
        <v>-0.10360199503053211</v>
      </c>
      <c r="R7" s="4">
        <v>0.99589600164492154</v>
      </c>
    </row>
    <row r="8" spans="1:18" x14ac:dyDescent="0.25">
      <c r="A8" s="2">
        <v>45607</v>
      </c>
      <c r="B8" t="s">
        <v>28</v>
      </c>
      <c r="C8" t="s">
        <v>34</v>
      </c>
      <c r="D8" t="s">
        <v>35</v>
      </c>
      <c r="E8" t="s">
        <v>36</v>
      </c>
      <c r="F8" t="s">
        <v>18</v>
      </c>
      <c r="G8" t="s">
        <v>37</v>
      </c>
      <c r="H8" s="4">
        <v>2.762071140933153E-2</v>
      </c>
      <c r="I8" s="4">
        <v>0.99829183110341191</v>
      </c>
      <c r="J8" s="4">
        <v>1.030770677219697</v>
      </c>
      <c r="K8" s="4">
        <v>0.48069910040417718</v>
      </c>
      <c r="L8" s="4">
        <v>4.1088473111000223E-2</v>
      </c>
      <c r="M8" s="4">
        <v>0.129532553753124</v>
      </c>
      <c r="N8" s="4">
        <v>1.9775034788964821E-2</v>
      </c>
      <c r="O8" s="4">
        <v>0.30313772223263108</v>
      </c>
      <c r="P8" s="4">
        <v>2.5767115710102709E-2</v>
      </c>
      <c r="Q8" s="4">
        <v>3.8602947530600708E-2</v>
      </c>
      <c r="R8" s="4">
        <v>1.034340522742355</v>
      </c>
    </row>
    <row r="9" spans="1:18" x14ac:dyDescent="0.25">
      <c r="A9" s="2">
        <v>45614</v>
      </c>
      <c r="B9" t="s">
        <v>34</v>
      </c>
      <c r="C9" t="s">
        <v>35</v>
      </c>
      <c r="D9" t="s">
        <v>37</v>
      </c>
      <c r="E9" t="s">
        <v>38</v>
      </c>
      <c r="F9" t="s">
        <v>39</v>
      </c>
      <c r="G9" t="s">
        <v>40</v>
      </c>
      <c r="H9" s="4">
        <v>4.5918285573470401E-3</v>
      </c>
      <c r="I9" s="4">
        <v>1.002875816042039</v>
      </c>
      <c r="J9" s="4">
        <v>1.048368149055187</v>
      </c>
      <c r="K9" s="4">
        <v>2.5051506924947141E-2</v>
      </c>
      <c r="L9" s="4">
        <v>0.77996991727129117</v>
      </c>
      <c r="M9" s="4">
        <v>3.011166677362607E-3</v>
      </c>
      <c r="N9" s="4">
        <v>1.3404916843179E-2</v>
      </c>
      <c r="O9" s="4">
        <v>9.9901995307451766E-2</v>
      </c>
      <c r="P9" s="4">
        <v>7.8660496975768421E-2</v>
      </c>
      <c r="Q9" s="4">
        <v>-1.07471681573537E-3</v>
      </c>
      <c r="R9" s="4">
        <v>1.0332288995893679</v>
      </c>
    </row>
    <row r="10" spans="1:18" x14ac:dyDescent="0.25">
      <c r="A10" s="2">
        <v>45621</v>
      </c>
      <c r="B10" t="s">
        <v>37</v>
      </c>
      <c r="C10" t="s">
        <v>38</v>
      </c>
      <c r="D10" t="s">
        <v>40</v>
      </c>
      <c r="E10" t="s">
        <v>41</v>
      </c>
      <c r="F10" t="s">
        <v>42</v>
      </c>
      <c r="G10" t="s">
        <v>24</v>
      </c>
      <c r="H10" s="4">
        <v>2.3961894554228001E-2</v>
      </c>
      <c r="I10" s="4">
        <v>1.026906620597023</v>
      </c>
      <c r="J10" s="4">
        <v>1.0595764908488261</v>
      </c>
      <c r="K10" s="4">
        <v>5.0969565596425508E-2</v>
      </c>
      <c r="L10" s="4">
        <v>0.11427278304686431</v>
      </c>
      <c r="M10" s="4">
        <v>0.40456936126248361</v>
      </c>
      <c r="N10" s="4">
        <v>0.42339626873893599</v>
      </c>
      <c r="O10" s="4">
        <v>2.565452628427882E-3</v>
      </c>
      <c r="P10" s="4">
        <v>4.2265687268625779E-3</v>
      </c>
      <c r="Q10" s="4">
        <v>-2.4568592136342521E-2</v>
      </c>
      <c r="R10" s="4">
        <v>1.007843920171875</v>
      </c>
    </row>
    <row r="11" spans="1:18" x14ac:dyDescent="0.25">
      <c r="A11" s="2">
        <v>45628</v>
      </c>
      <c r="B11" t="s">
        <v>37</v>
      </c>
      <c r="C11" t="s">
        <v>42</v>
      </c>
      <c r="D11" t="s">
        <v>24</v>
      </c>
      <c r="E11" t="s">
        <v>43</v>
      </c>
      <c r="F11" t="s">
        <v>44</v>
      </c>
      <c r="G11" t="s">
        <v>19</v>
      </c>
      <c r="H11" s="4">
        <v>-2.1805420577209098E-3</v>
      </c>
      <c r="I11" s="4">
        <v>1.0246674075214599</v>
      </c>
      <c r="J11" s="4">
        <v>1.106671145000458</v>
      </c>
      <c r="K11" s="4">
        <v>2.004408794162537E-2</v>
      </c>
      <c r="L11" s="4">
        <v>0.29070542344317157</v>
      </c>
      <c r="M11" s="4">
        <v>1.08815539684342E-2</v>
      </c>
      <c r="N11" s="4">
        <v>2.3199096729272729E-4</v>
      </c>
      <c r="O11" s="4">
        <v>0.17967258551823109</v>
      </c>
      <c r="P11" s="4">
        <v>0.49846435816124501</v>
      </c>
      <c r="Q11" s="4">
        <v>-3.2045481440034308E-2</v>
      </c>
      <c r="R11" s="4">
        <v>0.97554707653355532</v>
      </c>
    </row>
    <row r="12" spans="1:18" x14ac:dyDescent="0.25">
      <c r="A12" s="2">
        <v>45635</v>
      </c>
      <c r="B12" t="s">
        <v>37</v>
      </c>
      <c r="C12" t="s">
        <v>42</v>
      </c>
      <c r="D12" t="s">
        <v>19</v>
      </c>
      <c r="E12" t="s">
        <v>45</v>
      </c>
      <c r="F12" t="s">
        <v>34</v>
      </c>
      <c r="G12" t="s">
        <v>46</v>
      </c>
      <c r="H12" s="4">
        <v>2.1852186723844699E-2</v>
      </c>
      <c r="I12" s="4">
        <v>1.047058631040457</v>
      </c>
      <c r="J12" s="4">
        <v>1.111556288174562</v>
      </c>
      <c r="K12" s="4">
        <v>4.0919102401329413E-2</v>
      </c>
      <c r="L12" s="4">
        <v>5.6314396859408221E-2</v>
      </c>
      <c r="M12" s="4">
        <v>0.58168359790744539</v>
      </c>
      <c r="N12" s="4">
        <v>0.30254524670370547</v>
      </c>
      <c r="O12" s="4">
        <v>5.4039485812112029E-3</v>
      </c>
      <c r="P12" s="4">
        <v>1.313370754690029E-2</v>
      </c>
      <c r="Q12" s="4">
        <v>4.7811947762044393E-2</v>
      </c>
      <c r="R12" s="4">
        <v>1.022189882396193</v>
      </c>
    </row>
    <row r="13" spans="1:18" x14ac:dyDescent="0.25">
      <c r="A13" s="2">
        <v>45642</v>
      </c>
      <c r="B13" t="s">
        <v>19</v>
      </c>
      <c r="C13" t="s">
        <v>34</v>
      </c>
      <c r="D13" t="s">
        <v>46</v>
      </c>
      <c r="E13" t="s">
        <v>47</v>
      </c>
      <c r="F13" t="s">
        <v>20</v>
      </c>
      <c r="G13" t="s">
        <v>48</v>
      </c>
      <c r="H13" s="4">
        <v>-1.7805282785522979E-2</v>
      </c>
      <c r="I13" s="4">
        <v>1.0284154560217591</v>
      </c>
      <c r="J13" s="4">
        <v>1.06753532476961</v>
      </c>
      <c r="K13" s="4">
        <v>0.2303298909474209</v>
      </c>
      <c r="L13" s="4">
        <v>7.2112444727055053E-2</v>
      </c>
      <c r="M13" s="4">
        <v>4.3015773435268703E-2</v>
      </c>
      <c r="N13" s="4">
        <v>3.0200355871285101E-2</v>
      </c>
      <c r="O13" s="4">
        <v>0.52066723429748618</v>
      </c>
      <c r="P13" s="4">
        <v>0.10367430072148411</v>
      </c>
      <c r="Q13" s="4">
        <v>-2.9894052029117591E-3</v>
      </c>
      <c r="R13" s="4">
        <v>1.019134142643394</v>
      </c>
    </row>
    <row r="14" spans="1:18" x14ac:dyDescent="0.25">
      <c r="A14" s="2">
        <v>45649</v>
      </c>
      <c r="B14" t="s">
        <v>19</v>
      </c>
      <c r="C14" t="s">
        <v>34</v>
      </c>
      <c r="D14" t="s">
        <v>46</v>
      </c>
      <c r="E14" t="s">
        <v>49</v>
      </c>
      <c r="F14" t="s">
        <v>50</v>
      </c>
      <c r="G14" t="s">
        <v>51</v>
      </c>
      <c r="H14" s="4">
        <v>3.5880761733274057E-2</v>
      </c>
      <c r="I14" s="4">
        <v>1.0653157859620921</v>
      </c>
      <c r="J14" s="4">
        <v>1.10057854555068</v>
      </c>
      <c r="K14" s="4">
        <v>0.63432258507707107</v>
      </c>
      <c r="L14" s="4">
        <v>4.8671567292237851E-2</v>
      </c>
      <c r="M14" s="4">
        <v>0.18143699953180559</v>
      </c>
      <c r="N14" s="4">
        <v>2.999701379873672E-3</v>
      </c>
      <c r="O14" s="4">
        <v>9.1421931354674899E-2</v>
      </c>
      <c r="P14" s="4">
        <v>4.1147215364337013E-2</v>
      </c>
      <c r="Q14" s="4">
        <v>3.2269729144680688E-2</v>
      </c>
      <c r="R14" s="4">
        <v>1.0520213253885919</v>
      </c>
    </row>
    <row r="15" spans="1:18" x14ac:dyDescent="0.25">
      <c r="A15" s="2">
        <v>45656</v>
      </c>
      <c r="B15" t="s">
        <v>19</v>
      </c>
      <c r="C15" t="s">
        <v>34</v>
      </c>
      <c r="D15" t="s">
        <v>49</v>
      </c>
      <c r="E15" t="s">
        <v>52</v>
      </c>
      <c r="F15" t="s">
        <v>20</v>
      </c>
      <c r="G15" t="s">
        <v>53</v>
      </c>
      <c r="H15" s="4">
        <v>2.6413827474169739E-2</v>
      </c>
      <c r="I15" s="4">
        <v>1.093454853338004</v>
      </c>
      <c r="J15" s="4">
        <v>1.106034451151463</v>
      </c>
      <c r="K15" s="4">
        <v>0.48083051069074451</v>
      </c>
      <c r="L15" s="4">
        <v>5.3657071272809317E-2</v>
      </c>
      <c r="M15" s="4">
        <v>4.6521811185535403E-2</v>
      </c>
      <c r="N15" s="4">
        <v>7.9866753675749188E-3</v>
      </c>
      <c r="O15" s="4">
        <v>0.40808826638088458</v>
      </c>
      <c r="P15" s="4">
        <v>2.9156651024513612E-3</v>
      </c>
      <c r="Q15" s="4">
        <v>4.2137050799222413E-2</v>
      </c>
      <c r="R15" s="4">
        <v>1.0963504014183569</v>
      </c>
    </row>
    <row r="16" spans="1:18" x14ac:dyDescent="0.25">
      <c r="A16" s="2">
        <v>45663</v>
      </c>
      <c r="B16" t="s">
        <v>19</v>
      </c>
      <c r="C16" t="s">
        <v>20</v>
      </c>
      <c r="D16" t="s">
        <v>53</v>
      </c>
      <c r="E16" t="s">
        <v>54</v>
      </c>
      <c r="F16" t="s">
        <v>32</v>
      </c>
      <c r="G16" t="s">
        <v>27</v>
      </c>
      <c r="H16" s="4">
        <v>1.566845560675327E-2</v>
      </c>
      <c r="I16" s="4">
        <v>1.110587602165519</v>
      </c>
      <c r="J16" s="4">
        <v>1.08796495321442</v>
      </c>
      <c r="K16" s="4">
        <v>0.16217883562004029</v>
      </c>
      <c r="L16" s="4">
        <v>0.68007487555729784</v>
      </c>
      <c r="M16" s="4">
        <v>5.9649894357434362E-2</v>
      </c>
      <c r="N16" s="4">
        <v>6.671102992327948E-3</v>
      </c>
      <c r="O16" s="4">
        <v>2.85247082995378E-2</v>
      </c>
      <c r="P16" s="4">
        <v>6.2900583173361765E-2</v>
      </c>
      <c r="Q16" s="4">
        <v>2.1668216822280609E-2</v>
      </c>
      <c r="R16" s="4">
        <v>1.120106359629484</v>
      </c>
    </row>
    <row r="17" spans="1:18" x14ac:dyDescent="0.25">
      <c r="A17" s="2">
        <v>45670</v>
      </c>
      <c r="B17" t="s">
        <v>19</v>
      </c>
      <c r="C17" t="s">
        <v>20</v>
      </c>
      <c r="D17" t="s">
        <v>27</v>
      </c>
      <c r="E17" t="s">
        <v>55</v>
      </c>
      <c r="F17" t="s">
        <v>42</v>
      </c>
      <c r="G17" t="s">
        <v>50</v>
      </c>
      <c r="H17" s="4">
        <v>-3.2946961227362487E-2</v>
      </c>
      <c r="I17" s="4">
        <v>1.0739971154973831</v>
      </c>
      <c r="J17" s="4">
        <v>1.095353131914089</v>
      </c>
      <c r="K17" s="4">
        <v>0.18033571237326049</v>
      </c>
      <c r="L17" s="4">
        <v>0.63406704007345038</v>
      </c>
      <c r="M17" s="4">
        <v>9.4726328276873481E-2</v>
      </c>
      <c r="N17" s="4">
        <v>7.3987792620192672E-2</v>
      </c>
      <c r="O17" s="4">
        <v>3.282248482647692E-3</v>
      </c>
      <c r="P17" s="4">
        <v>1.360087817357517E-2</v>
      </c>
      <c r="Q17" s="4">
        <v>-6.1897514772681524E-3</v>
      </c>
      <c r="R17" s="4">
        <v>1.11317317963527</v>
      </c>
    </row>
    <row r="18" spans="1:18" x14ac:dyDescent="0.25">
      <c r="A18" s="2">
        <v>45677</v>
      </c>
      <c r="B18" t="s">
        <v>20</v>
      </c>
      <c r="C18" t="s">
        <v>55</v>
      </c>
      <c r="D18" t="s">
        <v>42</v>
      </c>
      <c r="E18" t="s">
        <v>28</v>
      </c>
      <c r="F18" t="s">
        <v>56</v>
      </c>
      <c r="G18" t="s">
        <v>23</v>
      </c>
      <c r="H18" s="4">
        <v>-1.110676239041913E-2</v>
      </c>
      <c r="I18" s="4">
        <v>1.0620684847275581</v>
      </c>
      <c r="J18" s="4">
        <v>1.109294893991922</v>
      </c>
      <c r="K18" s="4">
        <v>0.50407846721701421</v>
      </c>
      <c r="L18" s="4">
        <v>9.1152704069216078E-2</v>
      </c>
      <c r="M18" s="4">
        <v>8.151214978541424E-2</v>
      </c>
      <c r="N18" s="4">
        <v>8.8103373183037501E-2</v>
      </c>
      <c r="O18" s="4">
        <v>4.3459087878264394E-3</v>
      </c>
      <c r="P18" s="4">
        <v>0.23080739695749161</v>
      </c>
      <c r="Q18" s="4">
        <v>9.3040616185441696E-3</v>
      </c>
      <c r="R18" s="4">
        <v>1.123530211490708</v>
      </c>
    </row>
    <row r="19" spans="1:18" x14ac:dyDescent="0.25">
      <c r="A19" s="2">
        <v>45684</v>
      </c>
      <c r="B19" t="s">
        <v>28</v>
      </c>
      <c r="C19" t="s">
        <v>56</v>
      </c>
      <c r="D19" t="s">
        <v>23</v>
      </c>
      <c r="E19" t="s">
        <v>48</v>
      </c>
      <c r="F19" t="s">
        <v>29</v>
      </c>
      <c r="G19" t="s">
        <v>57</v>
      </c>
      <c r="H19" s="4">
        <v>-7.1984290967980202E-3</v>
      </c>
      <c r="I19" s="4">
        <v>1.0544232600443031</v>
      </c>
      <c r="J19" s="4">
        <v>1.098262262118892</v>
      </c>
      <c r="K19" s="4">
        <v>0.38627249215913712</v>
      </c>
      <c r="L19" s="4">
        <v>5.5790345004633497E-3</v>
      </c>
      <c r="M19" s="4">
        <v>0.48267554836305748</v>
      </c>
      <c r="N19" s="4">
        <v>6.5107022407415047E-2</v>
      </c>
      <c r="O19" s="4">
        <v>3.8725529532356182E-2</v>
      </c>
      <c r="P19" s="4">
        <v>2.1640373037571121E-2</v>
      </c>
      <c r="Q19" s="4">
        <v>-1.3486205584006089E-2</v>
      </c>
      <c r="R19" s="4">
        <v>1.1083780520787021</v>
      </c>
    </row>
    <row r="20" spans="1:18" x14ac:dyDescent="0.25">
      <c r="A20" s="2">
        <v>45691</v>
      </c>
      <c r="B20" t="s">
        <v>28</v>
      </c>
      <c r="C20" t="s">
        <v>56</v>
      </c>
      <c r="D20" t="s">
        <v>48</v>
      </c>
      <c r="E20" t="s">
        <v>58</v>
      </c>
      <c r="F20" t="s">
        <v>41</v>
      </c>
      <c r="G20" t="s">
        <v>40</v>
      </c>
      <c r="H20" s="4">
        <v>9.9372273565353688E-3</v>
      </c>
      <c r="I20" s="4">
        <v>1.064901303709382</v>
      </c>
      <c r="J20" s="4">
        <v>1.0924769138176611</v>
      </c>
      <c r="K20" s="4">
        <v>0.29284204623530607</v>
      </c>
      <c r="L20" s="4">
        <v>3.4604725492286079E-3</v>
      </c>
      <c r="M20" s="4">
        <v>0.2302765001216199</v>
      </c>
      <c r="N20" s="4">
        <v>7.2355774195487138E-2</v>
      </c>
      <c r="O20" s="4">
        <v>0.23585856018266529</v>
      </c>
      <c r="P20" s="4">
        <v>0.16520664671569291</v>
      </c>
      <c r="Q20" s="4">
        <v>2.5291397847181329E-2</v>
      </c>
      <c r="R20" s="4">
        <v>1.136410482358909</v>
      </c>
    </row>
    <row r="21" spans="1:18" x14ac:dyDescent="0.25">
      <c r="A21" s="2">
        <v>45698</v>
      </c>
      <c r="B21" t="s">
        <v>48</v>
      </c>
      <c r="C21" t="s">
        <v>58</v>
      </c>
      <c r="D21" t="s">
        <v>41</v>
      </c>
      <c r="E21" t="s">
        <v>59</v>
      </c>
      <c r="F21" t="s">
        <v>53</v>
      </c>
      <c r="G21" t="s">
        <v>18</v>
      </c>
      <c r="H21" s="4">
        <v>2.2298044692161831E-2</v>
      </c>
      <c r="I21" s="4">
        <v>1.088646520572236</v>
      </c>
      <c r="J21" s="4">
        <v>1.084342262770702</v>
      </c>
      <c r="K21" s="4">
        <v>0.16666666666666671</v>
      </c>
      <c r="L21" s="4">
        <v>0.16666666666666671</v>
      </c>
      <c r="M21" s="4">
        <v>0.16666666666666671</v>
      </c>
      <c r="N21" s="4">
        <v>0.16666666666666671</v>
      </c>
      <c r="O21" s="4">
        <v>0.16666666666666671</v>
      </c>
      <c r="P21" s="4">
        <v>0.16666666666666671</v>
      </c>
      <c r="Q21" s="4">
        <v>2.6169977858741089E-2</v>
      </c>
      <c r="R21" s="4">
        <v>1.1661503195206819</v>
      </c>
    </row>
    <row r="22" spans="1:18" x14ac:dyDescent="0.25">
      <c r="A22" s="2">
        <v>45705</v>
      </c>
      <c r="B22" t="s">
        <v>58</v>
      </c>
      <c r="C22" t="s">
        <v>41</v>
      </c>
      <c r="D22" t="s">
        <v>59</v>
      </c>
      <c r="E22" t="s">
        <v>23</v>
      </c>
      <c r="F22" t="s">
        <v>60</v>
      </c>
      <c r="G22" t="s">
        <v>45</v>
      </c>
      <c r="H22" s="4">
        <v>0.13249696432565519</v>
      </c>
      <c r="I22" s="4">
        <v>1.232888879771743</v>
      </c>
      <c r="J22" s="4">
        <v>1.0541095430748739</v>
      </c>
      <c r="K22" s="4">
        <v>0.1116539448693929</v>
      </c>
      <c r="L22" s="4">
        <v>0.21859302691459759</v>
      </c>
      <c r="M22" s="4">
        <v>8.8714936737325889E-2</v>
      </c>
      <c r="N22" s="4">
        <v>0.1777526121030174</v>
      </c>
      <c r="O22" s="4">
        <v>3.4362691964779728E-3</v>
      </c>
      <c r="P22" s="4">
        <v>0.39984921017918812</v>
      </c>
      <c r="Q22" s="4">
        <v>0.13249696432565519</v>
      </c>
      <c r="R22" s="4">
        <v>1.320661696804565</v>
      </c>
    </row>
    <row r="23" spans="1:18" x14ac:dyDescent="0.25">
      <c r="A23" s="2">
        <v>45712</v>
      </c>
      <c r="B23" t="s">
        <v>41</v>
      </c>
      <c r="C23" t="s">
        <v>23</v>
      </c>
      <c r="D23" t="s">
        <v>60</v>
      </c>
      <c r="E23" t="s">
        <v>61</v>
      </c>
      <c r="F23" t="s">
        <v>62</v>
      </c>
      <c r="G23" t="s">
        <v>47</v>
      </c>
      <c r="H23" s="4">
        <v>-1.7080417722224982E-2</v>
      </c>
      <c r="I23" s="4">
        <v>1.2118306227001561</v>
      </c>
      <c r="J23" s="4">
        <v>1.0603120282285119</v>
      </c>
      <c r="K23" s="4">
        <v>0.16666666666666671</v>
      </c>
      <c r="L23" s="4">
        <v>0.16666666666666671</v>
      </c>
      <c r="M23" s="4">
        <v>0.16666666666666671</v>
      </c>
      <c r="N23" s="4">
        <v>0.16666666666666671</v>
      </c>
      <c r="O23" s="4">
        <v>0.16666666666666671</v>
      </c>
      <c r="P23" s="4">
        <v>0.16666666666666671</v>
      </c>
      <c r="Q23" s="4">
        <v>-1.7120223421122491E-2</v>
      </c>
      <c r="R23" s="4">
        <v>1.298051673491553</v>
      </c>
    </row>
    <row r="24" spans="1:18" x14ac:dyDescent="0.25">
      <c r="A24" s="2">
        <v>45719</v>
      </c>
      <c r="B24" t="s">
        <v>41</v>
      </c>
      <c r="C24" t="s">
        <v>61</v>
      </c>
      <c r="D24" t="s">
        <v>47</v>
      </c>
      <c r="E24" t="s">
        <v>59</v>
      </c>
      <c r="F24" t="s">
        <v>63</v>
      </c>
      <c r="G24" t="s">
        <v>64</v>
      </c>
      <c r="H24" s="4">
        <v>5.4974015808532971E-2</v>
      </c>
      <c r="I24" s="4">
        <v>1.278449818509739</v>
      </c>
      <c r="J24" s="4">
        <v>1.153447505830375</v>
      </c>
      <c r="K24" s="4">
        <v>0.2032523182282194</v>
      </c>
      <c r="L24" s="4">
        <v>0.19416214183370589</v>
      </c>
      <c r="M24" s="4">
        <v>0.34355367215129839</v>
      </c>
      <c r="N24" s="4">
        <v>0.2352091878839766</v>
      </c>
      <c r="O24" s="4">
        <v>8.2547838766475166E-3</v>
      </c>
      <c r="P24" s="4">
        <v>1.556789602615233E-2</v>
      </c>
      <c r="Q24" s="4">
        <v>5.4974015808532978E-2</v>
      </c>
      <c r="R24" s="4">
        <v>1.36941078671037</v>
      </c>
    </row>
    <row r="25" spans="1:18" x14ac:dyDescent="0.25">
      <c r="A25" s="2">
        <v>45726</v>
      </c>
      <c r="B25" t="s">
        <v>41</v>
      </c>
      <c r="C25" t="s">
        <v>61</v>
      </c>
      <c r="D25" t="s">
        <v>64</v>
      </c>
      <c r="E25" t="s">
        <v>45</v>
      </c>
      <c r="F25" t="s">
        <v>18</v>
      </c>
      <c r="G25" t="s">
        <v>65</v>
      </c>
      <c r="H25" s="4">
        <v>9.3487085716166041E-2</v>
      </c>
      <c r="I25" s="4">
        <v>1.3979683662765761</v>
      </c>
      <c r="J25" s="4">
        <v>1.1900584206004501</v>
      </c>
      <c r="K25" s="4">
        <v>0.38925566426123892</v>
      </c>
      <c r="L25" s="4">
        <v>0.30505467561720279</v>
      </c>
      <c r="M25" s="4">
        <v>4.2166347612681068E-4</v>
      </c>
      <c r="N25" s="4">
        <v>0.19947019181988901</v>
      </c>
      <c r="O25" s="4">
        <v>8.2126546621964905E-2</v>
      </c>
      <c r="P25" s="4">
        <v>2.3671258203577579E-2</v>
      </c>
      <c r="Q25" s="4">
        <v>8.13347546557915E-2</v>
      </c>
      <c r="R25" s="4">
        <v>1.480791477070452</v>
      </c>
    </row>
    <row r="26" spans="1:18" x14ac:dyDescent="0.25">
      <c r="A26" s="2">
        <v>45733</v>
      </c>
      <c r="B26" t="s">
        <v>45</v>
      </c>
      <c r="C26" t="s">
        <v>18</v>
      </c>
      <c r="D26" t="s">
        <v>65</v>
      </c>
      <c r="E26" t="s">
        <v>19</v>
      </c>
      <c r="F26" t="s">
        <v>30</v>
      </c>
      <c r="G26" t="s">
        <v>66</v>
      </c>
      <c r="H26" s="4">
        <v>-1.8609147898933032E-2</v>
      </c>
      <c r="I26" s="4">
        <v>1.371953366190505</v>
      </c>
      <c r="J26" s="4">
        <v>0.99289730971923484</v>
      </c>
      <c r="K26" s="4">
        <v>0.2401563647301537</v>
      </c>
      <c r="L26" s="4">
        <v>0.33730841503666492</v>
      </c>
      <c r="M26" s="4">
        <v>1.007781369823834E-2</v>
      </c>
      <c r="N26" s="4">
        <v>7.6478827034060044E-3</v>
      </c>
      <c r="O26" s="4">
        <v>8.9907727249622232E-2</v>
      </c>
      <c r="P26" s="4">
        <v>0.31490179658191481</v>
      </c>
      <c r="Q26" s="4">
        <v>-6.7306008734624348E-2</v>
      </c>
      <c r="R26" s="4">
        <v>1.3811253129805909</v>
      </c>
    </row>
    <row r="27" spans="1:18" x14ac:dyDescent="0.25">
      <c r="A27" s="2">
        <v>45740</v>
      </c>
      <c r="B27" t="s">
        <v>45</v>
      </c>
      <c r="C27" t="s">
        <v>18</v>
      </c>
      <c r="D27" t="s">
        <v>19</v>
      </c>
      <c r="E27" t="s">
        <v>58</v>
      </c>
      <c r="F27" t="s">
        <v>64</v>
      </c>
      <c r="G27" t="s">
        <v>67</v>
      </c>
      <c r="H27" s="4">
        <v>5.9549872467113442E-2</v>
      </c>
      <c r="I27" s="4">
        <v>1.4536530141779771</v>
      </c>
      <c r="J27" s="4">
        <v>1.060399829586034</v>
      </c>
      <c r="K27" s="4">
        <v>0.31650716482646002</v>
      </c>
      <c r="L27" s="4">
        <v>0.2336384030046029</v>
      </c>
      <c r="M27" s="4">
        <v>0.31435520544515272</v>
      </c>
      <c r="N27" s="4">
        <v>0.118194658363607</v>
      </c>
      <c r="O27" s="4">
        <v>7.1595114777308778E-3</v>
      </c>
      <c r="P27" s="4">
        <v>1.0145056882446581E-2</v>
      </c>
      <c r="Q27" s="4">
        <v>7.6366356032757113E-2</v>
      </c>
      <c r="R27" s="4">
        <v>1.4865968203575199</v>
      </c>
    </row>
    <row r="28" spans="1:18" x14ac:dyDescent="0.25">
      <c r="A28" s="2">
        <v>45747</v>
      </c>
      <c r="B28" t="s">
        <v>19</v>
      </c>
      <c r="C28" t="s">
        <v>58</v>
      </c>
      <c r="D28" t="s">
        <v>67</v>
      </c>
      <c r="E28" t="s">
        <v>40</v>
      </c>
      <c r="F28" t="s">
        <v>41</v>
      </c>
      <c r="G28" t="s">
        <v>32</v>
      </c>
      <c r="H28" s="4">
        <v>2.537704380073939E-2</v>
      </c>
      <c r="I28" s="4">
        <v>1.490542430389848</v>
      </c>
      <c r="J28" s="4">
        <v>1.0296948693775241</v>
      </c>
      <c r="K28" s="4">
        <v>0.35932348228914968</v>
      </c>
      <c r="L28" s="4">
        <v>4.7120625948977687E-2</v>
      </c>
      <c r="M28" s="4">
        <v>7.9135062148754931E-2</v>
      </c>
      <c r="N28" s="4">
        <v>8.6107044330201825E-3</v>
      </c>
      <c r="O28" s="4">
        <v>0.49118814867924548</v>
      </c>
      <c r="P28" s="4">
        <v>1.462197650085202E-2</v>
      </c>
      <c r="Q28" s="4">
        <v>3.5478954445554732E-2</v>
      </c>
      <c r="R28" s="4">
        <v>1.539339721225891</v>
      </c>
    </row>
    <row r="29" spans="1:18" x14ac:dyDescent="0.25">
      <c r="A29" s="2">
        <v>45754</v>
      </c>
      <c r="B29" t="s">
        <v>19</v>
      </c>
      <c r="C29" t="s">
        <v>40</v>
      </c>
      <c r="D29" t="s">
        <v>41</v>
      </c>
      <c r="E29" t="s">
        <v>68</v>
      </c>
      <c r="F29" t="s">
        <v>21</v>
      </c>
      <c r="G29" t="s">
        <v>62</v>
      </c>
      <c r="H29" s="4">
        <v>5.3293649314710957E-2</v>
      </c>
      <c r="I29" s="4">
        <v>1.569978875963741</v>
      </c>
      <c r="J29" s="4">
        <v>1.0298266250165899</v>
      </c>
      <c r="K29" s="4">
        <v>0.43700868776826951</v>
      </c>
      <c r="L29" s="4">
        <v>1.7177178377988479E-2</v>
      </c>
      <c r="M29" s="4">
        <v>0.39462688353618008</v>
      </c>
      <c r="N29" s="4">
        <v>5.5398475738981118E-3</v>
      </c>
      <c r="O29" s="4">
        <v>0.104116868668435</v>
      </c>
      <c r="P29" s="4">
        <v>4.1530534075228838E-2</v>
      </c>
      <c r="Q29" s="4">
        <v>9.7952948950200944E-2</v>
      </c>
      <c r="R29" s="4">
        <v>1.6901225863561471</v>
      </c>
    </row>
    <row r="30" spans="1:18" x14ac:dyDescent="0.25">
      <c r="A30" s="2">
        <v>45761</v>
      </c>
      <c r="B30" t="s">
        <v>19</v>
      </c>
      <c r="C30" t="s">
        <v>40</v>
      </c>
      <c r="D30" t="s">
        <v>21</v>
      </c>
      <c r="E30" t="s">
        <v>48</v>
      </c>
      <c r="F30" t="s">
        <v>69</v>
      </c>
      <c r="G30" t="s">
        <v>56</v>
      </c>
      <c r="H30" s="4">
        <v>4.2705955889670147E-2</v>
      </c>
      <c r="I30" s="4">
        <v>1.6370263245883629</v>
      </c>
      <c r="J30" s="4">
        <v>1.022822778266516</v>
      </c>
      <c r="K30" s="4">
        <v>0.39314359603370758</v>
      </c>
      <c r="L30" s="4">
        <v>5.1956035402364251E-2</v>
      </c>
      <c r="M30" s="4">
        <v>0.28466883316854608</v>
      </c>
      <c r="N30" s="4">
        <v>0.26288791601294359</v>
      </c>
      <c r="O30" s="4">
        <v>3.6099032781179829E-3</v>
      </c>
      <c r="P30" s="4">
        <v>3.7337161043204518E-3</v>
      </c>
      <c r="Q30" s="4">
        <v>4.7753410741240912E-2</v>
      </c>
      <c r="R30" s="4">
        <v>1.7708317044254609</v>
      </c>
    </row>
    <row r="31" spans="1:18" x14ac:dyDescent="0.25">
      <c r="A31" s="2">
        <v>45768</v>
      </c>
      <c r="B31" t="s">
        <v>19</v>
      </c>
      <c r="C31" t="s">
        <v>21</v>
      </c>
      <c r="D31" t="s">
        <v>56</v>
      </c>
      <c r="E31" t="s">
        <v>59</v>
      </c>
      <c r="F31" t="s">
        <v>24</v>
      </c>
      <c r="G31" t="s">
        <v>51</v>
      </c>
      <c r="H31" s="4">
        <v>6.9044542279371726E-3</v>
      </c>
      <c r="I31" s="4">
        <v>1.6483290979164109</v>
      </c>
      <c r="J31" s="4">
        <v>1.035491152646359</v>
      </c>
      <c r="K31" s="4">
        <v>0.49603213487332282</v>
      </c>
      <c r="L31" s="4">
        <v>0.14320823771382221</v>
      </c>
      <c r="M31" s="4">
        <v>0.1057487365319576</v>
      </c>
      <c r="N31" s="4">
        <v>0.1987619048170382</v>
      </c>
      <c r="O31" s="4">
        <v>2.7028401839595911E-2</v>
      </c>
      <c r="P31" s="4">
        <v>2.922058422426339E-2</v>
      </c>
      <c r="Q31" s="4">
        <v>4.6244200933153817E-2</v>
      </c>
      <c r="R31" s="4">
        <v>1.8527224015837109</v>
      </c>
    </row>
    <row r="32" spans="1:18" x14ac:dyDescent="0.25">
      <c r="A32" s="2">
        <v>45775</v>
      </c>
      <c r="B32" t="s">
        <v>19</v>
      </c>
      <c r="C32" t="s">
        <v>56</v>
      </c>
      <c r="D32" t="s">
        <v>59</v>
      </c>
      <c r="E32" t="s">
        <v>32</v>
      </c>
      <c r="F32" t="s">
        <v>58</v>
      </c>
      <c r="G32" t="s">
        <v>45</v>
      </c>
      <c r="H32" s="4">
        <v>4.1722563814576653E-2</v>
      </c>
      <c r="I32" s="4">
        <v>1.7171016138916519</v>
      </c>
      <c r="J32" s="4">
        <v>1.00639995780389</v>
      </c>
      <c r="K32" s="4">
        <v>0.47725933097702072</v>
      </c>
      <c r="L32" s="4">
        <v>2.261697444153107E-2</v>
      </c>
      <c r="M32" s="4">
        <v>0.32245872758746791</v>
      </c>
      <c r="N32" s="4">
        <v>2.2505524141134381E-2</v>
      </c>
      <c r="O32" s="4">
        <v>4.6461534759444888E-2</v>
      </c>
      <c r="P32" s="4">
        <v>0.10869790809340101</v>
      </c>
      <c r="Q32" s="4">
        <v>8.7617442966370973E-2</v>
      </c>
      <c r="R32" s="4">
        <v>2.0150532009369901</v>
      </c>
    </row>
    <row r="33" spans="1:18" x14ac:dyDescent="0.25">
      <c r="A33" s="2">
        <v>45782</v>
      </c>
      <c r="B33" t="s">
        <v>56</v>
      </c>
      <c r="C33" t="s">
        <v>32</v>
      </c>
      <c r="D33" t="s">
        <v>45</v>
      </c>
      <c r="E33" t="s">
        <v>40</v>
      </c>
      <c r="F33" t="s">
        <v>68</v>
      </c>
      <c r="G33" t="s">
        <v>49</v>
      </c>
      <c r="H33" s="4">
        <v>1.8128023466281399E-2</v>
      </c>
      <c r="I33" s="4">
        <v>1.748229272242269</v>
      </c>
      <c r="J33" s="4">
        <v>1.030869520750388</v>
      </c>
      <c r="K33" s="4">
        <v>1.3631177570648899E-2</v>
      </c>
      <c r="L33" s="4">
        <v>0.42081706263269192</v>
      </c>
      <c r="M33" s="4">
        <v>0.46282999019004378</v>
      </c>
      <c r="N33" s="4">
        <v>6.9693241651115317E-2</v>
      </c>
      <c r="O33" s="4">
        <v>2.7786890226420211E-2</v>
      </c>
      <c r="P33" s="4">
        <v>5.2416377290798568E-3</v>
      </c>
      <c r="Q33" s="4">
        <v>-7.6364666955534323E-3</v>
      </c>
      <c r="R33" s="4">
        <v>1.9996653142782661</v>
      </c>
    </row>
    <row r="34" spans="1:18" x14ac:dyDescent="0.25">
      <c r="A34" s="2">
        <v>45789</v>
      </c>
      <c r="B34" t="s">
        <v>32</v>
      </c>
      <c r="C34" t="s">
        <v>45</v>
      </c>
      <c r="D34" t="s">
        <v>49</v>
      </c>
      <c r="E34" t="s">
        <v>59</v>
      </c>
      <c r="F34" t="s">
        <v>47</v>
      </c>
      <c r="G34" t="s">
        <v>69</v>
      </c>
      <c r="H34" s="4">
        <v>-2.594521770552442E-2</v>
      </c>
      <c r="I34" s="4">
        <v>1.7028710831747731</v>
      </c>
      <c r="J34" s="4">
        <v>1.061376793897516</v>
      </c>
      <c r="K34" s="4">
        <v>0.29622553470725149</v>
      </c>
      <c r="L34" s="4">
        <v>6.9239997228861275E-2</v>
      </c>
      <c r="M34" s="4">
        <v>6.4444968792120222E-2</v>
      </c>
      <c r="N34" s="4">
        <v>0.51941915956179319</v>
      </c>
      <c r="O34" s="4">
        <v>1.3302898635710939E-2</v>
      </c>
      <c r="P34" s="4">
        <v>3.7367441074262812E-2</v>
      </c>
      <c r="Q34" s="4">
        <v>2.5693058995166589E-2</v>
      </c>
      <c r="R34" s="4">
        <v>2.0510428331686059</v>
      </c>
    </row>
    <row r="35" spans="1:18" x14ac:dyDescent="0.25">
      <c r="A35" s="2">
        <v>45796</v>
      </c>
      <c r="B35" t="s">
        <v>45</v>
      </c>
      <c r="C35" t="s">
        <v>59</v>
      </c>
      <c r="D35" t="s">
        <v>69</v>
      </c>
      <c r="E35" t="s">
        <v>62</v>
      </c>
      <c r="F35" t="s">
        <v>28</v>
      </c>
      <c r="G35" t="s">
        <v>20</v>
      </c>
      <c r="H35" s="4">
        <v>6.8383913210010264E-2</v>
      </c>
      <c r="I35" s="4">
        <v>1.8193200715344331</v>
      </c>
      <c r="J35" s="4">
        <v>1.027082162559229</v>
      </c>
      <c r="K35" s="4">
        <v>5.0023872162221858E-2</v>
      </c>
      <c r="L35" s="4">
        <v>0.27147108312190932</v>
      </c>
      <c r="M35" s="4">
        <v>0.16611031629864689</v>
      </c>
      <c r="N35" s="4">
        <v>5.0402469055209689E-3</v>
      </c>
      <c r="O35" s="4">
        <v>0.33386793983170099</v>
      </c>
      <c r="P35" s="4">
        <v>0.17348654167999991</v>
      </c>
      <c r="Q35" s="4">
        <v>5.9905595893133642E-2</v>
      </c>
      <c r="R35" s="4">
        <v>2.173911776291912</v>
      </c>
    </row>
    <row r="36" spans="1:18" x14ac:dyDescent="0.25">
      <c r="A36" s="2">
        <v>45803</v>
      </c>
      <c r="B36" t="s">
        <v>59</v>
      </c>
      <c r="C36" t="s">
        <v>69</v>
      </c>
      <c r="D36" t="s">
        <v>20</v>
      </c>
      <c r="E36" t="s">
        <v>63</v>
      </c>
      <c r="F36" t="s">
        <v>23</v>
      </c>
      <c r="G36" t="s">
        <v>21</v>
      </c>
      <c r="H36" s="4">
        <v>-4.5196047392809233E-2</v>
      </c>
      <c r="I36" s="4">
        <v>1.7370939953586739</v>
      </c>
      <c r="J36" s="4">
        <v>0.99015284726187358</v>
      </c>
      <c r="K36" s="4">
        <v>0.33182683657839401</v>
      </c>
      <c r="L36" s="4">
        <v>2.4123068637073058E-2</v>
      </c>
      <c r="M36" s="4">
        <v>0.2374752318417756</v>
      </c>
      <c r="N36" s="4">
        <v>1.002394990154502E-3</v>
      </c>
      <c r="O36" s="4">
        <v>3.2476012548583809E-2</v>
      </c>
      <c r="P36" s="4">
        <v>0.37309645540401898</v>
      </c>
      <c r="Q36" s="4">
        <v>-1.554450783162198E-2</v>
      </c>
      <c r="R36" s="4">
        <v>2.140119387660087</v>
      </c>
    </row>
    <row r="37" spans="1:18" x14ac:dyDescent="0.25">
      <c r="A37" s="2">
        <v>45810</v>
      </c>
      <c r="B37" t="s">
        <v>69</v>
      </c>
      <c r="C37" t="s">
        <v>20</v>
      </c>
      <c r="D37" t="s">
        <v>23</v>
      </c>
      <c r="E37" t="s">
        <v>27</v>
      </c>
      <c r="F37" t="s">
        <v>41</v>
      </c>
      <c r="G37" t="s">
        <v>45</v>
      </c>
      <c r="H37" s="4">
        <v>3.4446711054357669E-2</v>
      </c>
      <c r="I37" s="4">
        <v>1.796931170291054</v>
      </c>
      <c r="J37" s="4">
        <v>1.041419084348695</v>
      </c>
      <c r="K37" s="4">
        <v>5.5245673942440919E-2</v>
      </c>
      <c r="L37" s="4">
        <v>0.57247751291742088</v>
      </c>
      <c r="M37" s="4">
        <v>1.4054149981337119E-2</v>
      </c>
      <c r="N37" s="4">
        <v>1.585512234009474E-2</v>
      </c>
      <c r="O37" s="4">
        <v>7.3337630016593477E-2</v>
      </c>
      <c r="P37" s="4">
        <v>0.2690299108021128</v>
      </c>
      <c r="Q37" s="4">
        <v>8.9751521298490587E-3</v>
      </c>
      <c r="R37" s="4">
        <v>2.1593272847403759</v>
      </c>
    </row>
    <row r="38" spans="1:18" x14ac:dyDescent="0.25">
      <c r="A38" s="2">
        <v>45817</v>
      </c>
      <c r="B38" t="s">
        <v>69</v>
      </c>
      <c r="C38" t="s">
        <v>41</v>
      </c>
      <c r="D38" t="s">
        <v>45</v>
      </c>
      <c r="E38" t="s">
        <v>70</v>
      </c>
      <c r="F38" t="s">
        <v>49</v>
      </c>
      <c r="G38" t="s">
        <v>30</v>
      </c>
      <c r="H38" s="4">
        <v>5.3366779123035406E-3</v>
      </c>
      <c r="I38" s="4">
        <v>1.8065208131774759</v>
      </c>
      <c r="J38" s="4">
        <v>1.022240973666668</v>
      </c>
      <c r="K38" s="4">
        <v>4.4834251004931103E-2</v>
      </c>
      <c r="L38" s="4">
        <v>0.3395438281709669</v>
      </c>
      <c r="M38" s="4">
        <v>0.55521388544428985</v>
      </c>
      <c r="N38" s="4">
        <v>2.0874124740894309E-2</v>
      </c>
      <c r="O38" s="4">
        <v>2.3800887158116901E-2</v>
      </c>
      <c r="P38" s="4">
        <v>1.5733023480801061E-2</v>
      </c>
      <c r="Q38" s="4">
        <v>-3.165821189955145E-3</v>
      </c>
      <c r="R38" s="4">
        <v>2.152491240666297</v>
      </c>
    </row>
    <row r="39" spans="1:18" x14ac:dyDescent="0.25">
      <c r="A39" s="2">
        <v>45824</v>
      </c>
      <c r="B39" t="s">
        <v>69</v>
      </c>
      <c r="C39" t="s">
        <v>45</v>
      </c>
      <c r="D39" t="s">
        <v>30</v>
      </c>
      <c r="E39" t="s">
        <v>52</v>
      </c>
      <c r="F39" t="s">
        <v>19</v>
      </c>
      <c r="G39" t="s">
        <v>21</v>
      </c>
      <c r="H39" s="4">
        <v>3.2337388707766333E-2</v>
      </c>
      <c r="I39" s="4">
        <v>1.864938978921866</v>
      </c>
      <c r="J39" s="4">
        <v>1.010330113807284</v>
      </c>
      <c r="K39" s="4">
        <v>0.12810695277519571</v>
      </c>
      <c r="L39" s="4">
        <v>0.31042549922483148</v>
      </c>
      <c r="M39" s="4">
        <v>1.8804536127214361E-2</v>
      </c>
      <c r="N39" s="4">
        <v>3.226633584709724E-2</v>
      </c>
      <c r="O39" s="4">
        <v>4.1115733467474887E-2</v>
      </c>
      <c r="P39" s="4">
        <v>0.46928094255818631</v>
      </c>
      <c r="Q39" s="4">
        <v>3.6672513591204922E-2</v>
      </c>
      <c r="R39" s="4">
        <v>2.231428504944581</v>
      </c>
    </row>
    <row r="40" spans="1:18" x14ac:dyDescent="0.25">
      <c r="A40" s="2">
        <v>45831</v>
      </c>
      <c r="B40" t="s">
        <v>69</v>
      </c>
      <c r="C40" t="s">
        <v>45</v>
      </c>
      <c r="D40" t="s">
        <v>21</v>
      </c>
      <c r="E40" t="s">
        <v>59</v>
      </c>
      <c r="F40" t="s">
        <v>32</v>
      </c>
      <c r="G40" t="s">
        <v>54</v>
      </c>
      <c r="H40" s="4">
        <v>-6.8066872645760779E-2</v>
      </c>
      <c r="I40" s="4">
        <v>1.737998414951476</v>
      </c>
      <c r="J40" s="4">
        <v>1.032450374008054</v>
      </c>
      <c r="K40" s="4">
        <v>0.14526944232423589</v>
      </c>
      <c r="L40" s="4">
        <v>6.918903559909334E-2</v>
      </c>
      <c r="M40" s="4">
        <v>0.41841826575664581</v>
      </c>
      <c r="N40" s="4">
        <v>0.2972041790931792</v>
      </c>
      <c r="O40" s="4">
        <v>3.7272164838317773E-2</v>
      </c>
      <c r="P40" s="4">
        <v>3.2646912388528113E-2</v>
      </c>
      <c r="Q40" s="4">
        <v>-3.667206952620191E-2</v>
      </c>
      <c r="R40" s="4">
        <v>2.1495974036685048</v>
      </c>
    </row>
    <row r="41" spans="1:18" x14ac:dyDescent="0.25">
      <c r="A41" s="2">
        <v>45838</v>
      </c>
      <c r="B41" t="s">
        <v>69</v>
      </c>
      <c r="C41" t="s">
        <v>45</v>
      </c>
      <c r="D41" t="s">
        <v>54</v>
      </c>
      <c r="E41" t="s">
        <v>49</v>
      </c>
      <c r="F41" t="s">
        <v>48</v>
      </c>
      <c r="G41" t="s">
        <v>71</v>
      </c>
      <c r="H41" s="4">
        <v>5.4700864069748591E-2</v>
      </c>
      <c r="I41" s="4">
        <v>1.833068430001175</v>
      </c>
      <c r="J41" s="4">
        <v>1.128055867821542</v>
      </c>
      <c r="K41" s="4">
        <v>0.1168039300427071</v>
      </c>
      <c r="L41" s="4">
        <v>0.63341306587599566</v>
      </c>
      <c r="M41" s="4">
        <v>0.1205947008879029</v>
      </c>
      <c r="N41" s="4">
        <v>8.0271506249236584E-4</v>
      </c>
      <c r="O41" s="4">
        <v>2.0025513697077509E-2</v>
      </c>
      <c r="P41" s="4">
        <v>0.10836007443382439</v>
      </c>
      <c r="Q41" s="4">
        <v>2.4056351007196771E-2</v>
      </c>
      <c r="R41" s="4">
        <v>2.201308873335313</v>
      </c>
    </row>
    <row r="42" spans="1:18" x14ac:dyDescent="0.25">
      <c r="A42" s="2">
        <v>45845</v>
      </c>
      <c r="B42" t="s">
        <v>69</v>
      </c>
      <c r="C42" t="s">
        <v>49</v>
      </c>
      <c r="D42" t="s">
        <v>48</v>
      </c>
      <c r="E42" t="s">
        <v>53</v>
      </c>
      <c r="F42" t="s">
        <v>29</v>
      </c>
      <c r="G42" t="s">
        <v>28</v>
      </c>
      <c r="H42" s="4">
        <v>-4.2640272877900549E-3</v>
      </c>
      <c r="I42" s="4">
        <v>1.825252176195264</v>
      </c>
      <c r="J42" s="4">
        <v>1.1371345710716081</v>
      </c>
      <c r="K42" s="4">
        <v>0.1912021296018904</v>
      </c>
      <c r="L42" s="4">
        <v>5.2135105246892089E-4</v>
      </c>
      <c r="M42" s="4">
        <v>0.12547024424591419</v>
      </c>
      <c r="N42" s="4">
        <v>0.3322121804698826</v>
      </c>
      <c r="O42" s="4">
        <v>1.1487420572906029E-3</v>
      </c>
      <c r="P42" s="4">
        <v>0.34944535257255338</v>
      </c>
      <c r="Q42" s="4">
        <v>-2.8762045780460838E-2</v>
      </c>
      <c r="R42" s="4">
        <v>2.137994726743508</v>
      </c>
    </row>
    <row r="43" spans="1:18" x14ac:dyDescent="0.25">
      <c r="A43" s="2">
        <v>45852</v>
      </c>
      <c r="B43" t="s">
        <v>69</v>
      </c>
      <c r="C43" t="s">
        <v>49</v>
      </c>
      <c r="D43" t="s">
        <v>29</v>
      </c>
      <c r="E43" t="s">
        <v>27</v>
      </c>
      <c r="F43" t="s">
        <v>62</v>
      </c>
      <c r="G43" t="s">
        <v>47</v>
      </c>
      <c r="H43" s="4">
        <v>-5.8368817403816244E-3</v>
      </c>
      <c r="I43" s="4">
        <v>1.8145983950964379</v>
      </c>
      <c r="J43" s="4">
        <v>1.1379798869495881</v>
      </c>
      <c r="K43" s="4">
        <v>0.46790242239109758</v>
      </c>
      <c r="L43" s="4">
        <v>1.9521382325356641E-3</v>
      </c>
      <c r="M43" s="4">
        <v>1.7625956130492049E-2</v>
      </c>
      <c r="N43" s="4">
        <v>0.25524529443588317</v>
      </c>
      <c r="O43" s="4">
        <v>1.6801535595929049E-2</v>
      </c>
      <c r="P43" s="4">
        <v>0.2404726532140625</v>
      </c>
      <c r="Q43" s="4">
        <v>-1.4117569522831851E-2</v>
      </c>
      <c r="R43" s="4">
        <v>2.107811437549258</v>
      </c>
    </row>
    <row r="44" spans="1:18" x14ac:dyDescent="0.25">
      <c r="A44" s="2">
        <v>45859</v>
      </c>
      <c r="B44" t="s">
        <v>69</v>
      </c>
      <c r="C44" t="s">
        <v>62</v>
      </c>
      <c r="D44" t="s">
        <v>47</v>
      </c>
      <c r="E44" t="s">
        <v>68</v>
      </c>
      <c r="F44" t="s">
        <v>41</v>
      </c>
      <c r="G44" t="s">
        <v>59</v>
      </c>
      <c r="H44" s="4">
        <v>3.944154498024862E-2</v>
      </c>
      <c r="I44" s="4">
        <v>1.8861689593177211</v>
      </c>
      <c r="J44" s="4">
        <v>1.1683223851437099</v>
      </c>
      <c r="K44" s="4">
        <v>0.41426073874979991</v>
      </c>
      <c r="L44" s="4">
        <v>4.5414729558913063E-2</v>
      </c>
      <c r="M44" s="4">
        <v>1.8010941450045451E-2</v>
      </c>
      <c r="N44" s="4">
        <v>3.8467646560621648E-2</v>
      </c>
      <c r="O44" s="4">
        <v>2.9614475441466101E-2</v>
      </c>
      <c r="P44" s="4">
        <v>0.45423146823915378</v>
      </c>
      <c r="Q44" s="4">
        <v>5.5970553854905382E-2</v>
      </c>
      <c r="R44" s="4">
        <v>2.225786811130595</v>
      </c>
    </row>
    <row r="45" spans="1:18" x14ac:dyDescent="0.25">
      <c r="A45" s="2">
        <v>45866</v>
      </c>
      <c r="B45" t="s">
        <v>47</v>
      </c>
      <c r="C45" t="s">
        <v>41</v>
      </c>
      <c r="D45" t="s">
        <v>59</v>
      </c>
      <c r="E45" t="s">
        <v>22</v>
      </c>
      <c r="F45" t="s">
        <v>72</v>
      </c>
      <c r="G45" t="s">
        <v>31</v>
      </c>
      <c r="H45" s="4">
        <v>6.645783460791943E-2</v>
      </c>
      <c r="I45" s="4">
        <v>2.0115196640586501</v>
      </c>
      <c r="J45" s="4">
        <v>1.1797833032478779</v>
      </c>
      <c r="K45" s="4">
        <v>2.1383545786070601E-2</v>
      </c>
      <c r="L45" s="4">
        <v>0.27856555335748079</v>
      </c>
      <c r="M45" s="4">
        <v>0.54186038728085861</v>
      </c>
      <c r="N45" s="4">
        <v>0.1132895865568652</v>
      </c>
      <c r="O45" s="4">
        <v>3.2265597695539668E-2</v>
      </c>
      <c r="P45" s="4">
        <v>1.263532932318507E-2</v>
      </c>
      <c r="Q45" s="4">
        <v>7.4029800591636441E-2</v>
      </c>
      <c r="R45" s="4">
        <v>2.3905613649180868</v>
      </c>
    </row>
    <row r="46" spans="1:18" x14ac:dyDescent="0.25">
      <c r="A46" s="2">
        <v>45873</v>
      </c>
      <c r="B46" t="s">
        <v>47</v>
      </c>
      <c r="C46" t="s">
        <v>59</v>
      </c>
      <c r="D46" t="s">
        <v>72</v>
      </c>
      <c r="E46" t="s">
        <v>73</v>
      </c>
      <c r="F46" t="s">
        <v>68</v>
      </c>
      <c r="G46" t="s">
        <v>44</v>
      </c>
      <c r="H46" s="4">
        <v>3.3966469355196073E-2</v>
      </c>
      <c r="I46" s="4">
        <v>2.0798438850852721</v>
      </c>
      <c r="J46" s="4">
        <v>1.204549075169755</v>
      </c>
      <c r="K46" s="4">
        <v>8.6800413599665546E-2</v>
      </c>
      <c r="L46" s="4">
        <v>0.664530855535584</v>
      </c>
      <c r="M46" s="4">
        <v>4.4228444769176728E-2</v>
      </c>
      <c r="N46" s="4">
        <v>0.16293904074458679</v>
      </c>
      <c r="O46" s="4">
        <v>1.8118265356505531E-2</v>
      </c>
      <c r="P46" s="4">
        <v>2.338297999448118E-2</v>
      </c>
      <c r="Q46" s="4">
        <v>4.9597356069300588E-2</v>
      </c>
      <c r="R46" s="4">
        <v>2.5091268881394422</v>
      </c>
    </row>
    <row r="47" spans="1:18" x14ac:dyDescent="0.25">
      <c r="A47" s="2">
        <v>45880</v>
      </c>
      <c r="B47" t="s">
        <v>47</v>
      </c>
      <c r="C47" t="s">
        <v>68</v>
      </c>
      <c r="D47" t="s">
        <v>44</v>
      </c>
      <c r="E47" t="s">
        <v>74</v>
      </c>
      <c r="F47" t="s">
        <v>75</v>
      </c>
      <c r="G47" t="s">
        <v>40</v>
      </c>
      <c r="H47" s="4">
        <v>-3.8531470995023021E-2</v>
      </c>
      <c r="I47" s="4">
        <v>1.999704440752933</v>
      </c>
      <c r="J47" s="4">
        <v>1.193351775549284</v>
      </c>
      <c r="K47" s="4">
        <v>0.70349850198415054</v>
      </c>
      <c r="L47" s="4">
        <v>1.8692818107554691E-2</v>
      </c>
      <c r="M47" s="4">
        <v>0.12962800622797491</v>
      </c>
      <c r="N47" s="4">
        <v>9.0425173941002857E-2</v>
      </c>
      <c r="O47" s="4">
        <v>3.968672000436313E-2</v>
      </c>
      <c r="P47" s="4">
        <v>1.806877973495389E-2</v>
      </c>
      <c r="Q47" s="4">
        <v>-0.13422778713220529</v>
      </c>
      <c r="R47" s="4">
        <v>2.1723323383105679</v>
      </c>
    </row>
    <row r="48" spans="1:18" x14ac:dyDescent="0.25">
      <c r="A48" s="2">
        <v>45887</v>
      </c>
      <c r="B48" t="s">
        <v>47</v>
      </c>
      <c r="C48" t="s">
        <v>68</v>
      </c>
      <c r="D48" t="s">
        <v>75</v>
      </c>
      <c r="E48" t="s">
        <v>71</v>
      </c>
      <c r="F48" t="s">
        <v>72</v>
      </c>
      <c r="G48" t="s">
        <v>54</v>
      </c>
      <c r="H48" s="4">
        <v>8.9119537750205036E-2</v>
      </c>
      <c r="I48" s="4">
        <v>2.1779171761498661</v>
      </c>
      <c r="J48" s="4">
        <v>1.2484273479680359</v>
      </c>
      <c r="K48" s="4">
        <v>0.71035614965064653</v>
      </c>
      <c r="L48" s="4">
        <v>2.613548940452293E-2</v>
      </c>
      <c r="M48" s="4">
        <v>3.697789419100498E-2</v>
      </c>
      <c r="N48" s="4">
        <v>7.4638109131121233E-2</v>
      </c>
      <c r="O48" s="4">
        <v>0.1203466063693235</v>
      </c>
      <c r="P48" s="4">
        <v>3.1545751253380577E-2</v>
      </c>
      <c r="Q48" s="4">
        <v>7.2962645532545681E-2</v>
      </c>
      <c r="R48" s="4">
        <v>2.3308314526896079</v>
      </c>
    </row>
    <row r="49" spans="1:27" x14ac:dyDescent="0.25">
      <c r="A49" s="2">
        <v>45894</v>
      </c>
      <c r="B49" t="s">
        <v>47</v>
      </c>
      <c r="C49" t="s">
        <v>75</v>
      </c>
      <c r="D49" t="s">
        <v>54</v>
      </c>
      <c r="E49" t="s">
        <v>25</v>
      </c>
      <c r="F49" t="s">
        <v>59</v>
      </c>
      <c r="G49" t="s">
        <v>20</v>
      </c>
      <c r="H49" s="4">
        <v>-2.1743447208379011E-2</v>
      </c>
      <c r="I49" s="4">
        <v>2.1305617490060289</v>
      </c>
      <c r="J49" s="4">
        <v>1.239190623715543</v>
      </c>
      <c r="K49" s="4">
        <v>0.25280834896108328</v>
      </c>
      <c r="L49" s="4">
        <v>2.6361746211257899E-3</v>
      </c>
      <c r="M49" s="4">
        <v>7.4432485320513719E-2</v>
      </c>
      <c r="N49" s="4">
        <v>2.3812016392370159E-2</v>
      </c>
      <c r="O49" s="4">
        <v>0.56730061276019728</v>
      </c>
      <c r="P49" s="4">
        <v>7.9010361944709714E-2</v>
      </c>
      <c r="Q49" s="4">
        <v>1.9361307253593699E-2</v>
      </c>
      <c r="R49" s="4">
        <v>2.375959396601472</v>
      </c>
    </row>
    <row r="50" spans="1:27" x14ac:dyDescent="0.25">
      <c r="A50" s="2">
        <v>45901</v>
      </c>
      <c r="B50" t="s">
        <v>47</v>
      </c>
      <c r="C50" t="s">
        <v>59</v>
      </c>
      <c r="D50" t="s">
        <v>20</v>
      </c>
      <c r="E50" t="s">
        <v>27</v>
      </c>
      <c r="F50" t="s">
        <v>68</v>
      </c>
      <c r="G50" t="s">
        <v>53</v>
      </c>
      <c r="H50" s="4">
        <v>3.5419884777933008E-3</v>
      </c>
      <c r="I50" s="4">
        <v>2.1381081741722361</v>
      </c>
      <c r="J50" s="4">
        <v>1.17786839745048</v>
      </c>
      <c r="K50" s="4">
        <v>0.17299699232593099</v>
      </c>
      <c r="L50" s="4">
        <v>0.36806666878724631</v>
      </c>
      <c r="M50" s="4">
        <v>0.18192357432987721</v>
      </c>
      <c r="N50" s="4">
        <v>3.2054865405093698E-4</v>
      </c>
      <c r="O50" s="4">
        <v>8.7240167153766063E-3</v>
      </c>
      <c r="P50" s="4">
        <v>0.26796819918751802</v>
      </c>
      <c r="Q50" s="4">
        <v>0.110510271505809</v>
      </c>
      <c r="R50" s="4">
        <v>2.6385273146066792</v>
      </c>
    </row>
    <row r="51" spans="1:27" x14ac:dyDescent="0.25">
      <c r="A51" s="2">
        <v>45908</v>
      </c>
      <c r="B51" t="s">
        <v>47</v>
      </c>
      <c r="C51" t="s">
        <v>27</v>
      </c>
      <c r="D51" t="s">
        <v>53</v>
      </c>
      <c r="E51" t="s">
        <v>32</v>
      </c>
      <c r="F51" t="s">
        <v>40</v>
      </c>
      <c r="G51" t="s">
        <v>51</v>
      </c>
      <c r="H51" s="4">
        <v>-0.14674196585637561</v>
      </c>
      <c r="I51" s="4">
        <v>1.824357977480616</v>
      </c>
      <c r="J51" s="4">
        <v>1.138622584310208</v>
      </c>
      <c r="K51" s="4">
        <v>0.2685823391040284</v>
      </c>
      <c r="L51" s="4">
        <v>5.6073005239098313E-2</v>
      </c>
      <c r="M51" s="4">
        <v>0.39879655173893269</v>
      </c>
      <c r="N51" s="4">
        <v>0.25446607800835369</v>
      </c>
      <c r="O51" s="4">
        <v>1.382413374686086E-2</v>
      </c>
      <c r="P51" s="4">
        <v>8.257892162725872E-3</v>
      </c>
      <c r="Q51" s="4">
        <v>-0.19434550003231901</v>
      </c>
      <c r="R51" s="4">
        <v>2.1257414043005118</v>
      </c>
    </row>
    <row r="52" spans="1:27" x14ac:dyDescent="0.25">
      <c r="A52" s="2">
        <v>45915</v>
      </c>
      <c r="B52" t="s">
        <v>27</v>
      </c>
      <c r="C52" t="s">
        <v>40</v>
      </c>
      <c r="D52" t="s">
        <v>51</v>
      </c>
      <c r="E52" t="s">
        <v>33</v>
      </c>
      <c r="F52" t="s">
        <v>59</v>
      </c>
      <c r="G52" t="s">
        <v>76</v>
      </c>
      <c r="H52" s="4">
        <v>0.1245169944542821</v>
      </c>
      <c r="I52" s="4">
        <v>2.0515215496451948</v>
      </c>
      <c r="J52" s="4">
        <v>1.2398932489868539</v>
      </c>
      <c r="K52" s="4">
        <v>3.0878893867635281E-2</v>
      </c>
      <c r="L52" s="4">
        <v>0.25697661855171189</v>
      </c>
      <c r="M52" s="4">
        <v>1.2701371239662239E-2</v>
      </c>
      <c r="N52" s="4">
        <v>2.0510565987595649E-2</v>
      </c>
      <c r="O52" s="4">
        <v>0.55265045535654411</v>
      </c>
      <c r="P52" s="4">
        <v>0.1262820949968507</v>
      </c>
      <c r="Q52" s="4">
        <v>1.1113895448694729E-2</v>
      </c>
      <c r="R52" s="4">
        <v>2.1493666720188691</v>
      </c>
    </row>
    <row r="53" spans="1:27" x14ac:dyDescent="0.25">
      <c r="A53" s="2">
        <v>45922</v>
      </c>
      <c r="B53" t="s">
        <v>40</v>
      </c>
      <c r="C53" t="s">
        <v>33</v>
      </c>
      <c r="D53" t="s">
        <v>59</v>
      </c>
      <c r="E53" t="s">
        <v>71</v>
      </c>
      <c r="F53" t="s">
        <v>28</v>
      </c>
      <c r="G53" t="s">
        <v>38</v>
      </c>
      <c r="H53" s="4">
        <v>7.7067513797196049E-2</v>
      </c>
      <c r="I53" s="4">
        <v>2.2096272149777221</v>
      </c>
      <c r="J53" s="4">
        <v>1.224162011622369</v>
      </c>
      <c r="K53" s="4">
        <v>0.25789755775532719</v>
      </c>
      <c r="L53" s="4">
        <v>4.1615458404957477E-3</v>
      </c>
      <c r="M53" s="4">
        <v>0.434471791204457</v>
      </c>
      <c r="N53" s="4">
        <v>0.15339220315251839</v>
      </c>
      <c r="O53" s="4">
        <v>8.2856132907939903E-2</v>
      </c>
      <c r="P53" s="4">
        <v>6.7220769139261893E-2</v>
      </c>
      <c r="Q53" s="4">
        <v>0.1668871452013175</v>
      </c>
      <c r="R53" s="4">
        <v>2.508068339902954</v>
      </c>
    </row>
    <row r="54" spans="1:27" x14ac:dyDescent="0.25">
      <c r="A54" s="2">
        <v>45929</v>
      </c>
      <c r="B54" t="s">
        <v>40</v>
      </c>
      <c r="C54" t="s">
        <v>71</v>
      </c>
      <c r="D54" t="s">
        <v>28</v>
      </c>
      <c r="E54" t="s">
        <v>23</v>
      </c>
      <c r="F54" t="s">
        <v>76</v>
      </c>
      <c r="G54" t="s">
        <v>57</v>
      </c>
      <c r="H54" s="4">
        <v>-2.9704460166649699E-2</v>
      </c>
      <c r="I54" s="4">
        <v>2.143991431387271</v>
      </c>
      <c r="J54" s="4">
        <v>1.1920298237304661</v>
      </c>
      <c r="K54" s="4">
        <v>0.25033342753891191</v>
      </c>
      <c r="L54" s="4">
        <v>0.2302171821572889</v>
      </c>
      <c r="M54" s="4">
        <v>0.36960672629085878</v>
      </c>
      <c r="N54" s="4">
        <v>0.1125664960812401</v>
      </c>
      <c r="O54" s="4">
        <v>1.096121924597656E-2</v>
      </c>
      <c r="P54" s="4">
        <v>2.6314948685723791E-2</v>
      </c>
      <c r="Q54" s="4">
        <v>-9.5970698300960972E-2</v>
      </c>
      <c r="R54" s="4">
        <v>2.267367269935936</v>
      </c>
    </row>
    <row r="55" spans="1:27" x14ac:dyDescent="0.25">
      <c r="A55" s="2">
        <v>45936</v>
      </c>
      <c r="B55" t="s">
        <v>40</v>
      </c>
      <c r="C55" t="s">
        <v>28</v>
      </c>
      <c r="D55" t="s">
        <v>23</v>
      </c>
      <c r="E55" t="s">
        <v>41</v>
      </c>
      <c r="F55" t="s">
        <v>77</v>
      </c>
      <c r="G55" t="s">
        <v>69</v>
      </c>
      <c r="H55" s="4">
        <v>6.4602448375398969E-2</v>
      </c>
      <c r="I55" s="4">
        <v>2.2824985271507638</v>
      </c>
      <c r="J55" s="4">
        <v>1.176869455998226</v>
      </c>
      <c r="K55" s="4">
        <v>0.26096505021180139</v>
      </c>
      <c r="L55" s="4">
        <v>0.18077266152175139</v>
      </c>
      <c r="M55" s="4">
        <v>1.7749739900116E-2</v>
      </c>
      <c r="N55" s="4">
        <v>0.1777591434057243</v>
      </c>
      <c r="O55" s="4">
        <v>7.0908079280131743E-3</v>
      </c>
      <c r="P55" s="4">
        <v>0.35566259703259367</v>
      </c>
      <c r="Q55" s="4">
        <v>9.6813423852648239E-2</v>
      </c>
      <c r="R55" s="4">
        <v>2.4868788584698649</v>
      </c>
    </row>
    <row r="56" spans="1:27" x14ac:dyDescent="0.25">
      <c r="A56" s="2">
        <v>45943</v>
      </c>
      <c r="B56" t="s">
        <v>28</v>
      </c>
      <c r="C56" t="s">
        <v>41</v>
      </c>
      <c r="D56" t="s">
        <v>77</v>
      </c>
      <c r="E56" t="s">
        <v>53</v>
      </c>
      <c r="F56" t="s">
        <v>59</v>
      </c>
      <c r="G56" t="s">
        <v>21</v>
      </c>
      <c r="H56" s="4">
        <v>-2.1426614354658299E-2</v>
      </c>
      <c r="I56" s="4">
        <v>2.2335923114444292</v>
      </c>
      <c r="J56" s="4">
        <v>1.1207067119474381</v>
      </c>
      <c r="K56" s="4">
        <v>0.12085593070939139</v>
      </c>
      <c r="L56" s="4">
        <v>0.18212215704018991</v>
      </c>
      <c r="M56" s="4">
        <v>4.4443972704249308E-3</v>
      </c>
      <c r="N56" s="4">
        <v>9.9847588440569471E-2</v>
      </c>
      <c r="O56" s="4">
        <v>0.20695844396552779</v>
      </c>
      <c r="P56" s="4">
        <v>0.38577148257389637</v>
      </c>
      <c r="Q56" s="4">
        <v>-6.5193760043685586E-2</v>
      </c>
      <c r="R56" s="4">
        <v>2.3247498749130662</v>
      </c>
      <c r="T56" s="5">
        <f>120000*K56</f>
        <v>14502.711685126967</v>
      </c>
      <c r="U56" s="5">
        <f t="shared" ref="U56:Y56" si="0">120000*L56</f>
        <v>21854.658844822789</v>
      </c>
      <c r="V56" s="5">
        <f t="shared" si="0"/>
        <v>533.32767245099171</v>
      </c>
      <c r="W56" s="5">
        <f t="shared" si="0"/>
        <v>11981.710612868337</v>
      </c>
      <c r="X56" s="5">
        <f t="shared" si="0"/>
        <v>24835.013275863334</v>
      </c>
      <c r="Y56" s="5">
        <f t="shared" si="0"/>
        <v>46292.577908867563</v>
      </c>
    </row>
    <row r="57" spans="1:27" x14ac:dyDescent="0.25">
      <c r="A57" s="2">
        <v>45950</v>
      </c>
      <c r="B57" t="s">
        <v>28</v>
      </c>
      <c r="C57" t="s">
        <v>59</v>
      </c>
      <c r="D57" t="s">
        <v>21</v>
      </c>
      <c r="E57" t="s">
        <v>50</v>
      </c>
      <c r="F57" t="s">
        <v>74</v>
      </c>
      <c r="G57" t="s">
        <v>78</v>
      </c>
      <c r="H57" s="4">
        <v>-8.6669106844516151E-3</v>
      </c>
      <c r="I57" s="4">
        <v>2.2142339663756632</v>
      </c>
      <c r="J57" s="4">
        <v>1.164558826587923</v>
      </c>
      <c r="K57" s="4">
        <v>0.1129529409660403</v>
      </c>
      <c r="L57" s="4">
        <v>0.35943446137867169</v>
      </c>
      <c r="M57" s="4">
        <v>0.44202761781744931</v>
      </c>
      <c r="N57" s="4">
        <v>3.6934746119534671E-2</v>
      </c>
      <c r="O57" s="4">
        <v>6.4636646790738727E-3</v>
      </c>
      <c r="P57" s="4">
        <v>4.2186569039230112E-2</v>
      </c>
      <c r="Q57" s="4">
        <v>-2.461710957378147E-3</v>
      </c>
      <c r="R57" s="4">
        <v>2.3190270126728292</v>
      </c>
      <c r="T57" s="5">
        <f>120000*K57</f>
        <v>13554.352915924837</v>
      </c>
      <c r="U57" s="5">
        <f t="shared" ref="U57:Y57" si="1">120000*L57</f>
        <v>43132.135365440605</v>
      </c>
      <c r="V57" s="5">
        <f t="shared" si="1"/>
        <v>53043.31413809392</v>
      </c>
      <c r="W57" s="5">
        <f t="shared" si="1"/>
        <v>4432.1695343441606</v>
      </c>
      <c r="X57" s="5">
        <f t="shared" si="1"/>
        <v>775.63976148886468</v>
      </c>
      <c r="Y57" s="5">
        <f t="shared" si="1"/>
        <v>5062.3882847076138</v>
      </c>
      <c r="Z57" s="5">
        <f>SUM(T56:Y56)*(1+Q57)*(1-AA57)</f>
        <v>117310.50279141231</v>
      </c>
      <c r="AA57" s="6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Okan Deniz</cp:lastModifiedBy>
  <dcterms:created xsi:type="dcterms:W3CDTF">2025-10-23T21:14:58Z</dcterms:created>
  <dcterms:modified xsi:type="dcterms:W3CDTF">2025-10-23T21:28:27Z</dcterms:modified>
</cp:coreProperties>
</file>